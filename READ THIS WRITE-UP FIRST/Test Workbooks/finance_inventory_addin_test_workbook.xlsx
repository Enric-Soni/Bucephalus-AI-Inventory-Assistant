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b0d2dc14e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19da5beddb6240ff"/>
    <x:sheet xmlns:r="http://schemas.openxmlformats.org/officeDocument/2006/relationships" name="Suppliers" sheetId="2" r:id="R98defb6deebc4d70"/>
    <x:sheet xmlns:r="http://schemas.openxmlformats.org/officeDocument/2006/relationships" name="SKU_Master" sheetId="3" r:id="R812c33e854ae4ffe"/>
    <x:sheet xmlns:r="http://schemas.openxmlformats.org/officeDocument/2006/relationships" name="Inventory_Snapshot" sheetId="4" r:id="Rac01b97734e1410e"/>
    <x:sheet xmlns:r="http://schemas.openxmlformats.org/officeDocument/2006/relationships" name="Purchase_Orders" sheetId="5" r:id="R91e5376bde624f91"/>
    <x:sheet xmlns:r="http://schemas.openxmlformats.org/officeDocument/2006/relationships" name="Sales_History" sheetId="6" r:id="R1d68623fb08149c4"/>
    <x:sheet xmlns:r="http://schemas.openxmlformats.org/officeDocument/2006/relationships" name="Forecast" sheetId="7" r:id="Rb22515bd84c14fca"/>
    <x:sheet xmlns:r="http://schemas.openxmlformats.org/officeDocument/2006/relationships" name="Dashboard" sheetId="8" r:id="R11db71c27b11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;[Red](0.0%);-"/>
    <x:numFmt numFmtId="201" formatCode="mm/dd/yyyy"/>
    <x:numFmt numFmtId="202" formatCode="$#,##0;[Red]($#,##0);-"/>
    <x:numFmt numFmtId="203" formatCode="$#,##0.00;[Red]($#,##0.00);-"/>
    <x:numFmt numFmtId="204" formatCode="#,##0.0;[Red](#,##0.0);-"/>
    <x:numFmt numFmtId="205" formatCode="#,##0;[Red](#,##0);-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2" fillId="0" borderId="0" xfId="0" applyNumberFormat="1" applyFont="1" applyFill="1" applyBorder="1"/>
    <x:xf numFmtId="202" fontId="2" fillId="0" borderId="1" xfId="0" applyNumberFormat="1" applyFont="1" applyFill="1" applyBorder="1"/>
    <x:xf numFmtId="203" fontId="2" fillId="0" borderId="0" xfId="0" applyNumberFormat="1" applyFont="1" applyFill="1" applyBorder="1"/>
    <x:xf numFmtId="203" fontId="2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2" fillId="0" borderId="0" xfId="0" applyNumberFormat="1" applyFont="1" applyFill="1" applyBorder="1"/>
    <x:xf numFmtId="204" fontId="4" fillId="0" borderId="0" xfId="0" applyNumberFormat="1" applyFont="1" applyFill="1" applyBorder="1"/>
    <x:xf numFmtId="204" fontId="2" fillId="0" borderId="1" xfId="0" applyNumberFormat="1" applyFont="1" applyFill="1" applyBorder="1"/>
    <x:xf numFmtId="204" fontId="4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5" fontId="2" fillId="0" borderId="0" xfId="0" applyNumberFormat="1" applyFont="1" applyFill="1" applyBorder="1"/>
    <x:xf numFmtId="205" fontId="4" fillId="0" borderId="0" xfId="0" applyNumberFormat="1" applyFont="1" applyFill="1" applyBorder="1"/>
    <x:xf numFmtId="205" fontId="2" fillId="0" borderId="1" xfId="0" applyNumberFormat="1" applyFont="1" applyFill="1" applyBorder="1"/>
    <x:xf numFmtId="205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3212ecf6b4db8" /><Relationship Type="http://schemas.openxmlformats.org/officeDocument/2006/relationships/theme" Target="/xl/theme/theme1.xml" Id="Racf2f7e3f62244fe" /><Relationship Type="http://schemas.openxmlformats.org/officeDocument/2006/relationships/sharedStrings" Target="/xl/sharedStrings.xml" Id="Rae8f204460d54346" /><Relationship Type="http://schemas.openxmlformats.org/officeDocument/2006/relationships/worksheet" Target="/xl/worksheets/sheet1.xml" Id="R19da5beddb6240ff" /><Relationship Type="http://schemas.openxmlformats.org/officeDocument/2006/relationships/worksheet" Target="/xl/worksheets/sheet2.xml" Id="R98defb6deebc4d70" /><Relationship Type="http://schemas.openxmlformats.org/officeDocument/2006/relationships/worksheet" Target="/xl/worksheets/sheet3.xml" Id="R812c33e854ae4ffe" /><Relationship Type="http://schemas.openxmlformats.org/officeDocument/2006/relationships/worksheet" Target="/xl/worksheets/sheet4.xml" Id="Rac01b97734e1410e" /><Relationship Type="http://schemas.openxmlformats.org/officeDocument/2006/relationships/worksheet" Target="/xl/worksheets/sheet5.xml" Id="R91e5376bde624f91" /><Relationship Type="http://schemas.openxmlformats.org/officeDocument/2006/relationships/worksheet" Target="/xl/worksheets/sheet6.xml" Id="R1d68623fb08149c4" /><Relationship Type="http://schemas.openxmlformats.org/officeDocument/2006/relationships/worksheet" Target="/xl/worksheets/sheet7.xml" Id="Rb22515bd84c14fca" /><Relationship Type="http://schemas.openxmlformats.org/officeDocument/2006/relationships/worksheet" Target="/xl/worksheets/sheet8.xml" Id="R11db71c27b114b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aef8632b8d4cf1" /><Relationship Type="http://schemas.openxmlformats.org/officeDocument/2006/relationships/chart" Target="/xl/drawings/charts/chart2.xml" Id="Rd8cf55cef52c49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SKUs by Stockout Risk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SKU Count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Inventory Value by ABC Class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Inventory Value</c:v>
          </c:tx>
          <c:cat>
            <c:strRef>
              <c:f>'Dashboard'!$D$11:$D$13</c:f>
              <c:strCache>
                <c:ptCount val="0"/>
              </c:strCache>
            </c:strRef>
          </c:cat>
          <c:val>
            <c:numRef>
              <c:f>'Dashboard'!$E$11:$E$13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aef8632b8d4cf1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cf55cef52c49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ppliersTable" displayName="SuppliersTable" ref="A1:H13" headerRowCount="1" totalsRowCount="0" totalsRowShown="0">
  <x:tableColumns count="8">
    <x:tableColumn id="1" name="Supplier_ID"/>
    <x:tableColumn id="2" name="Supplier_Name"/>
    <x:tableColumn id="3" name="Country"/>
    <x:tableColumn id="4" name="Default_Lead_Time_Days"/>
    <x:tableColumn id="5" name="Payment_Terms_Days"/>
    <x:tableColumn id="6" name="On_Time_Delivery_%"/>
    <x:tableColumn id="7" name="Defect_Rate_%"/>
    <x:tableColumn id="8" name="Annual_Spend_US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UMasterTable" displayName="SKUMasterTable" ref="A1:M151" headerRowCount="1" totalsRowCount="0" totalsRowShown="0">
  <x:tableColumns count="13">
    <x:tableColumn id="1" name="SKU"/>
    <x:tableColumn id="2" name="Description"/>
    <x:tableColumn id="3" name="Category"/>
    <x:tableColumn id="4" name="Subcategory"/>
    <x:tableColumn id="5" name="Supplier_ID"/>
    <x:tableColumn id="6" name="Unit_Cost_USD"/>
    <x:tableColumn id="7" name="Standard_Price_USD"/>
    <x:tableColumn id="8" name="ABC_Class"/>
    <x:tableColumn id="9" name="MOQ_Units"/>
    <x:tableColumn id="10" name="Pack_Size"/>
    <x:tableColumn id="11" name="Lead_Time_Days"/>
    <x:tableColumn id="12" name="Payment_Terms_Days"/>
    <x:tableColumn id="13" name="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ntorySnapshotTable" displayName="InventorySnapshotTable" ref="A1:T151" headerRowCount="1" totalsRowCount="0" totalsRowShown="0">
  <x:tableColumns count="20">
    <x:tableColumn id="1" name="SKU"/>
    <x:tableColumn id="2" name="Description"/>
    <x:tableColumn id="3" name="ABC_Class"/>
    <x:tableColumn id="4" name="On_Hand_Units"/>
    <x:tableColumn id="5" name="Allocated_Units"/>
    <x:tableColumn id="6" name="Available_Units"/>
    <x:tableColumn id="7" name="On_Order_Units"/>
    <x:tableColumn id="8" name="Unit_Cost_USD"/>
    <x:tableColumn id="9" name="Inventory_Value_USD"/>
    <x:tableColumn id="10" name="Avg_Daily_Demand_Units"/>
    <x:tableColumn id="11" name="Days_On_Hand"/>
    <x:tableColumn id="12" name="Lead_Time_Days"/>
    <x:tableColumn id="13" name="Safety_Stock_Units"/>
    <x:tableColumn id="14" name="Reorder_Point_Units"/>
    <x:tableColumn id="15" name="Stockout_Risk"/>
    <x:tableColumn id="16" name="Excess_Units"/>
    <x:tableColumn id="17" name="Excess_Value_USD"/>
    <x:tableColumn id="18" name="Last_Movement_Date"/>
    <x:tableColumn id="19" name="Age_Days"/>
    <x:tableColumn id="20" name="Obsolescence_Ris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urchaseOrdersTable" displayName="PurchaseOrdersTable" ref="A1:M241" headerRowCount="1" totalsRowCount="0" totalsRowShown="0">
  <x:tableColumns count="13">
    <x:tableColumn id="1" name="PO_Number"/>
    <x:tableColumn id="2" name="PO_Date"/>
    <x:tableColumn id="3" name="Supplier_ID"/>
    <x:tableColumn id="4" name="SKU"/>
    <x:tableColumn id="5" name="Ordered_Units"/>
    <x:tableColumn id="6" name="Received_Units"/>
    <x:tableColumn id="7" name="Open_Units"/>
    <x:tableColumn id="8" name="Unit_Cost_USD"/>
    <x:tableColumn id="9" name="PO_Value_USD"/>
    <x:tableColumn id="10" name="Expected_Date"/>
    <x:tableColumn id="11" name="Status"/>
    <x:tableColumn id="12" name="Invoice_Status"/>
    <x:tableColumn id="13" name="Payment_Due_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alesHistoryTable" displayName="SalesHistoryTable" ref="A1:J1801" headerRowCount="1" totalsRowCount="0" totalsRowShown="0">
  <x:tableColumns count="10">
    <x:tableColumn id="1" name="Date"/>
    <x:tableColumn id="2" name="SKU"/>
    <x:tableColumn id="3" name="Units_Sold"/>
    <x:tableColumn id="4" name="Unit_Price_USD"/>
    <x:tableColumn id="5" name="Revenue_USD"/>
    <x:tableColumn id="6" name="Unit_Cost_USD"/>
    <x:tableColumn id="7" name="COGS_USD"/>
    <x:tableColumn id="8" name="Gross_Profit_USD"/>
    <x:tableColumn id="9" name="Customer_Segment"/>
    <x:tableColumn id="10" name="Reg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recastTable" displayName="ForecastTable" ref="A1:J151" headerRowCount="1" totalsRowCount="0" totalsRowShown="0">
  <x:tableColumns count="10">
    <x:tableColumn id="1" name="SKU"/>
    <x:tableColumn id="2" name="Description"/>
    <x:tableColumn id="3" name="Current_Avg_Daily_Demand"/>
    <x:tableColumn id="4" name="30D_Forecast_Units"/>
    <x:tableColumn id="5" name="60D_Forecast_Units"/>
    <x:tableColumn id="6" name="90D_Forecast_Units"/>
    <x:tableColumn id="7" name="Forecast_Growth_%"/>
    <x:tableColumn id="8" name="Unit_Cost_USD"/>
    <x:tableColumn id="9" name="90D_Forecast_COGS_USD"/>
    <x:tableColumn id="10" name="Recommended_Reorder_Un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e27ed040364a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498887477c4a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7ea4dfce0b44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cf2bea7db441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72d9a2b4a44d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971ae8566346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6a017264235a46f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</x:cols>
  <x:sheetData>
    <x:row r="1">
      <x:c r="A1" s="24" t="str">
        <x:v>Inventory Finance Model - Synthetic Test Assumptions</x:v>
      </x:c>
      <x:c r="B1" s="24"/>
      <x:c r="C1" s="3"/>
      <x:c r="D1" s="3"/>
    </x:row>
    <x:row r="2">
      <x:c r="A2" s="25"/>
      <x:c r="B2" s="25"/>
    </x:row>
    <x:row r="3">
      <x:c r="A3" s="26" t="str">
        <x:v>Assumption</x:v>
      </x:c>
      <x:c r="B3" s="26" t="str">
        <x:v>Value</x:v>
      </x:c>
    </x:row>
    <x:row r="4">
      <x:c r="A4" s="25" t="str">
        <x:v>Forecast Horizon (days)</x:v>
      </x:c>
      <x:c r="B4" s="27" t="n">
        <x:v>90</x:v>
      </x:c>
    </x:row>
    <x:row r="5">
      <x:c r="A5" s="25" t="str">
        <x:v>Target Service Level</x:v>
      </x:c>
      <x:c r="B5" s="28" t="n">
        <x:v>0.95</x:v>
      </x:c>
    </x:row>
    <x:row r="6">
      <x:c r="A6" s="25" t="str">
        <x:v>Annual Holding Cost %</x:v>
      </x:c>
      <x:c r="B6" s="28" t="n">
        <x:v>0.22</x:v>
      </x:c>
    </x:row>
    <x:row r="7">
      <x:c r="A7" s="25" t="str">
        <x:v>Default Lead Time (days)</x:v>
      </x:c>
      <x:c r="B7" s="27" t="n">
        <x:v>21</x:v>
      </x:c>
    </x:row>
    <x:row r="8">
      <x:c r="A8" s="25" t="str">
        <x:v>Default Payment Terms (days)</x:v>
      </x:c>
      <x:c r="B8" s="27" t="n">
        <x:v>45</x:v>
      </x:c>
    </x:row>
    <x:row r="9">
      <x:c r="A9" s="25" t="str">
        <x:v>Obsolescence Threshold (days)</x:v>
      </x:c>
      <x:c r="B9" s="27" t="n">
        <x:v>180</x:v>
      </x:c>
    </x:row>
    <x:row r="10">
      <x:c r="A10" s="25"/>
      <x:c r="B10" s="25"/>
    </x:row>
    <x:row r="11">
      <x:c r="A11" s="29" t="str">
        <x:v>Data Note</x:v>
      </x:c>
      <x:c r="B11" s="25" t="str">
        <x:v>All data in this workbook is synthetic and generated for Excel add-in testing.</x:v>
      </x:c>
    </x:row>
    <x:row r="12">
      <x:c r="A12" s="29" t="str">
        <x:v>Currency</x:v>
      </x:c>
      <x:c r="B12" s="25" t="str">
        <x:v>USD</x:v>
      </x:c>
    </x:row>
    <x:row r="13">
      <x:c r="A13" s="29" t="str">
        <x:v>As-of Date</x:v>
      </x:c>
      <x:c r="B13" s="30" t="n">
        <x:v>46245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22" hidden="0" customWidth="1"/>
    <x:col min="5" max="5" width="20" hidden="0" customWidth="1"/>
    <x:col min="6" max="6" width="20" hidden="0" customWidth="1"/>
    <x:col min="7" max="7" width="15" hidden="0" customWidth="1"/>
    <x:col min="8" max="8" width="20" hidden="0" customWidth="1"/>
  </x:cols>
  <x:sheetData>
    <x:row r="1">
      <x:c r="A1" s="9" t="str">
        <x:v>Supplier_ID</x:v>
      </x:c>
      <x:c r="B1" s="9" t="str">
        <x:v>Supplier_Name</x:v>
      </x:c>
      <x:c r="C1" s="9" t="str">
        <x:v>Country</x:v>
      </x:c>
      <x:c r="D1" s="9" t="str">
        <x:v>Default_Lead_Time_Days</x:v>
      </x:c>
      <x:c r="E1" s="9" t="str">
        <x:v>Payment_Terms_Days</x:v>
      </x:c>
      <x:c r="F1" s="9" t="str">
        <x:v>On_Time_Delivery_%</x:v>
      </x:c>
      <x:c r="G1" s="9" t="str">
        <x:v>Defect_Rate_%</x:v>
      </x:c>
      <x:c r="H1" s="9" t="str">
        <x:v>Annual_Spend_USD</x:v>
      </x:c>
    </x:row>
    <x:row r="2">
      <x:c r="A2" s="14" t="str">
        <x:v>SUP-001</x:v>
      </x:c>
      <x:c r="B2" s="14" t="str">
        <x:v>Apex Components</x:v>
      </x:c>
      <x:c r="C2" s="14" t="str">
        <x:v>USA</x:v>
      </x:c>
      <x:c r="D2" s="14" t="n">
        <x:v>17</x:v>
      </x:c>
      <x:c r="E2" s="14" t="n">
        <x:v>30</x:v>
      </x:c>
      <x:c r="F2" s="16" t="n">
        <x:v>0.956</x:v>
      </x:c>
      <x:c r="G2" s="16" t="n">
        <x:v>0.01</x:v>
      </x:c>
      <x:c r="H2" s="38" t="n">
        <x:v>472632</x:v>
      </x:c>
    </x:row>
    <x:row r="3">
      <x:c r="A3" s="14" t="str">
        <x:v>SUP-002</x:v>
      </x:c>
      <x:c r="B3" s="14" t="str">
        <x:v>BluePeak Manufacturing</x:v>
      </x:c>
      <x:c r="C3" s="14" t="str">
        <x:v>USA</x:v>
      </x:c>
      <x:c r="D3" s="14" t="n">
        <x:v>16</x:v>
      </x:c>
      <x:c r="E3" s="14" t="n">
        <x:v>60</x:v>
      </x:c>
      <x:c r="F3" s="16" t="n">
        <x:v>0.956</x:v>
      </x:c>
      <x:c r="G3" s="16" t="n">
        <x:v>0.02</x:v>
      </x:c>
      <x:c r="H3" s="38" t="n">
        <x:v>1418352</x:v>
      </x:c>
    </x:row>
    <x:row r="4">
      <x:c r="A4" s="14" t="str">
        <x:v>SUP-003</x:v>
      </x:c>
      <x:c r="B4" s="14" t="str">
        <x:v>Crestline Supply</x:v>
      </x:c>
      <x:c r="C4" s="14" t="str">
        <x:v>Mexico</x:v>
      </x:c>
      <x:c r="D4" s="14" t="n">
        <x:v>37</x:v>
      </x:c>
      <x:c r="E4" s="14" t="n">
        <x:v>30</x:v>
      </x:c>
      <x:c r="F4" s="16" t="n">
        <x:v>0.864</x:v>
      </x:c>
      <x:c r="G4" s="16" t="n">
        <x:v>0.009</x:v>
      </x:c>
      <x:c r="H4" s="38" t="n">
        <x:v>1239806</x:v>
      </x:c>
    </x:row>
    <x:row r="5">
      <x:c r="A5" s="14" t="str">
        <x:v>SUP-004</x:v>
      </x:c>
      <x:c r="B5" s="14" t="str">
        <x:v>Delta Industrial</x:v>
      </x:c>
      <x:c r="C5" s="14" t="str">
        <x:v>USA</x:v>
      </x:c>
      <x:c r="D5" s="14" t="n">
        <x:v>11</x:v>
      </x:c>
      <x:c r="E5" s="14" t="n">
        <x:v>60</x:v>
      </x:c>
      <x:c r="F5" s="16" t="n">
        <x:v>0.886</x:v>
      </x:c>
      <x:c r="G5" s="16" t="n">
        <x:v>0.023</x:v>
      </x:c>
      <x:c r="H5" s="38" t="n">
        <x:v>1322825</x:v>
      </x:c>
    </x:row>
    <x:row r="6">
      <x:c r="A6" s="14" t="str">
        <x:v>SUP-005</x:v>
      </x:c>
      <x:c r="B6" s="14" t="str">
        <x:v>Evergreen Materials</x:v>
      </x:c>
      <x:c r="C6" s="14" t="str">
        <x:v>Canada</x:v>
      </x:c>
      <x:c r="D6" s="14" t="n">
        <x:v>36</x:v>
      </x:c>
      <x:c r="E6" s="14" t="n">
        <x:v>30</x:v>
      </x:c>
      <x:c r="F6" s="16" t="n">
        <x:v>0.918</x:v>
      </x:c>
      <x:c r="G6" s="16" t="n">
        <x:v>0.011</x:v>
      </x:c>
      <x:c r="H6" s="38" t="n">
        <x:v>193628</x:v>
      </x:c>
    </x:row>
    <x:row r="7">
      <x:c r="A7" s="14" t="str">
        <x:v>SUP-006</x:v>
      </x:c>
      <x:c r="B7" s="14" t="str">
        <x:v>Frontier Parts</x:v>
      </x:c>
      <x:c r="C7" s="14" t="str">
        <x:v>China</x:v>
      </x:c>
      <x:c r="D7" s="14" t="n">
        <x:v>20</x:v>
      </x:c>
      <x:c r="E7" s="14" t="n">
        <x:v>60</x:v>
      </x:c>
      <x:c r="F7" s="16" t="n">
        <x:v>0.915</x:v>
      </x:c>
      <x:c r="G7" s="16" t="n">
        <x:v>0.011</x:v>
      </x:c>
      <x:c r="H7" s="38" t="n">
        <x:v>631545</x:v>
      </x:c>
    </x:row>
    <x:row r="8">
      <x:c r="A8" s="14" t="str">
        <x:v>SUP-007</x:v>
      </x:c>
      <x:c r="B8" s="14" t="str">
        <x:v>Granite Wholesale</x:v>
      </x:c>
      <x:c r="C8" s="14" t="str">
        <x:v>USA</x:v>
      </x:c>
      <x:c r="D8" s="14" t="n">
        <x:v>31</x:v>
      </x:c>
      <x:c r="E8" s="14" t="n">
        <x:v>30</x:v>
      </x:c>
      <x:c r="F8" s="16" t="n">
        <x:v>0.872</x:v>
      </x:c>
      <x:c r="G8" s="16" t="n">
        <x:v>0.005</x:v>
      </x:c>
      <x:c r="H8" s="38" t="n">
        <x:v>901327</x:v>
      </x:c>
    </x:row>
    <x:row r="9">
      <x:c r="A9" s="14" t="str">
        <x:v>SUP-008</x:v>
      </x:c>
      <x:c r="B9" s="14" t="str">
        <x:v>Harborline Imports</x:v>
      </x:c>
      <x:c r="C9" s="14" t="str">
        <x:v>Vietnam</x:v>
      </x:c>
      <x:c r="D9" s="14" t="n">
        <x:v>26</x:v>
      </x:c>
      <x:c r="E9" s="14" t="n">
        <x:v>30</x:v>
      </x:c>
      <x:c r="F9" s="16" t="n">
        <x:v>0.955</x:v>
      </x:c>
      <x:c r="G9" s="16" t="n">
        <x:v>0.02</x:v>
      </x:c>
      <x:c r="H9" s="38" t="n">
        <x:v>973844</x:v>
      </x:c>
    </x:row>
    <x:row r="10">
      <x:c r="A10" s="14" t="str">
        <x:v>SUP-009</x:v>
      </x:c>
      <x:c r="B10" s="14" t="str">
        <x:v>Ironwood Components</x:v>
      </x:c>
      <x:c r="C10" s="14" t="str">
        <x:v>USA</x:v>
      </x:c>
      <x:c r="D10" s="14" t="n">
        <x:v>15</x:v>
      </x:c>
      <x:c r="E10" s="14" t="n">
        <x:v>60</x:v>
      </x:c>
      <x:c r="F10" s="16" t="n">
        <x:v>0.898</x:v>
      </x:c>
      <x:c r="G10" s="16" t="n">
        <x:v>0.023</x:v>
      </x:c>
      <x:c r="H10" s="38" t="n">
        <x:v>938403</x:v>
      </x:c>
    </x:row>
    <x:row r="11">
      <x:c r="A11" s="14" t="str">
        <x:v>SUP-010</x:v>
      </x:c>
      <x:c r="B11" s="14" t="str">
        <x:v>Juniper Supply Co.</x:v>
      </x:c>
      <x:c r="C11" s="14" t="str">
        <x:v>USA</x:v>
      </x:c>
      <x:c r="D11" s="14" t="n">
        <x:v>22</x:v>
      </x:c>
      <x:c r="E11" s="14" t="n">
        <x:v>60</x:v>
      </x:c>
      <x:c r="F11" s="16" t="n">
        <x:v>0.869</x:v>
      </x:c>
      <x:c r="G11" s="16" t="n">
        <x:v>0.024</x:v>
      </x:c>
      <x:c r="H11" s="38" t="n">
        <x:v>786890</x:v>
      </x:c>
    </x:row>
    <x:row r="12">
      <x:c r="A12" s="14" t="str">
        <x:v>SUP-011</x:v>
      </x:c>
      <x:c r="B12" s="14" t="str">
        <x:v>Keystone Manufacturing</x:v>
      </x:c>
      <x:c r="C12" s="14" t="str">
        <x:v>Mexico</x:v>
      </x:c>
      <x:c r="D12" s="14" t="n">
        <x:v>15</x:v>
      </x:c>
      <x:c r="E12" s="14" t="n">
        <x:v>30</x:v>
      </x:c>
      <x:c r="F12" s="16" t="n">
        <x:v>0.973</x:v>
      </x:c>
      <x:c r="G12" s="16" t="n">
        <x:v>0.015</x:v>
      </x:c>
      <x:c r="H12" s="38" t="n">
        <x:v>1130870</x:v>
      </x:c>
    </x:row>
    <x:row r="13">
      <x:c r="A13" s="14" t="str">
        <x:v>SUP-012</x:v>
      </x:c>
      <x:c r="B13" s="14" t="str">
        <x:v>Lighthouse Distribution</x:v>
      </x:c>
      <x:c r="C13" s="14" t="str">
        <x:v>USA</x:v>
      </x:c>
      <x:c r="D13" s="14" t="n">
        <x:v>33</x:v>
      </x:c>
      <x:c r="E13" s="14" t="n">
        <x:v>30</x:v>
      </x:c>
      <x:c r="F13" s="16" t="n">
        <x:v>0.908</x:v>
      </x:c>
      <x:c r="G13" s="16" t="n">
        <x:v>0.009</x:v>
      </x:c>
      <x:c r="H13" s="38" t="n">
        <x:v>739893</x:v>
      </x:c>
    </x:row>
  </x:sheetData>
  <x:pageMargins left="0.7" right="0.7" top="0.75" bottom="0.75" header="0.3" footer="0.3"/>
  <x:tableParts count="1">
    <x:tablePart xmlns:r="http://schemas.openxmlformats.org/officeDocument/2006/relationships" r:id="Rece27ed040364ac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8" hidden="0" customWidth="1"/>
    <x:col min="5" max="5" width="14" hidden="0" customWidth="1"/>
    <x:col min="6" max="6" width="16" hidden="0" customWidth="1"/>
    <x:col min="7" max="7" width="18" hidden="0" customWidth="1"/>
    <x:col min="8" max="8" width="12" hidden="0" customWidth="1"/>
    <x:col min="9" max="9" width="12" hidden="0" customWidth="1"/>
    <x:col min="10" max="10" width="10" hidden="0" customWidth="1"/>
    <x:col min="11" max="11" width="16" hidden="0" customWidth="1"/>
    <x:col min="12" max="12" width="18" hidden="0" customWidth="1"/>
    <x:col min="13" max="13" width="10" hidden="0" customWidth="1"/>
  </x:cols>
  <x:sheetData>
    <x:row r="1">
      <x:c r="A1" s="9" t="str">
        <x:v>SKU</x:v>
      </x:c>
      <x:c r="B1" s="9" t="str">
        <x:v>Description</x:v>
      </x:c>
      <x:c r="C1" s="9" t="str">
        <x:v>Category</x:v>
      </x:c>
      <x:c r="D1" s="9" t="str">
        <x:v>Subcategory</x:v>
      </x:c>
      <x:c r="E1" s="9" t="str">
        <x:v>Supplier_ID</x:v>
      </x:c>
      <x:c r="F1" s="9" t="str">
        <x:v>Unit_Cost_USD</x:v>
      </x:c>
      <x:c r="G1" s="9" t="str">
        <x:v>Standard_Price_USD</x:v>
      </x:c>
      <x:c r="H1" s="9" t="str">
        <x:v>ABC_Class</x:v>
      </x:c>
      <x:c r="I1" s="9" t="str">
        <x:v>MOQ_Units</x:v>
      </x:c>
      <x:c r="J1" s="9" t="str">
        <x:v>Pack_Size</x:v>
      </x:c>
      <x:c r="K1" s="9" t="str">
        <x:v>Lead_Time_Days</x:v>
      </x:c>
      <x:c r="L1" s="9" t="str">
        <x:v>Payment_Terms_Days</x:v>
      </x:c>
      <x:c r="M1" s="9" t="str">
        <x:v>Active</x:v>
      </x:c>
    </x:row>
    <x:row r="2">
      <x:c r="A2" s="14" t="str">
        <x:v>SKU-0001</x:v>
      </x:c>
      <x:c r="B2" s="14" t="str">
        <x:v>Lubricants Item 001</x:v>
      </x:c>
      <x:c r="C2" s="14" t="str">
        <x:v>Maintenance</x:v>
      </x:c>
      <x:c r="D2" s="14" t="str">
        <x:v>Lubricants</x:v>
      </x:c>
      <x:c r="E2" s="14" t="str">
        <x:v>SUP-010</x:v>
      </x:c>
      <x:c r="F2" s="40" t="n">
        <x:v>178.71</x:v>
      </x:c>
      <x:c r="G2" s="40" t="n">
        <x:v>294.73</x:v>
      </x:c>
      <x:c r="H2" s="14" t="str">
        <x:v>B</x:v>
      </x:c>
      <x:c r="I2" s="14" t="n">
        <x:v>100</x:v>
      </x:c>
      <x:c r="J2" s="14" t="n">
        <x:v>20</x:v>
      </x:c>
      <x:c r="K2" s="14" t="n">
        <x:v>24</x:v>
      </x:c>
      <x:c r="L2" s="14" t="n">
        <x:v>60</x:v>
      </x:c>
      <x:c r="M2" s="14" t="str">
        <x:v>Yes</x:v>
      </x:c>
    </x:row>
    <x:row r="3">
      <x:c r="A3" s="14" t="str">
        <x:v>SKU-0002</x:v>
      </x:c>
      <x:c r="B3" s="14" t="str">
        <x:v>Foam Item 002</x:v>
      </x:c>
      <x:c r="C3" s="14" t="str">
        <x:v>Packaging</x:v>
      </x:c>
      <x:c r="D3" s="14" t="str">
        <x:v>Foam</x:v>
      </x:c>
      <x:c r="E3" s="14" t="str">
        <x:v>SUP-001</x:v>
      </x:c>
      <x:c r="F3" s="40" t="n">
        <x:v>66.06</x:v>
      </x:c>
      <x:c r="G3" s="40" t="n">
        <x:v>81.84</x:v>
      </x:c>
      <x:c r="H3" s="14" t="str">
        <x:v>B</x:v>
      </x:c>
      <x:c r="I3" s="14" t="n">
        <x:v>50</x:v>
      </x:c>
      <x:c r="J3" s="14" t="n">
        <x:v>1</x:v>
      </x:c>
      <x:c r="K3" s="14" t="n">
        <x:v>20</x:v>
      </x:c>
      <x:c r="L3" s="14" t="n">
        <x:v>60</x:v>
      </x:c>
      <x:c r="M3" s="14" t="str">
        <x:v>Yes</x:v>
      </x:c>
    </x:row>
    <x:row r="4">
      <x:c r="A4" s="14" t="str">
        <x:v>SKU-0003</x:v>
      </x:c>
      <x:c r="B4" s="14" t="str">
        <x:v>Bearings Item 003</x:v>
      </x:c>
      <x:c r="C4" s="14" t="str">
        <x:v>Mechanical</x:v>
      </x:c>
      <x:c r="D4" s="14" t="str">
        <x:v>Bearings</x:v>
      </x:c>
      <x:c r="E4" s="14" t="str">
        <x:v>SUP-011</x:v>
      </x:c>
      <x:c r="F4" s="40" t="n">
        <x:v>141.04</x:v>
      </x:c>
      <x:c r="G4" s="40" t="n">
        <x:v>302.58</x:v>
      </x:c>
      <x:c r="H4" s="14" t="str">
        <x:v>C</x:v>
      </x:c>
      <x:c r="I4" s="14" t="n">
        <x:v>25</x:v>
      </x:c>
      <x:c r="J4" s="14" t="n">
        <x:v>10</x:v>
      </x:c>
      <x:c r="K4" s="14" t="n">
        <x:v>15</x:v>
      </x:c>
      <x:c r="L4" s="14" t="n">
        <x:v>30</x:v>
      </x:c>
      <x:c r="M4" s="14" t="str">
        <x:v>Yes</x:v>
      </x:c>
    </x:row>
    <x:row r="5">
      <x:c r="A5" s="14" t="str">
        <x:v>SKU-0004</x:v>
      </x:c>
      <x:c r="B5" s="14" t="str">
        <x:v>First Aid Item 004</x:v>
      </x:c>
      <x:c r="C5" s="14" t="str">
        <x:v>Safety</x:v>
      </x:c>
      <x:c r="D5" s="14" t="str">
        <x:v>First Aid</x:v>
      </x:c>
      <x:c r="E5" s="14" t="str">
        <x:v>SUP-012</x:v>
      </x:c>
      <x:c r="F5" s="40" t="n">
        <x:v>164.72</x:v>
      </x:c>
      <x:c r="G5" s="40" t="n">
        <x:v>357.41</x:v>
      </x:c>
      <x:c r="H5" s="14" t="str">
        <x:v>B</x:v>
      </x:c>
      <x:c r="I5" s="14" t="n">
        <x:v>25</x:v>
      </x:c>
      <x:c r="J5" s="14" t="n">
        <x:v>5</x:v>
      </x:c>
      <x:c r="K5" s="14" t="n">
        <x:v>39</x:v>
      </x:c>
      <x:c r="L5" s="14" t="n">
        <x:v>45</x:v>
      </x:c>
      <x:c r="M5" s="14" t="str">
        <x:v>Yes</x:v>
      </x:c>
    </x:row>
    <x:row r="6">
      <x:c r="A6" s="14" t="str">
        <x:v>SKU-0005</x:v>
      </x:c>
      <x:c r="B6" s="14" t="str">
        <x:v>Sensors Item 005</x:v>
      </x:c>
      <x:c r="C6" s="14" t="str">
        <x:v>Electronics</x:v>
      </x:c>
      <x:c r="D6" s="14" t="str">
        <x:v>Sensors</x:v>
      </x:c>
      <x:c r="E6" s="14" t="str">
        <x:v>SUP-003</x:v>
      </x:c>
      <x:c r="F6" s="40" t="n">
        <x:v>176.62</x:v>
      </x:c>
      <x:c r="G6" s="40" t="n">
        <x:v>351.02</x:v>
      </x:c>
      <x:c r="H6" s="14" t="str">
        <x:v>B</x:v>
      </x:c>
      <x:c r="I6" s="14" t="n">
        <x:v>10</x:v>
      </x:c>
      <x:c r="J6" s="14" t="n">
        <x:v>20</x:v>
      </x:c>
      <x:c r="K6" s="14" t="n">
        <x:v>31</x:v>
      </x:c>
      <x:c r="L6" s="14" t="n">
        <x:v>60</x:v>
      </x:c>
      <x:c r="M6" s="14" t="str">
        <x:v>Yes</x:v>
      </x:c>
    </x:row>
    <x:row r="7">
      <x:c r="A7" s="14" t="str">
        <x:v>SKU-0006</x:v>
      </x:c>
      <x:c r="B7" s="14" t="str">
        <x:v>First Aid Item 006</x:v>
      </x:c>
      <x:c r="C7" s="14" t="str">
        <x:v>Safety</x:v>
      </x:c>
      <x:c r="D7" s="14" t="str">
        <x:v>First Aid</x:v>
      </x:c>
      <x:c r="E7" s="14" t="str">
        <x:v>SUP-009</x:v>
      </x:c>
      <x:c r="F7" s="40" t="n">
        <x:v>241.37</x:v>
      </x:c>
      <x:c r="G7" s="40" t="n">
        <x:v>296.01</x:v>
      </x:c>
      <x:c r="H7" s="14" t="str">
        <x:v>C</x:v>
      </x:c>
      <x:c r="I7" s="14" t="n">
        <x:v>500</x:v>
      </x:c>
      <x:c r="J7" s="14" t="n">
        <x:v>25</x:v>
      </x:c>
      <x:c r="K7" s="14" t="n">
        <x:v>55</x:v>
      </x:c>
      <x:c r="L7" s="14" t="n">
        <x:v>45</x:v>
      </x:c>
      <x:c r="M7" s="14" t="str">
        <x:v>Yes</x:v>
      </x:c>
    </x:row>
    <x:row r="8">
      <x:c r="A8" s="14" t="str">
        <x:v>SKU-0007</x:v>
      </x:c>
      <x:c r="B8" s="14" t="str">
        <x:v>Fasteners Item 007</x:v>
      </x:c>
      <x:c r="C8" s="14" t="str">
        <x:v>Mechanical</x:v>
      </x:c>
      <x:c r="D8" s="14" t="str">
        <x:v>Fasteners</x:v>
      </x:c>
      <x:c r="E8" s="14" t="str">
        <x:v>SUP-005</x:v>
      </x:c>
      <x:c r="F8" s="40" t="n">
        <x:v>123.15</x:v>
      </x:c>
      <x:c r="G8" s="40" t="n">
        <x:v>192.87</x:v>
      </x:c>
      <x:c r="H8" s="14" t="str">
        <x:v>C</x:v>
      </x:c>
      <x:c r="I8" s="14" t="n">
        <x:v>500</x:v>
      </x:c>
      <x:c r="J8" s="14" t="n">
        <x:v>10</x:v>
      </x:c>
      <x:c r="K8" s="14" t="n">
        <x:v>39</x:v>
      </x:c>
      <x:c r="L8" s="14" t="n">
        <x:v>30</x:v>
      </x:c>
      <x:c r="M8" s="14" t="str">
        <x:v>Yes</x:v>
      </x:c>
    </x:row>
    <x:row r="9">
      <x:c r="A9" s="14" t="str">
        <x:v>SKU-0008</x:v>
      </x:c>
      <x:c r="B9" s="14" t="str">
        <x:v>Power Item 008</x:v>
      </x:c>
      <x:c r="C9" s="14" t="str">
        <x:v>Electronics</x:v>
      </x:c>
      <x:c r="D9" s="14" t="str">
        <x:v>Power</x:v>
      </x:c>
      <x:c r="E9" s="14" t="str">
        <x:v>SUP-011</x:v>
      </x:c>
      <x:c r="F9" s="40" t="n">
        <x:v>143.38</x:v>
      </x:c>
      <x:c r="G9" s="40" t="n">
        <x:v>193.64</x:v>
      </x:c>
      <x:c r="H9" s="14" t="str">
        <x:v>B</x:v>
      </x:c>
      <x:c r="I9" s="14" t="n">
        <x:v>25</x:v>
      </x:c>
      <x:c r="J9" s="14" t="n">
        <x:v>25</x:v>
      </x:c>
      <x:c r="K9" s="14" t="n">
        <x:v>56</x:v>
      </x:c>
      <x:c r="L9" s="14" t="n">
        <x:v>60</x:v>
      </x:c>
      <x:c r="M9" s="14" t="str">
        <x:v>Yes</x:v>
      </x:c>
    </x:row>
    <x:row r="10">
      <x:c r="A10" s="14" t="str">
        <x:v>SKU-0009</x:v>
      </x:c>
      <x:c r="B10" s="14" t="str">
        <x:v>First Aid Item 009</x:v>
      </x:c>
      <x:c r="C10" s="14" t="str">
        <x:v>Safety</x:v>
      </x:c>
      <x:c r="D10" s="14" t="str">
        <x:v>First Aid</x:v>
      </x:c>
      <x:c r="E10" s="14" t="str">
        <x:v>SUP-008</x:v>
      </x:c>
      <x:c r="F10" s="40" t="n">
        <x:v>7.9</x:v>
      </x:c>
      <x:c r="G10" s="40" t="n">
        <x:v>17.62</x:v>
      </x:c>
      <x:c r="H10" s="14" t="str">
        <x:v>C</x:v>
      </x:c>
      <x:c r="I10" s="14" t="n">
        <x:v>50</x:v>
      </x:c>
      <x:c r="J10" s="14" t="n">
        <x:v>5</x:v>
      </x:c>
      <x:c r="K10" s="14" t="n">
        <x:v>10</x:v>
      </x:c>
      <x:c r="L10" s="14" t="n">
        <x:v>30</x:v>
      </x:c>
      <x:c r="M10" s="14" t="str">
        <x:v>Yes</x:v>
      </x:c>
    </x:row>
    <x:row r="11">
      <x:c r="A11" s="14" t="str">
        <x:v>SKU-0010</x:v>
      </x:c>
      <x:c r="B11" s="14" t="str">
        <x:v>Sensors Item 010</x:v>
      </x:c>
      <x:c r="C11" s="14" t="str">
        <x:v>Electronics</x:v>
      </x:c>
      <x:c r="D11" s="14" t="str">
        <x:v>Sensors</x:v>
      </x:c>
      <x:c r="E11" s="14" t="str">
        <x:v>SUP-012</x:v>
      </x:c>
      <x:c r="F11" s="40" t="n">
        <x:v>137.36</x:v>
      </x:c>
      <x:c r="G11" s="40" t="n">
        <x:v>173.37</x:v>
      </x:c>
      <x:c r="H11" s="14" t="str">
        <x:v>C</x:v>
      </x:c>
      <x:c r="I11" s="14" t="n">
        <x:v>25</x:v>
      </x:c>
      <x:c r="J11" s="14" t="n">
        <x:v>5</x:v>
      </x:c>
      <x:c r="K11" s="14" t="n">
        <x:v>49</x:v>
      </x:c>
      <x:c r="L11" s="14" t="n">
        <x:v>45</x:v>
      </x:c>
      <x:c r="M11" s="14" t="str">
        <x:v>Yes</x:v>
      </x:c>
    </x:row>
    <x:row r="12">
      <x:c r="A12" s="14" t="str">
        <x:v>SKU-0011</x:v>
      </x:c>
      <x:c r="B12" s="14" t="str">
        <x:v>Foam Item 011</x:v>
      </x:c>
      <x:c r="C12" s="14" t="str">
        <x:v>Packaging</x:v>
      </x:c>
      <x:c r="D12" s="14" t="str">
        <x:v>Foam</x:v>
      </x:c>
      <x:c r="E12" s="14" t="str">
        <x:v>SUP-009</x:v>
      </x:c>
      <x:c r="F12" s="40" t="n">
        <x:v>244.6</x:v>
      </x:c>
      <x:c r="G12" s="40" t="n">
        <x:v>375.88</x:v>
      </x:c>
      <x:c r="H12" s="14" t="str">
        <x:v>B</x:v>
      </x:c>
      <x:c r="I12" s="14" t="n">
        <x:v>200</x:v>
      </x:c>
      <x:c r="J12" s="14" t="n">
        <x:v>50</x:v>
      </x:c>
      <x:c r="K12" s="14" t="n">
        <x:v>51</x:v>
      </x:c>
      <x:c r="L12" s="14" t="n">
        <x:v>30</x:v>
      </x:c>
      <x:c r="M12" s="14" t="str">
        <x:v>Yes</x:v>
      </x:c>
    </x:row>
    <x:row r="13">
      <x:c r="A13" s="14" t="str">
        <x:v>SKU-0012</x:v>
      </x:c>
      <x:c r="B13" s="14" t="str">
        <x:v>Accessories Item 012</x:v>
      </x:c>
      <x:c r="C13" s="14" t="str">
        <x:v>Office</x:v>
      </x:c>
      <x:c r="D13" s="14" t="str">
        <x:v>Accessories</x:v>
      </x:c>
      <x:c r="E13" s="14" t="str">
        <x:v>SUP-008</x:v>
      </x:c>
      <x:c r="F13" s="40" t="n">
        <x:v>252.14</x:v>
      </x:c>
      <x:c r="G13" s="40" t="n">
        <x:v>394.34</x:v>
      </x:c>
      <x:c r="H13" s="14" t="str">
        <x:v>B</x:v>
      </x:c>
      <x:c r="I13" s="14" t="n">
        <x:v>10</x:v>
      </x:c>
      <x:c r="J13" s="14" t="n">
        <x:v>10</x:v>
      </x:c>
      <x:c r="K13" s="14" t="n">
        <x:v>8</x:v>
      </x:c>
      <x:c r="L13" s="14" t="n">
        <x:v>60</x:v>
      </x:c>
      <x:c r="M13" s="14" t="str">
        <x:v>Yes</x:v>
      </x:c>
    </x:row>
    <x:row r="14">
      <x:c r="A14" s="14" t="str">
        <x:v>SKU-0013</x:v>
      </x:c>
      <x:c r="B14" s="14" t="str">
        <x:v>Eyewear Item 013</x:v>
      </x:c>
      <x:c r="C14" s="14" t="str">
        <x:v>Safety</x:v>
      </x:c>
      <x:c r="D14" s="14" t="str">
        <x:v>Eyewear</x:v>
      </x:c>
      <x:c r="E14" s="14" t="str">
        <x:v>SUP-001</x:v>
      </x:c>
      <x:c r="F14" s="40" t="n">
        <x:v>22.2</x:v>
      </x:c>
      <x:c r="G14" s="40" t="n">
        <x:v>39.11</x:v>
      </x:c>
      <x:c r="H14" s="14" t="str">
        <x:v>B</x:v>
      </x:c>
      <x:c r="I14" s="14" t="n">
        <x:v>10</x:v>
      </x:c>
      <x:c r="J14" s="14" t="n">
        <x:v>10</x:v>
      </x:c>
      <x:c r="K14" s="14" t="n">
        <x:v>11</x:v>
      </x:c>
      <x:c r="L14" s="14" t="n">
        <x:v>60</x:v>
      </x:c>
      <x:c r="M14" s="14" t="str">
        <x:v>Yes</x:v>
      </x:c>
    </x:row>
    <x:row r="15">
      <x:c r="A15" s="14" t="str">
        <x:v>SKU-0014</x:v>
      </x:c>
      <x:c r="B15" s="14" t="str">
        <x:v>Tools Item 014</x:v>
      </x:c>
      <x:c r="C15" s="14" t="str">
        <x:v>Maintenance</x:v>
      </x:c>
      <x:c r="D15" s="14" t="str">
        <x:v>Tools</x:v>
      </x:c>
      <x:c r="E15" s="14" t="str">
        <x:v>SUP-004</x:v>
      </x:c>
      <x:c r="F15" s="40" t="n">
        <x:v>152.14</x:v>
      </x:c>
      <x:c r="G15" s="40" t="n">
        <x:v>286.7</x:v>
      </x:c>
      <x:c r="H15" s="14" t="str">
        <x:v>C</x:v>
      </x:c>
      <x:c r="I15" s="14" t="n">
        <x:v>200</x:v>
      </x:c>
      <x:c r="J15" s="14" t="n">
        <x:v>20</x:v>
      </x:c>
      <x:c r="K15" s="14" t="n">
        <x:v>22</x:v>
      </x:c>
      <x:c r="L15" s="14" t="n">
        <x:v>45</x:v>
      </x:c>
      <x:c r="M15" s="14" t="str">
        <x:v>Yes</x:v>
      </x:c>
    </x:row>
    <x:row r="16">
      <x:c r="A16" s="14" t="str">
        <x:v>SKU-0015</x:v>
      </x:c>
      <x:c r="B16" s="14" t="str">
        <x:v>Cartons Item 015</x:v>
      </x:c>
      <x:c r="C16" s="14" t="str">
        <x:v>Packaging</x:v>
      </x:c>
      <x:c r="D16" s="14" t="str">
        <x:v>Cartons</x:v>
      </x:c>
      <x:c r="E16" s="14" t="str">
        <x:v>SUP-002</x:v>
      </x:c>
      <x:c r="F16" s="40" t="n">
        <x:v>185.37</x:v>
      </x:c>
      <x:c r="G16" s="40" t="n">
        <x:v>273.29</x:v>
      </x:c>
      <x:c r="H16" s="14" t="str">
        <x:v>B</x:v>
      </x:c>
      <x:c r="I16" s="14" t="n">
        <x:v>500</x:v>
      </x:c>
      <x:c r="J16" s="14" t="n">
        <x:v>1</x:v>
      </x:c>
      <x:c r="K16" s="14" t="n">
        <x:v>50</x:v>
      </x:c>
      <x:c r="L16" s="14" t="n">
        <x:v>60</x:v>
      </x:c>
      <x:c r="M16" s="14" t="str">
        <x:v>Yes</x:v>
      </x:c>
    </x:row>
    <x:row r="17">
      <x:c r="A17" s="14" t="str">
        <x:v>SKU-0016</x:v>
      </x:c>
      <x:c r="B17" s="14" t="str">
        <x:v>Sensors Item 016</x:v>
      </x:c>
      <x:c r="C17" s="14" t="str">
        <x:v>Electronics</x:v>
      </x:c>
      <x:c r="D17" s="14" t="str">
        <x:v>Sensors</x:v>
      </x:c>
      <x:c r="E17" s="14" t="str">
        <x:v>SUP-007</x:v>
      </x:c>
      <x:c r="F17" s="40" t="n">
        <x:v>204.58</x:v>
      </x:c>
      <x:c r="G17" s="40" t="n">
        <x:v>409.35</x:v>
      </x:c>
      <x:c r="H17" s="14" t="str">
        <x:v>A</x:v>
      </x:c>
      <x:c r="I17" s="14" t="n">
        <x:v>25</x:v>
      </x:c>
      <x:c r="J17" s="14" t="n">
        <x:v>5</x:v>
      </x:c>
      <x:c r="K17" s="14" t="n">
        <x:v>41</x:v>
      </x:c>
      <x:c r="L17" s="14" t="n">
        <x:v>45</x:v>
      </x:c>
      <x:c r="M17" s="14" t="str">
        <x:v>Yes</x:v>
      </x:c>
    </x:row>
    <x:row r="18">
      <x:c r="A18" s="14" t="str">
        <x:v>SKU-0017</x:v>
      </x:c>
      <x:c r="B18" s="14" t="str">
        <x:v>Foam Item 017</x:v>
      </x:c>
      <x:c r="C18" s="14" t="str">
        <x:v>Packaging</x:v>
      </x:c>
      <x:c r="D18" s="14" t="str">
        <x:v>Foam</x:v>
      </x:c>
      <x:c r="E18" s="14" t="str">
        <x:v>SUP-008</x:v>
      </x:c>
      <x:c r="F18" s="40" t="n">
        <x:v>71.82</x:v>
      </x:c>
      <x:c r="G18" s="40" t="n">
        <x:v>159.35</x:v>
      </x:c>
      <x:c r="H18" s="14" t="str">
        <x:v>B</x:v>
      </x:c>
      <x:c r="I18" s="14" t="n">
        <x:v>200</x:v>
      </x:c>
      <x:c r="J18" s="14" t="n">
        <x:v>1</x:v>
      </x:c>
      <x:c r="K18" s="14" t="n">
        <x:v>10</x:v>
      </x:c>
      <x:c r="L18" s="14" t="n">
        <x:v>60</x:v>
      </x:c>
      <x:c r="M18" s="14" t="str">
        <x:v>Yes</x:v>
      </x:c>
    </x:row>
    <x:row r="19">
      <x:c r="A19" s="14" t="str">
        <x:v>SKU-0018</x:v>
      </x:c>
      <x:c r="B19" s="14" t="str">
        <x:v>Sensors Item 018</x:v>
      </x:c>
      <x:c r="C19" s="14" t="str">
        <x:v>Electronics</x:v>
      </x:c>
      <x:c r="D19" s="14" t="str">
        <x:v>Sensors</x:v>
      </x:c>
      <x:c r="E19" s="14" t="str">
        <x:v>SUP-004</x:v>
      </x:c>
      <x:c r="F19" s="40" t="n">
        <x:v>48.65</x:v>
      </x:c>
      <x:c r="G19" s="40" t="n">
        <x:v>77.75</x:v>
      </x:c>
      <x:c r="H19" s="14" t="str">
        <x:v>B</x:v>
      </x:c>
      <x:c r="I19" s="14" t="n">
        <x:v>100</x:v>
      </x:c>
      <x:c r="J19" s="14" t="n">
        <x:v>1</x:v>
      </x:c>
      <x:c r="K19" s="14" t="n">
        <x:v>17</x:v>
      </x:c>
      <x:c r="L19" s="14" t="n">
        <x:v>45</x:v>
      </x:c>
      <x:c r="M19" s="14" t="str">
        <x:v>No</x:v>
      </x:c>
    </x:row>
    <x:row r="20">
      <x:c r="A20" s="14" t="str">
        <x:v>SKU-0019</x:v>
      </x:c>
      <x:c r="B20" s="14" t="str">
        <x:v>Accessories Item 019</x:v>
      </x:c>
      <x:c r="C20" s="14" t="str">
        <x:v>Office</x:v>
      </x:c>
      <x:c r="D20" s="14" t="str">
        <x:v>Accessories</x:v>
      </x:c>
      <x:c r="E20" s="14" t="str">
        <x:v>SUP-008</x:v>
      </x:c>
      <x:c r="F20" s="40" t="n">
        <x:v>81.66</x:v>
      </x:c>
      <x:c r="G20" s="40" t="n">
        <x:v>150.84</x:v>
      </x:c>
      <x:c r="H20" s="14" t="str">
        <x:v>C</x:v>
      </x:c>
      <x:c r="I20" s="14" t="n">
        <x:v>200</x:v>
      </x:c>
      <x:c r="J20" s="14" t="n">
        <x:v>50</x:v>
      </x:c>
      <x:c r="K20" s="14" t="n">
        <x:v>52</x:v>
      </x:c>
      <x:c r="L20" s="14" t="n">
        <x:v>45</x:v>
      </x:c>
      <x:c r="M20" s="14" t="str">
        <x:v>Yes</x:v>
      </x:c>
    </x:row>
    <x:row r="21">
      <x:c r="A21" s="14" t="str">
        <x:v>SKU-0020</x:v>
      </x:c>
      <x:c r="B21" s="14" t="str">
        <x:v>Bearings Item 020</x:v>
      </x:c>
      <x:c r="C21" s="14" t="str">
        <x:v>Mechanical</x:v>
      </x:c>
      <x:c r="D21" s="14" t="str">
        <x:v>Bearings</x:v>
      </x:c>
      <x:c r="E21" s="14" t="str">
        <x:v>SUP-001</x:v>
      </x:c>
      <x:c r="F21" s="40" t="n">
        <x:v>163.22</x:v>
      </x:c>
      <x:c r="G21" s="40" t="n">
        <x:v>270.63</x:v>
      </x:c>
      <x:c r="H21" s="14" t="str">
        <x:v>C</x:v>
      </x:c>
      <x:c r="I21" s="14" t="n">
        <x:v>10</x:v>
      </x:c>
      <x:c r="J21" s="14" t="n">
        <x:v>1</x:v>
      </x:c>
      <x:c r="K21" s="14" t="n">
        <x:v>44</x:v>
      </x:c>
      <x:c r="L21" s="14" t="n">
        <x:v>45</x:v>
      </x:c>
      <x:c r="M21" s="14" t="str">
        <x:v>Yes</x:v>
      </x:c>
    </x:row>
    <x:row r="22">
      <x:c r="A22" s="14" t="str">
        <x:v>SKU-0021</x:v>
      </x:c>
      <x:c r="B22" s="14" t="str">
        <x:v>Eyewear Item 021</x:v>
      </x:c>
      <x:c r="C22" s="14" t="str">
        <x:v>Safety</x:v>
      </x:c>
      <x:c r="D22" s="14" t="str">
        <x:v>Eyewear</x:v>
      </x:c>
      <x:c r="E22" s="14" t="str">
        <x:v>SUP-001</x:v>
      </x:c>
      <x:c r="F22" s="40" t="n">
        <x:v>269.12</x:v>
      </x:c>
      <x:c r="G22" s="40" t="n">
        <x:v>341.54</x:v>
      </x:c>
      <x:c r="H22" s="14" t="str">
        <x:v>A</x:v>
      </x:c>
      <x:c r="I22" s="14" t="n">
        <x:v>200</x:v>
      </x:c>
      <x:c r="J22" s="14" t="n">
        <x:v>1</x:v>
      </x:c>
      <x:c r="K22" s="14" t="n">
        <x:v>50</x:v>
      </x:c>
      <x:c r="L22" s="14" t="n">
        <x:v>30</x:v>
      </x:c>
      <x:c r="M22" s="14" t="str">
        <x:v>Yes</x:v>
      </x:c>
    </x:row>
    <x:row r="23">
      <x:c r="A23" s="14" t="str">
        <x:v>SKU-0022</x:v>
      </x:c>
      <x:c r="B23" s="14" t="str">
        <x:v>Eyewear Item 022</x:v>
      </x:c>
      <x:c r="C23" s="14" t="str">
        <x:v>Safety</x:v>
      </x:c>
      <x:c r="D23" s="14" t="str">
        <x:v>Eyewear</x:v>
      </x:c>
      <x:c r="E23" s="14" t="str">
        <x:v>SUP-010</x:v>
      </x:c>
      <x:c r="F23" s="40" t="n">
        <x:v>167.48</x:v>
      </x:c>
      <x:c r="G23" s="40" t="n">
        <x:v>292.67</x:v>
      </x:c>
      <x:c r="H23" s="14" t="str">
        <x:v>B</x:v>
      </x:c>
      <x:c r="I23" s="14" t="n">
        <x:v>200</x:v>
      </x:c>
      <x:c r="J23" s="14" t="n">
        <x:v>25</x:v>
      </x:c>
      <x:c r="K23" s="14" t="n">
        <x:v>40</x:v>
      </x:c>
      <x:c r="L23" s="14" t="n">
        <x:v>45</x:v>
      </x:c>
      <x:c r="M23" s="14" t="str">
        <x:v>Yes</x:v>
      </x:c>
    </x:row>
    <x:row r="24">
      <x:c r="A24" s="14" t="str">
        <x:v>SKU-0023</x:v>
      </x:c>
      <x:c r="B24" s="14" t="str">
        <x:v>Foam Item 023</x:v>
      </x:c>
      <x:c r="C24" s="14" t="str">
        <x:v>Packaging</x:v>
      </x:c>
      <x:c r="D24" s="14" t="str">
        <x:v>Foam</x:v>
      </x:c>
      <x:c r="E24" s="14" t="str">
        <x:v>SUP-004</x:v>
      </x:c>
      <x:c r="F24" s="40" t="n">
        <x:v>76.21</x:v>
      </x:c>
      <x:c r="G24" s="40" t="n">
        <x:v>99.28</x:v>
      </x:c>
      <x:c r="H24" s="14" t="str">
        <x:v>C</x:v>
      </x:c>
      <x:c r="I24" s="14" t="n">
        <x:v>100</x:v>
      </x:c>
      <x:c r="J24" s="14" t="n">
        <x:v>10</x:v>
      </x:c>
      <x:c r="K24" s="14" t="n">
        <x:v>55</x:v>
      </x:c>
      <x:c r="L24" s="14" t="n">
        <x:v>30</x:v>
      </x:c>
      <x:c r="M24" s="14" t="str">
        <x:v>No</x:v>
      </x:c>
    </x:row>
    <x:row r="25">
      <x:c r="A25" s="14" t="str">
        <x:v>SKU-0024</x:v>
      </x:c>
      <x:c r="B25" s="14" t="str">
        <x:v>Gloves Item 024</x:v>
      </x:c>
      <x:c r="C25" s="14" t="str">
        <x:v>Safety</x:v>
      </x:c>
      <x:c r="D25" s="14" t="str">
        <x:v>Gloves</x:v>
      </x:c>
      <x:c r="E25" s="14" t="str">
        <x:v>SUP-002</x:v>
      </x:c>
      <x:c r="F25" s="40" t="n">
        <x:v>151.69</x:v>
      </x:c>
      <x:c r="G25" s="40" t="n">
        <x:v>245.59</x:v>
      </x:c>
      <x:c r="H25" s="14" t="str">
        <x:v>A</x:v>
      </x:c>
      <x:c r="I25" s="14" t="n">
        <x:v>50</x:v>
      </x:c>
      <x:c r="J25" s="14" t="n">
        <x:v>1</x:v>
      </x:c>
      <x:c r="K25" s="14" t="n">
        <x:v>22</x:v>
      </x:c>
      <x:c r="L25" s="14" t="n">
        <x:v>45</x:v>
      </x:c>
      <x:c r="M25" s="14" t="str">
        <x:v>Yes</x:v>
      </x:c>
    </x:row>
    <x:row r="26">
      <x:c r="A26" s="14" t="str">
        <x:v>SKU-0025</x:v>
      </x:c>
      <x:c r="B26" s="14" t="str">
        <x:v>Accessories Item 025</x:v>
      </x:c>
      <x:c r="C26" s="14" t="str">
        <x:v>Office</x:v>
      </x:c>
      <x:c r="D26" s="14" t="str">
        <x:v>Accessories</x:v>
      </x:c>
      <x:c r="E26" s="14" t="str">
        <x:v>SUP-010</x:v>
      </x:c>
      <x:c r="F26" s="40" t="n">
        <x:v>275.52</x:v>
      </x:c>
      <x:c r="G26" s="40" t="n">
        <x:v>554.19</x:v>
      </x:c>
      <x:c r="H26" s="14" t="str">
        <x:v>B</x:v>
      </x:c>
      <x:c r="I26" s="14" t="n">
        <x:v>500</x:v>
      </x:c>
      <x:c r="J26" s="14" t="n">
        <x:v>25</x:v>
      </x:c>
      <x:c r="K26" s="14" t="n">
        <x:v>26</x:v>
      </x:c>
      <x:c r="L26" s="14" t="n">
        <x:v>60</x:v>
      </x:c>
      <x:c r="M26" s="14" t="str">
        <x:v>Yes</x:v>
      </x:c>
    </x:row>
    <x:row r="27">
      <x:c r="A27" s="14" t="str">
        <x:v>SKU-0026</x:v>
      </x:c>
      <x:c r="B27" s="14" t="str">
        <x:v>Foam Item 026</x:v>
      </x:c>
      <x:c r="C27" s="14" t="str">
        <x:v>Packaging</x:v>
      </x:c>
      <x:c r="D27" s="14" t="str">
        <x:v>Foam</x:v>
      </x:c>
      <x:c r="E27" s="14" t="str">
        <x:v>SUP-002</x:v>
      </x:c>
      <x:c r="F27" s="40" t="n">
        <x:v>249.4</x:v>
      </x:c>
      <x:c r="G27" s="40" t="n">
        <x:v>476.83</x:v>
      </x:c>
      <x:c r="H27" s="14" t="str">
        <x:v>A</x:v>
      </x:c>
      <x:c r="I27" s="14" t="n">
        <x:v>50</x:v>
      </x:c>
      <x:c r="J27" s="14" t="n">
        <x:v>25</x:v>
      </x:c>
      <x:c r="K27" s="14" t="n">
        <x:v>20</x:v>
      </x:c>
      <x:c r="L27" s="14" t="n">
        <x:v>60</x:v>
      </x:c>
      <x:c r="M27" s="14" t="str">
        <x:v>Yes</x:v>
      </x:c>
    </x:row>
    <x:row r="28">
      <x:c r="A28" s="14" t="str">
        <x:v>SKU-0027</x:v>
      </x:c>
      <x:c r="B28" s="14" t="str">
        <x:v>Cleaning Item 027</x:v>
      </x:c>
      <x:c r="C28" s="14" t="str">
        <x:v>Maintenance</x:v>
      </x:c>
      <x:c r="D28" s="14" t="str">
        <x:v>Cleaning</x:v>
      </x:c>
      <x:c r="E28" s="14" t="str">
        <x:v>SUP-009</x:v>
      </x:c>
      <x:c r="F28" s="40" t="n">
        <x:v>138.07</x:v>
      </x:c>
      <x:c r="G28" s="40" t="n">
        <x:v>301.55</x:v>
      </x:c>
      <x:c r="H28" s="14" t="str">
        <x:v>C</x:v>
      </x:c>
      <x:c r="I28" s="14" t="n">
        <x:v>10</x:v>
      </x:c>
      <x:c r="J28" s="14" t="n">
        <x:v>50</x:v>
      </x:c>
      <x:c r="K28" s="14" t="n">
        <x:v>34</x:v>
      </x:c>
      <x:c r="L28" s="14" t="n">
        <x:v>45</x:v>
      </x:c>
      <x:c r="M28" s="14" t="str">
        <x:v>Yes</x:v>
      </x:c>
    </x:row>
    <x:row r="29">
      <x:c r="A29" s="14" t="str">
        <x:v>SKU-0028</x:v>
      </x:c>
      <x:c r="B29" s="14" t="str">
        <x:v>Bearings Item 028</x:v>
      </x:c>
      <x:c r="C29" s="14" t="str">
        <x:v>Mechanical</x:v>
      </x:c>
      <x:c r="D29" s="14" t="str">
        <x:v>Bearings</x:v>
      </x:c>
      <x:c r="E29" s="14" t="str">
        <x:v>SUP-011</x:v>
      </x:c>
      <x:c r="F29" s="40" t="n">
        <x:v>274.39</x:v>
      </x:c>
      <x:c r="G29" s="40" t="n">
        <x:v>363.25</x:v>
      </x:c>
      <x:c r="H29" s="14" t="str">
        <x:v>B</x:v>
      </x:c>
      <x:c r="I29" s="14" t="n">
        <x:v>500</x:v>
      </x:c>
      <x:c r="J29" s="14" t="n">
        <x:v>20</x:v>
      </x:c>
      <x:c r="K29" s="14" t="n">
        <x:v>42</x:v>
      </x:c>
      <x:c r="L29" s="14" t="n">
        <x:v>30</x:v>
      </x:c>
      <x:c r="M29" s="14" t="str">
        <x:v>Yes</x:v>
      </x:c>
    </x:row>
    <x:row r="30">
      <x:c r="A30" s="14" t="str">
        <x:v>SKU-0029</x:v>
      </x:c>
      <x:c r="B30" s="14" t="str">
        <x:v>Filters Item 029</x:v>
      </x:c>
      <x:c r="C30" s="14" t="str">
        <x:v>Maintenance</x:v>
      </x:c>
      <x:c r="D30" s="14" t="str">
        <x:v>Filters</x:v>
      </x:c>
      <x:c r="E30" s="14" t="str">
        <x:v>SUP-009</x:v>
      </x:c>
      <x:c r="F30" s="40" t="n">
        <x:v>12.5</x:v>
      </x:c>
      <x:c r="G30" s="40" t="n">
        <x:v>18.59</x:v>
      </x:c>
      <x:c r="H30" s="14" t="str">
        <x:v>C</x:v>
      </x:c>
      <x:c r="I30" s="14" t="n">
        <x:v>100</x:v>
      </x:c>
      <x:c r="J30" s="14" t="n">
        <x:v>5</x:v>
      </x:c>
      <x:c r="K30" s="14" t="n">
        <x:v>9</x:v>
      </x:c>
      <x:c r="L30" s="14" t="n">
        <x:v>45</x:v>
      </x:c>
      <x:c r="M30" s="14" t="str">
        <x:v>Yes</x:v>
      </x:c>
    </x:row>
    <x:row r="31">
      <x:c r="A31" s="14" t="str">
        <x:v>SKU-0030</x:v>
      </x:c>
      <x:c r="B31" s="14" t="str">
        <x:v>Power Item 030</x:v>
      </x:c>
      <x:c r="C31" s="14" t="str">
        <x:v>Electronics</x:v>
      </x:c>
      <x:c r="D31" s="14" t="str">
        <x:v>Power</x:v>
      </x:c>
      <x:c r="E31" s="14" t="str">
        <x:v>SUP-004</x:v>
      </x:c>
      <x:c r="F31" s="40" t="n">
        <x:v>191.77</x:v>
      </x:c>
      <x:c r="G31" s="40" t="n">
        <x:v>346.64</x:v>
      </x:c>
      <x:c r="H31" s="14" t="str">
        <x:v>B</x:v>
      </x:c>
      <x:c r="I31" s="14" t="n">
        <x:v>200</x:v>
      </x:c>
      <x:c r="J31" s="14" t="n">
        <x:v>20</x:v>
      </x:c>
      <x:c r="K31" s="14" t="n">
        <x:v>46</x:v>
      </x:c>
      <x:c r="L31" s="14" t="n">
        <x:v>60</x:v>
      </x:c>
      <x:c r="M31" s="14" t="str">
        <x:v>Yes</x:v>
      </x:c>
    </x:row>
    <x:row r="32">
      <x:c r="A32" s="14" t="str">
        <x:v>SKU-0031</x:v>
      </x:c>
      <x:c r="B32" s="14" t="str">
        <x:v>Labels Item 031</x:v>
      </x:c>
      <x:c r="C32" s="14" t="str">
        <x:v>Packaging</x:v>
      </x:c>
      <x:c r="D32" s="14" t="str">
        <x:v>Labels</x:v>
      </x:c>
      <x:c r="E32" s="14" t="str">
        <x:v>SUP-003</x:v>
      </x:c>
      <x:c r="F32" s="40" t="n">
        <x:v>247.09</x:v>
      </x:c>
      <x:c r="G32" s="40" t="n">
        <x:v>305.02</x:v>
      </x:c>
      <x:c r="H32" s="14" t="str">
        <x:v>C</x:v>
      </x:c>
      <x:c r="I32" s="14" t="n">
        <x:v>50</x:v>
      </x:c>
      <x:c r="J32" s="14" t="n">
        <x:v>20</x:v>
      </x:c>
      <x:c r="K32" s="14" t="n">
        <x:v>58</x:v>
      </x:c>
      <x:c r="L32" s="14" t="n">
        <x:v>60</x:v>
      </x:c>
      <x:c r="M32" s="14" t="str">
        <x:v>Yes</x:v>
      </x:c>
    </x:row>
    <x:row r="33">
      <x:c r="A33" s="14" t="str">
        <x:v>SKU-0032</x:v>
      </x:c>
      <x:c r="B33" s="14" t="str">
        <x:v>Foam Item 032</x:v>
      </x:c>
      <x:c r="C33" s="14" t="str">
        <x:v>Packaging</x:v>
      </x:c>
      <x:c r="D33" s="14" t="str">
        <x:v>Foam</x:v>
      </x:c>
      <x:c r="E33" s="14" t="str">
        <x:v>SUP-003</x:v>
      </x:c>
      <x:c r="F33" s="40" t="n">
        <x:v>221</x:v>
      </x:c>
      <x:c r="G33" s="40" t="n">
        <x:v>284.51</x:v>
      </x:c>
      <x:c r="H33" s="14" t="str">
        <x:v>C</x:v>
      </x:c>
      <x:c r="I33" s="14" t="n">
        <x:v>100</x:v>
      </x:c>
      <x:c r="J33" s="14" t="n">
        <x:v>5</x:v>
      </x:c>
      <x:c r="K33" s="14" t="n">
        <x:v>19</x:v>
      </x:c>
      <x:c r="L33" s="14" t="n">
        <x:v>45</x:v>
      </x:c>
      <x:c r="M33" s="14" t="str">
        <x:v>Yes</x:v>
      </x:c>
    </x:row>
    <x:row r="34">
      <x:c r="A34" s="14" t="str">
        <x:v>SKU-0033</x:v>
      </x:c>
      <x:c r="B34" s="14" t="str">
        <x:v>Labels Item 033</x:v>
      </x:c>
      <x:c r="C34" s="14" t="str">
        <x:v>Packaging</x:v>
      </x:c>
      <x:c r="D34" s="14" t="str">
        <x:v>Labels</x:v>
      </x:c>
      <x:c r="E34" s="14" t="str">
        <x:v>SUP-001</x:v>
      </x:c>
      <x:c r="F34" s="40" t="n">
        <x:v>185.66</x:v>
      </x:c>
      <x:c r="G34" s="40" t="n">
        <x:v>281.04</x:v>
      </x:c>
      <x:c r="H34" s="14" t="str">
        <x:v>B</x:v>
      </x:c>
      <x:c r="I34" s="14" t="n">
        <x:v>10</x:v>
      </x:c>
      <x:c r="J34" s="14" t="n">
        <x:v>10</x:v>
      </x:c>
      <x:c r="K34" s="14" t="n">
        <x:v>29</x:v>
      </x:c>
      <x:c r="L34" s="14" t="n">
        <x:v>60</x:v>
      </x:c>
      <x:c r="M34" s="14" t="str">
        <x:v>Yes</x:v>
      </x:c>
    </x:row>
    <x:row r="35">
      <x:c r="A35" s="14" t="str">
        <x:v>SKU-0034</x:v>
      </x:c>
      <x:c r="B35" s="14" t="str">
        <x:v>Cleaning Item 034</x:v>
      </x:c>
      <x:c r="C35" s="14" t="str">
        <x:v>Maintenance</x:v>
      </x:c>
      <x:c r="D35" s="14" t="str">
        <x:v>Cleaning</x:v>
      </x:c>
      <x:c r="E35" s="14" t="str">
        <x:v>SUP-001</x:v>
      </x:c>
      <x:c r="F35" s="40" t="n">
        <x:v>34.51</x:v>
      </x:c>
      <x:c r="G35" s="40" t="n">
        <x:v>79.91</x:v>
      </x:c>
      <x:c r="H35" s="14" t="str">
        <x:v>A</x:v>
      </x:c>
      <x:c r="I35" s="14" t="n">
        <x:v>50</x:v>
      </x:c>
      <x:c r="J35" s="14" t="n">
        <x:v>1</x:v>
      </x:c>
      <x:c r="K35" s="14" t="n">
        <x:v>13</x:v>
      </x:c>
      <x:c r="L35" s="14" t="n">
        <x:v>60</x:v>
      </x:c>
      <x:c r="M35" s="14" t="str">
        <x:v>Yes</x:v>
      </x:c>
    </x:row>
    <x:row r="36">
      <x:c r="A36" s="14" t="str">
        <x:v>SKU-0035</x:v>
      </x:c>
      <x:c r="B36" s="14" t="str">
        <x:v>Cleaning Item 035</x:v>
      </x:c>
      <x:c r="C36" s="14" t="str">
        <x:v>Maintenance</x:v>
      </x:c>
      <x:c r="D36" s="14" t="str">
        <x:v>Cleaning</x:v>
      </x:c>
      <x:c r="E36" s="14" t="str">
        <x:v>SUP-007</x:v>
      </x:c>
      <x:c r="F36" s="40" t="n">
        <x:v>170.72</x:v>
      </x:c>
      <x:c r="G36" s="40" t="n">
        <x:v>277.4</x:v>
      </x:c>
      <x:c r="H36" s="14" t="str">
        <x:v>B</x:v>
      </x:c>
      <x:c r="I36" s="14" t="n">
        <x:v>200</x:v>
      </x:c>
      <x:c r="J36" s="14" t="n">
        <x:v>5</x:v>
      </x:c>
      <x:c r="K36" s="14" t="n">
        <x:v>23</x:v>
      </x:c>
      <x:c r="L36" s="14" t="n">
        <x:v>30</x:v>
      </x:c>
      <x:c r="M36" s="14" t="str">
        <x:v>Yes</x:v>
      </x:c>
    </x:row>
    <x:row r="37">
      <x:c r="A37" s="14" t="str">
        <x:v>SKU-0036</x:v>
      </x:c>
      <x:c r="B37" s="14" t="str">
        <x:v>Cables Item 036</x:v>
      </x:c>
      <x:c r="C37" s="14" t="str">
        <x:v>Electronics</x:v>
      </x:c>
      <x:c r="D37" s="14" t="str">
        <x:v>Cables</x:v>
      </x:c>
      <x:c r="E37" s="14" t="str">
        <x:v>SUP-006</x:v>
      </x:c>
      <x:c r="F37" s="40" t="n">
        <x:v>122.19</x:v>
      </x:c>
      <x:c r="G37" s="40" t="n">
        <x:v>277.42</x:v>
      </x:c>
      <x:c r="H37" s="14" t="str">
        <x:v>C</x:v>
      </x:c>
      <x:c r="I37" s="14" t="n">
        <x:v>200</x:v>
      </x:c>
      <x:c r="J37" s="14" t="n">
        <x:v>10</x:v>
      </x:c>
      <x:c r="K37" s="14" t="n">
        <x:v>49</x:v>
      </x:c>
      <x:c r="L37" s="14" t="n">
        <x:v>30</x:v>
      </x:c>
      <x:c r="M37" s="14" t="str">
        <x:v>Yes</x:v>
      </x:c>
    </x:row>
    <x:row r="38">
      <x:c r="A38" s="14" t="str">
        <x:v>SKU-0037</x:v>
      </x:c>
      <x:c r="B38" s="14" t="str">
        <x:v>Gears Item 037</x:v>
      </x:c>
      <x:c r="C38" s="14" t="str">
        <x:v>Mechanical</x:v>
      </x:c>
      <x:c r="D38" s="14" t="str">
        <x:v>Gears</x:v>
      </x:c>
      <x:c r="E38" s="14" t="str">
        <x:v>SUP-011</x:v>
      </x:c>
      <x:c r="F38" s="40" t="n">
        <x:v>115.83</x:v>
      </x:c>
      <x:c r="G38" s="40" t="n">
        <x:v>175.76</x:v>
      </x:c>
      <x:c r="H38" s="14" t="str">
        <x:v>B</x:v>
      </x:c>
      <x:c r="I38" s="14" t="n">
        <x:v>25</x:v>
      </x:c>
      <x:c r="J38" s="14" t="n">
        <x:v>5</x:v>
      </x:c>
      <x:c r="K38" s="14" t="n">
        <x:v>33</x:v>
      </x:c>
      <x:c r="L38" s="14" t="n">
        <x:v>60</x:v>
      </x:c>
      <x:c r="M38" s="14" t="str">
        <x:v>Yes</x:v>
      </x:c>
    </x:row>
    <x:row r="39">
      <x:c r="A39" s="14" t="str">
        <x:v>SKU-0038</x:v>
      </x:c>
      <x:c r="B39" s="14" t="str">
        <x:v>Filters Item 038</x:v>
      </x:c>
      <x:c r="C39" s="14" t="str">
        <x:v>Maintenance</x:v>
      </x:c>
      <x:c r="D39" s="14" t="str">
        <x:v>Filters</x:v>
      </x:c>
      <x:c r="E39" s="14" t="str">
        <x:v>SUP-010</x:v>
      </x:c>
      <x:c r="F39" s="40" t="n">
        <x:v>160.43</x:v>
      </x:c>
      <x:c r="G39" s="40" t="n">
        <x:v>243.97</x:v>
      </x:c>
      <x:c r="H39" s="14" t="str">
        <x:v>C</x:v>
      </x:c>
      <x:c r="I39" s="14" t="n">
        <x:v>50</x:v>
      </x:c>
      <x:c r="J39" s="14" t="n">
        <x:v>10</x:v>
      </x:c>
      <x:c r="K39" s="14" t="n">
        <x:v>20</x:v>
      </x:c>
      <x:c r="L39" s="14" t="n">
        <x:v>45</x:v>
      </x:c>
      <x:c r="M39" s="14" t="str">
        <x:v>Yes</x:v>
      </x:c>
    </x:row>
    <x:row r="40">
      <x:c r="A40" s="14" t="str">
        <x:v>SKU-0039</x:v>
      </x:c>
      <x:c r="B40" s="14" t="str">
        <x:v>First Aid Item 039</x:v>
      </x:c>
      <x:c r="C40" s="14" t="str">
        <x:v>Safety</x:v>
      </x:c>
      <x:c r="D40" s="14" t="str">
        <x:v>First Aid</x:v>
      </x:c>
      <x:c r="E40" s="14" t="str">
        <x:v>SUP-008</x:v>
      </x:c>
      <x:c r="F40" s="40" t="n">
        <x:v>125.1</x:v>
      </x:c>
      <x:c r="G40" s="40" t="n">
        <x:v>227.56</x:v>
      </x:c>
      <x:c r="H40" s="14" t="str">
        <x:v>B</x:v>
      </x:c>
      <x:c r="I40" s="14" t="n">
        <x:v>500</x:v>
      </x:c>
      <x:c r="J40" s="14" t="n">
        <x:v>5</x:v>
      </x:c>
      <x:c r="K40" s="14" t="n">
        <x:v>49</x:v>
      </x:c>
      <x:c r="L40" s="14" t="n">
        <x:v>30</x:v>
      </x:c>
      <x:c r="M40" s="14" t="str">
        <x:v>Yes</x:v>
      </x:c>
    </x:row>
    <x:row r="41">
      <x:c r="A41" s="14" t="str">
        <x:v>SKU-0040</x:v>
      </x:c>
      <x:c r="B41" s="14" t="str">
        <x:v>Cleaning Item 040</x:v>
      </x:c>
      <x:c r="C41" s="14" t="str">
        <x:v>Maintenance</x:v>
      </x:c>
      <x:c r="D41" s="14" t="str">
        <x:v>Cleaning</x:v>
      </x:c>
      <x:c r="E41" s="14" t="str">
        <x:v>SUP-002</x:v>
      </x:c>
      <x:c r="F41" s="40" t="n">
        <x:v>229.61</x:v>
      </x:c>
      <x:c r="G41" s="40" t="n">
        <x:v>441.94</x:v>
      </x:c>
      <x:c r="H41" s="14" t="str">
        <x:v>C</x:v>
      </x:c>
      <x:c r="I41" s="14" t="n">
        <x:v>25</x:v>
      </x:c>
      <x:c r="J41" s="14" t="n">
        <x:v>5</x:v>
      </x:c>
      <x:c r="K41" s="14" t="n">
        <x:v>16</x:v>
      </x:c>
      <x:c r="L41" s="14" t="n">
        <x:v>30</x:v>
      </x:c>
      <x:c r="M41" s="14" t="str">
        <x:v>Yes</x:v>
      </x:c>
    </x:row>
    <x:row r="42">
      <x:c r="A42" s="14" t="str">
        <x:v>SKU-0041</x:v>
      </x:c>
      <x:c r="B42" s="14" t="str">
        <x:v>Paper Item 041</x:v>
      </x:c>
      <x:c r="C42" s="14" t="str">
        <x:v>Office</x:v>
      </x:c>
      <x:c r="D42" s="14" t="str">
        <x:v>Paper</x:v>
      </x:c>
      <x:c r="E42" s="14" t="str">
        <x:v>SUP-008</x:v>
      </x:c>
      <x:c r="F42" s="40" t="n">
        <x:v>117.51</x:v>
      </x:c>
      <x:c r="G42" s="40" t="n">
        <x:v>206.85</x:v>
      </x:c>
      <x:c r="H42" s="14" t="str">
        <x:v>A</x:v>
      </x:c>
      <x:c r="I42" s="14" t="n">
        <x:v>500</x:v>
      </x:c>
      <x:c r="J42" s="14" t="n">
        <x:v>20</x:v>
      </x:c>
      <x:c r="K42" s="14" t="n">
        <x:v>38</x:v>
      </x:c>
      <x:c r="L42" s="14" t="n">
        <x:v>45</x:v>
      </x:c>
      <x:c r="M42" s="14" t="str">
        <x:v>Yes</x:v>
      </x:c>
    </x:row>
    <x:row r="43">
      <x:c r="A43" s="14" t="str">
        <x:v>SKU-0042</x:v>
      </x:c>
      <x:c r="B43" s="14" t="str">
        <x:v>Lubricants Item 042</x:v>
      </x:c>
      <x:c r="C43" s="14" t="str">
        <x:v>Maintenance</x:v>
      </x:c>
      <x:c r="D43" s="14" t="str">
        <x:v>Lubricants</x:v>
      </x:c>
      <x:c r="E43" s="14" t="str">
        <x:v>SUP-002</x:v>
      </x:c>
      <x:c r="F43" s="40" t="n">
        <x:v>218.51</x:v>
      </x:c>
      <x:c r="G43" s="40" t="n">
        <x:v>298.32</x:v>
      </x:c>
      <x:c r="H43" s="14" t="str">
        <x:v>C</x:v>
      </x:c>
      <x:c r="I43" s="14" t="n">
        <x:v>500</x:v>
      </x:c>
      <x:c r="J43" s="14" t="n">
        <x:v>25</x:v>
      </x:c>
      <x:c r="K43" s="14" t="n">
        <x:v>36</x:v>
      </x:c>
      <x:c r="L43" s="14" t="n">
        <x:v>30</x:v>
      </x:c>
      <x:c r="M43" s="14" t="str">
        <x:v>Yes</x:v>
      </x:c>
    </x:row>
    <x:row r="44">
      <x:c r="A44" s="14" t="str">
        <x:v>SKU-0043</x:v>
      </x:c>
      <x:c r="B44" s="14" t="str">
        <x:v>Controllers Item 043</x:v>
      </x:c>
      <x:c r="C44" s="14" t="str">
        <x:v>Electronics</x:v>
      </x:c>
      <x:c r="D44" s="14" t="str">
        <x:v>Controllers</x:v>
      </x:c>
      <x:c r="E44" s="14" t="str">
        <x:v>SUP-003</x:v>
      </x:c>
      <x:c r="F44" s="40" t="n">
        <x:v>224.89</x:v>
      </x:c>
      <x:c r="G44" s="40" t="n">
        <x:v>406.7</x:v>
      </x:c>
      <x:c r="H44" s="14" t="str">
        <x:v>C</x:v>
      </x:c>
      <x:c r="I44" s="14" t="n">
        <x:v>200</x:v>
      </x:c>
      <x:c r="J44" s="14" t="n">
        <x:v>10</x:v>
      </x:c>
      <x:c r="K44" s="14" t="n">
        <x:v>55</x:v>
      </x:c>
      <x:c r="L44" s="14" t="n">
        <x:v>45</x:v>
      </x:c>
      <x:c r="M44" s="14" t="str">
        <x:v>Yes</x:v>
      </x:c>
    </x:row>
    <x:row r="45">
      <x:c r="A45" s="14" t="str">
        <x:v>SKU-0044</x:v>
      </x:c>
      <x:c r="B45" s="14" t="str">
        <x:v>Tools Item 044</x:v>
      </x:c>
      <x:c r="C45" s="14" t="str">
        <x:v>Maintenance</x:v>
      </x:c>
      <x:c r="D45" s="14" t="str">
        <x:v>Tools</x:v>
      </x:c>
      <x:c r="E45" s="14" t="str">
        <x:v>SUP-009</x:v>
      </x:c>
      <x:c r="F45" s="40" t="n">
        <x:v>126.24</x:v>
      </x:c>
      <x:c r="G45" s="40" t="n">
        <x:v>166.91</x:v>
      </x:c>
      <x:c r="H45" s="14" t="str">
        <x:v>C</x:v>
      </x:c>
      <x:c r="I45" s="14" t="n">
        <x:v>100</x:v>
      </x:c>
      <x:c r="J45" s="14" t="n">
        <x:v>10</x:v>
      </x:c>
      <x:c r="K45" s="14" t="n">
        <x:v>55</x:v>
      </x:c>
      <x:c r="L45" s="14" t="n">
        <x:v>30</x:v>
      </x:c>
      <x:c r="M45" s="14" t="str">
        <x:v>Yes</x:v>
      </x:c>
    </x:row>
    <x:row r="46">
      <x:c r="A46" s="14" t="str">
        <x:v>SKU-0045</x:v>
      </x:c>
      <x:c r="B46" s="14" t="str">
        <x:v>Brackets Item 045</x:v>
      </x:c>
      <x:c r="C46" s="14" t="str">
        <x:v>Mechanical</x:v>
      </x:c>
      <x:c r="D46" s="14" t="str">
        <x:v>Brackets</x:v>
      </x:c>
      <x:c r="E46" s="14" t="str">
        <x:v>SUP-011</x:v>
      </x:c>
      <x:c r="F46" s="40" t="n">
        <x:v>68.89</x:v>
      </x:c>
      <x:c r="G46" s="40" t="n">
        <x:v>106.96</x:v>
      </x:c>
      <x:c r="H46" s="14" t="str">
        <x:v>C</x:v>
      </x:c>
      <x:c r="I46" s="14" t="n">
        <x:v>25</x:v>
      </x:c>
      <x:c r="J46" s="14" t="n">
        <x:v>10</x:v>
      </x:c>
      <x:c r="K46" s="14" t="n">
        <x:v>28</x:v>
      </x:c>
      <x:c r="L46" s="14" t="n">
        <x:v>45</x:v>
      </x:c>
      <x:c r="M46" s="14" t="str">
        <x:v>Yes</x:v>
      </x:c>
    </x:row>
    <x:row r="47">
      <x:c r="A47" s="14" t="str">
        <x:v>SKU-0046</x:v>
      </x:c>
      <x:c r="B47" s="14" t="str">
        <x:v>Cables Item 046</x:v>
      </x:c>
      <x:c r="C47" s="14" t="str">
        <x:v>Electronics</x:v>
      </x:c>
      <x:c r="D47" s="14" t="str">
        <x:v>Cables</x:v>
      </x:c>
      <x:c r="E47" s="14" t="str">
        <x:v>SUP-003</x:v>
      </x:c>
      <x:c r="F47" s="40" t="n">
        <x:v>66.68</x:v>
      </x:c>
      <x:c r="G47" s="40" t="n">
        <x:v>122.93</x:v>
      </x:c>
      <x:c r="H47" s="14" t="str">
        <x:v>C</x:v>
      </x:c>
      <x:c r="I47" s="14" t="n">
        <x:v>10</x:v>
      </x:c>
      <x:c r="J47" s="14" t="n">
        <x:v>20</x:v>
      </x:c>
      <x:c r="K47" s="14" t="n">
        <x:v>33</x:v>
      </x:c>
      <x:c r="L47" s="14" t="n">
        <x:v>45</x:v>
      </x:c>
      <x:c r="M47" s="14" t="str">
        <x:v>Yes</x:v>
      </x:c>
    </x:row>
    <x:row r="48">
      <x:c r="A48" s="14" t="str">
        <x:v>SKU-0047</x:v>
      </x:c>
      <x:c r="B48" s="14" t="str">
        <x:v>Paper Item 047</x:v>
      </x:c>
      <x:c r="C48" s="14" t="str">
        <x:v>Office</x:v>
      </x:c>
      <x:c r="D48" s="14" t="str">
        <x:v>Paper</x:v>
      </x:c>
      <x:c r="E48" s="14" t="str">
        <x:v>SUP-004</x:v>
      </x:c>
      <x:c r="F48" s="40" t="n">
        <x:v>233.63</x:v>
      </x:c>
      <x:c r="G48" s="40" t="n">
        <x:v>351.74</x:v>
      </x:c>
      <x:c r="H48" s="14" t="str">
        <x:v>C</x:v>
      </x:c>
      <x:c r="I48" s="14" t="n">
        <x:v>500</x:v>
      </x:c>
      <x:c r="J48" s="14" t="n">
        <x:v>1</x:v>
      </x:c>
      <x:c r="K48" s="14" t="n">
        <x:v>55</x:v>
      </x:c>
      <x:c r="L48" s="14" t="n">
        <x:v>60</x:v>
      </x:c>
      <x:c r="M48" s="14" t="str">
        <x:v>Yes</x:v>
      </x:c>
    </x:row>
    <x:row r="49">
      <x:c r="A49" s="14" t="str">
        <x:v>SKU-0048</x:v>
      </x:c>
      <x:c r="B49" s="14" t="str">
        <x:v>Power Item 048</x:v>
      </x:c>
      <x:c r="C49" s="14" t="str">
        <x:v>Electronics</x:v>
      </x:c>
      <x:c r="D49" s="14" t="str">
        <x:v>Power</x:v>
      </x:c>
      <x:c r="E49" s="14" t="str">
        <x:v>SUP-005</x:v>
      </x:c>
      <x:c r="F49" s="40" t="n">
        <x:v>211.59</x:v>
      </x:c>
      <x:c r="G49" s="40" t="n">
        <x:v>442.08</x:v>
      </x:c>
      <x:c r="H49" s="14" t="str">
        <x:v>C</x:v>
      </x:c>
      <x:c r="I49" s="14" t="n">
        <x:v>100</x:v>
      </x:c>
      <x:c r="J49" s="14" t="n">
        <x:v>25</x:v>
      </x:c>
      <x:c r="K49" s="14" t="n">
        <x:v>54</x:v>
      </x:c>
      <x:c r="L49" s="14" t="n">
        <x:v>60</x:v>
      </x:c>
      <x:c r="M49" s="14" t="str">
        <x:v>Yes</x:v>
      </x:c>
    </x:row>
    <x:row r="50">
      <x:c r="A50" s="14" t="str">
        <x:v>SKU-0049</x:v>
      </x:c>
      <x:c r="B50" s="14" t="str">
        <x:v>Eyewear Item 049</x:v>
      </x:c>
      <x:c r="C50" s="14" t="str">
        <x:v>Safety</x:v>
      </x:c>
      <x:c r="D50" s="14" t="str">
        <x:v>Eyewear</x:v>
      </x:c>
      <x:c r="E50" s="14" t="str">
        <x:v>SUP-008</x:v>
      </x:c>
      <x:c r="F50" s="40" t="n">
        <x:v>63.39</x:v>
      </x:c>
      <x:c r="G50" s="40" t="n">
        <x:v>98.18</x:v>
      </x:c>
      <x:c r="H50" s="14" t="str">
        <x:v>A</x:v>
      </x:c>
      <x:c r="I50" s="14" t="n">
        <x:v>50</x:v>
      </x:c>
      <x:c r="J50" s="14" t="n">
        <x:v>50</x:v>
      </x:c>
      <x:c r="K50" s="14" t="n">
        <x:v>50</x:v>
      </x:c>
      <x:c r="L50" s="14" t="n">
        <x:v>45</x:v>
      </x:c>
      <x:c r="M50" s="14" t="str">
        <x:v>Yes</x:v>
      </x:c>
    </x:row>
    <x:row r="51">
      <x:c r="A51" s="14" t="str">
        <x:v>SKU-0050</x:v>
      </x:c>
      <x:c r="B51" s="14" t="str">
        <x:v>Ink Item 050</x:v>
      </x:c>
      <x:c r="C51" s="14" t="str">
        <x:v>Office</x:v>
      </x:c>
      <x:c r="D51" s="14" t="str">
        <x:v>Ink</x:v>
      </x:c>
      <x:c r="E51" s="14" t="str">
        <x:v>SUP-010</x:v>
      </x:c>
      <x:c r="F51" s="40" t="n">
        <x:v>150.72</x:v>
      </x:c>
      <x:c r="G51" s="40" t="n">
        <x:v>329.64</x:v>
      </x:c>
      <x:c r="H51" s="14" t="str">
        <x:v>C</x:v>
      </x:c>
      <x:c r="I51" s="14" t="n">
        <x:v>500</x:v>
      </x:c>
      <x:c r="J51" s="14" t="n">
        <x:v>1</x:v>
      </x:c>
      <x:c r="K51" s="14" t="n">
        <x:v>12</x:v>
      </x:c>
      <x:c r="L51" s="14" t="n">
        <x:v>60</x:v>
      </x:c>
      <x:c r="M51" s="14" t="str">
        <x:v>Yes</x:v>
      </x:c>
    </x:row>
    <x:row r="52">
      <x:c r="A52" s="14" t="str">
        <x:v>SKU-0051</x:v>
      </x:c>
      <x:c r="B52" s="14" t="str">
        <x:v>Ink Item 051</x:v>
      </x:c>
      <x:c r="C52" s="14" t="str">
        <x:v>Office</x:v>
      </x:c>
      <x:c r="D52" s="14" t="str">
        <x:v>Ink</x:v>
      </x:c>
      <x:c r="E52" s="14" t="str">
        <x:v>SUP-001</x:v>
      </x:c>
      <x:c r="F52" s="40" t="n">
        <x:v>74.69</x:v>
      </x:c>
      <x:c r="G52" s="40" t="n">
        <x:v>108.39</x:v>
      </x:c>
      <x:c r="H52" s="14" t="str">
        <x:v>B</x:v>
      </x:c>
      <x:c r="I52" s="14" t="n">
        <x:v>50</x:v>
      </x:c>
      <x:c r="J52" s="14" t="n">
        <x:v>20</x:v>
      </x:c>
      <x:c r="K52" s="14" t="n">
        <x:v>24</x:v>
      </x:c>
      <x:c r="L52" s="14" t="n">
        <x:v>45</x:v>
      </x:c>
      <x:c r="M52" s="14" t="str">
        <x:v>Yes</x:v>
      </x:c>
    </x:row>
    <x:row r="53">
      <x:c r="A53" s="14" t="str">
        <x:v>SKU-0052</x:v>
      </x:c>
      <x:c r="B53" s="14" t="str">
        <x:v>Controllers Item 052</x:v>
      </x:c>
      <x:c r="C53" s="14" t="str">
        <x:v>Electronics</x:v>
      </x:c>
      <x:c r="D53" s="14" t="str">
        <x:v>Controllers</x:v>
      </x:c>
      <x:c r="E53" s="14" t="str">
        <x:v>SUP-001</x:v>
      </x:c>
      <x:c r="F53" s="40" t="n">
        <x:v>210.35</x:v>
      </x:c>
      <x:c r="G53" s="40" t="n">
        <x:v>263.21</x:v>
      </x:c>
      <x:c r="H53" s="14" t="str">
        <x:v>C</x:v>
      </x:c>
      <x:c r="I53" s="14" t="n">
        <x:v>25</x:v>
      </x:c>
      <x:c r="J53" s="14" t="n">
        <x:v>50</x:v>
      </x:c>
      <x:c r="K53" s="14" t="n">
        <x:v>11</x:v>
      </x:c>
      <x:c r="L53" s="14" t="n">
        <x:v>60</x:v>
      </x:c>
      <x:c r="M53" s="14" t="str">
        <x:v>Yes</x:v>
      </x:c>
    </x:row>
    <x:row r="54">
      <x:c r="A54" s="14" t="str">
        <x:v>SKU-0053</x:v>
      </x:c>
      <x:c r="B54" s="14" t="str">
        <x:v>Cables Item 053</x:v>
      </x:c>
      <x:c r="C54" s="14" t="str">
        <x:v>Electronics</x:v>
      </x:c>
      <x:c r="D54" s="14" t="str">
        <x:v>Cables</x:v>
      </x:c>
      <x:c r="E54" s="14" t="str">
        <x:v>SUP-004</x:v>
      </x:c>
      <x:c r="F54" s="40" t="n">
        <x:v>235.39</x:v>
      </x:c>
      <x:c r="G54" s="40" t="n">
        <x:v>411.91</x:v>
      </x:c>
      <x:c r="H54" s="14" t="str">
        <x:v>B</x:v>
      </x:c>
      <x:c r="I54" s="14" t="n">
        <x:v>100</x:v>
      </x:c>
      <x:c r="J54" s="14" t="n">
        <x:v>50</x:v>
      </x:c>
      <x:c r="K54" s="14" t="n">
        <x:v>14</x:v>
      </x:c>
      <x:c r="L54" s="14" t="n">
        <x:v>60</x:v>
      </x:c>
      <x:c r="M54" s="14" t="str">
        <x:v>Yes</x:v>
      </x:c>
    </x:row>
    <x:row r="55">
      <x:c r="A55" s="14" t="str">
        <x:v>SKU-0054</x:v>
      </x:c>
      <x:c r="B55" s="14" t="str">
        <x:v>Accessories Item 054</x:v>
      </x:c>
      <x:c r="C55" s="14" t="str">
        <x:v>Office</x:v>
      </x:c>
      <x:c r="D55" s="14" t="str">
        <x:v>Accessories</x:v>
      </x:c>
      <x:c r="E55" s="14" t="str">
        <x:v>SUP-006</x:v>
      </x:c>
      <x:c r="F55" s="40" t="n">
        <x:v>49.06</x:v>
      </x:c>
      <x:c r="G55" s="40" t="n">
        <x:v>85.01</x:v>
      </x:c>
      <x:c r="H55" s="14" t="str">
        <x:v>C</x:v>
      </x:c>
      <x:c r="I55" s="14" t="n">
        <x:v>10</x:v>
      </x:c>
      <x:c r="J55" s="14" t="n">
        <x:v>5</x:v>
      </x:c>
      <x:c r="K55" s="14" t="n">
        <x:v>26</x:v>
      </x:c>
      <x:c r="L55" s="14" t="n">
        <x:v>30</x:v>
      </x:c>
      <x:c r="M55" s="14" t="str">
        <x:v>Yes</x:v>
      </x:c>
    </x:row>
    <x:row r="56">
      <x:c r="A56" s="14" t="str">
        <x:v>SKU-0055</x:v>
      </x:c>
      <x:c r="B56" s="14" t="str">
        <x:v>Brackets Item 055</x:v>
      </x:c>
      <x:c r="C56" s="14" t="str">
        <x:v>Mechanical</x:v>
      </x:c>
      <x:c r="D56" s="14" t="str">
        <x:v>Brackets</x:v>
      </x:c>
      <x:c r="E56" s="14" t="str">
        <x:v>SUP-007</x:v>
      </x:c>
      <x:c r="F56" s="40" t="n">
        <x:v>263.76</x:v>
      </x:c>
      <x:c r="G56" s="40" t="n">
        <x:v>356.11</x:v>
      </x:c>
      <x:c r="H56" s="14" t="str">
        <x:v>C</x:v>
      </x:c>
      <x:c r="I56" s="14" t="n">
        <x:v>500</x:v>
      </x:c>
      <x:c r="J56" s="14" t="n">
        <x:v>5</x:v>
      </x:c>
      <x:c r="K56" s="14" t="n">
        <x:v>13</x:v>
      </x:c>
      <x:c r="L56" s="14" t="n">
        <x:v>60</x:v>
      </x:c>
      <x:c r="M56" s="14" t="str">
        <x:v>Yes</x:v>
      </x:c>
    </x:row>
    <x:row r="57">
      <x:c r="A57" s="14" t="str">
        <x:v>SKU-0056</x:v>
      </x:c>
      <x:c r="B57" s="14" t="str">
        <x:v>Lubricants Item 056</x:v>
      </x:c>
      <x:c r="C57" s="14" t="str">
        <x:v>Maintenance</x:v>
      </x:c>
      <x:c r="D57" s="14" t="str">
        <x:v>Lubricants</x:v>
      </x:c>
      <x:c r="E57" s="14" t="str">
        <x:v>SUP-010</x:v>
      </x:c>
      <x:c r="F57" s="40" t="n">
        <x:v>219.68</x:v>
      </x:c>
      <x:c r="G57" s="40" t="n">
        <x:v>322.53</x:v>
      </x:c>
      <x:c r="H57" s="14" t="str">
        <x:v>B</x:v>
      </x:c>
      <x:c r="I57" s="14" t="n">
        <x:v>50</x:v>
      </x:c>
      <x:c r="J57" s="14" t="n">
        <x:v>1</x:v>
      </x:c>
      <x:c r="K57" s="14" t="n">
        <x:v>39</x:v>
      </x:c>
      <x:c r="L57" s="14" t="n">
        <x:v>60</x:v>
      </x:c>
      <x:c r="M57" s="14" t="str">
        <x:v>Yes</x:v>
      </x:c>
    </x:row>
    <x:row r="58">
      <x:c r="A58" s="14" t="str">
        <x:v>SKU-0057</x:v>
      </x:c>
      <x:c r="B58" s="14" t="str">
        <x:v>Storage Item 057</x:v>
      </x:c>
      <x:c r="C58" s="14" t="str">
        <x:v>Office</x:v>
      </x:c>
      <x:c r="D58" s="14" t="str">
        <x:v>Storage</x:v>
      </x:c>
      <x:c r="E58" s="14" t="str">
        <x:v>SUP-002</x:v>
      </x:c>
      <x:c r="F58" s="40" t="n">
        <x:v>122.8</x:v>
      </x:c>
      <x:c r="G58" s="40" t="n">
        <x:v>181.89</x:v>
      </x:c>
      <x:c r="H58" s="14" t="str">
        <x:v>C</x:v>
      </x:c>
      <x:c r="I58" s="14" t="n">
        <x:v>100</x:v>
      </x:c>
      <x:c r="J58" s="14" t="n">
        <x:v>50</x:v>
      </x:c>
      <x:c r="K58" s="14" t="n">
        <x:v>16</x:v>
      </x:c>
      <x:c r="L58" s="14" t="n">
        <x:v>45</x:v>
      </x:c>
      <x:c r="M58" s="14" t="str">
        <x:v>Yes</x:v>
      </x:c>
    </x:row>
    <x:row r="59">
      <x:c r="A59" s="14" t="str">
        <x:v>SKU-0058</x:v>
      </x:c>
      <x:c r="B59" s="14" t="str">
        <x:v>First Aid Item 058</x:v>
      </x:c>
      <x:c r="C59" s="14" t="str">
        <x:v>Safety</x:v>
      </x:c>
      <x:c r="D59" s="14" t="str">
        <x:v>First Aid</x:v>
      </x:c>
      <x:c r="E59" s="14" t="str">
        <x:v>SUP-010</x:v>
      </x:c>
      <x:c r="F59" s="40" t="n">
        <x:v>226.78</x:v>
      </x:c>
      <x:c r="G59" s="40" t="n">
        <x:v>375.01</x:v>
      </x:c>
      <x:c r="H59" s="14" t="str">
        <x:v>B</x:v>
      </x:c>
      <x:c r="I59" s="14" t="n">
        <x:v>100</x:v>
      </x:c>
      <x:c r="J59" s="14" t="n">
        <x:v>50</x:v>
      </x:c>
      <x:c r="K59" s="14" t="n">
        <x:v>44</x:v>
      </x:c>
      <x:c r="L59" s="14" t="n">
        <x:v>45</x:v>
      </x:c>
      <x:c r="M59" s="14" t="str">
        <x:v>Yes</x:v>
      </x:c>
    </x:row>
    <x:row r="60">
      <x:c r="A60" s="14" t="str">
        <x:v>SKU-0059</x:v>
      </x:c>
      <x:c r="B60" s="14" t="str">
        <x:v>Cartons Item 059</x:v>
      </x:c>
      <x:c r="C60" s="14" t="str">
        <x:v>Packaging</x:v>
      </x:c>
      <x:c r="D60" s="14" t="str">
        <x:v>Cartons</x:v>
      </x:c>
      <x:c r="E60" s="14" t="str">
        <x:v>SUP-005</x:v>
      </x:c>
      <x:c r="F60" s="40" t="n">
        <x:v>247.15</x:v>
      </x:c>
      <x:c r="G60" s="40" t="n">
        <x:v>342.1</x:v>
      </x:c>
      <x:c r="H60" s="14" t="str">
        <x:v>B</x:v>
      </x:c>
      <x:c r="I60" s="14" t="n">
        <x:v>200</x:v>
      </x:c>
      <x:c r="J60" s="14" t="n">
        <x:v>50</x:v>
      </x:c>
      <x:c r="K60" s="14" t="n">
        <x:v>31</x:v>
      </x:c>
      <x:c r="L60" s="14" t="n">
        <x:v>45</x:v>
      </x:c>
      <x:c r="M60" s="14" t="str">
        <x:v>No</x:v>
      </x:c>
    </x:row>
    <x:row r="61">
      <x:c r="A61" s="14" t="str">
        <x:v>SKU-0060</x:v>
      </x:c>
      <x:c r="B61" s="14" t="str">
        <x:v>Bearings Item 060</x:v>
      </x:c>
      <x:c r="C61" s="14" t="str">
        <x:v>Mechanical</x:v>
      </x:c>
      <x:c r="D61" s="14" t="str">
        <x:v>Bearings</x:v>
      </x:c>
      <x:c r="E61" s="14" t="str">
        <x:v>SUP-008</x:v>
      </x:c>
      <x:c r="F61" s="40" t="n">
        <x:v>61.36</x:v>
      </x:c>
      <x:c r="G61" s="40" t="n">
        <x:v>122.51</x:v>
      </x:c>
      <x:c r="H61" s="14" t="str">
        <x:v>B</x:v>
      </x:c>
      <x:c r="I61" s="14" t="n">
        <x:v>200</x:v>
      </x:c>
      <x:c r="J61" s="14" t="n">
        <x:v>50</x:v>
      </x:c>
      <x:c r="K61" s="14" t="n">
        <x:v>24</x:v>
      </x:c>
      <x:c r="L61" s="14" t="n">
        <x:v>60</x:v>
      </x:c>
      <x:c r="M61" s="14" t="str">
        <x:v>No</x:v>
      </x:c>
    </x:row>
    <x:row r="62">
      <x:c r="A62" s="14" t="str">
        <x:v>SKU-0061</x:v>
      </x:c>
      <x:c r="B62" s="14" t="str">
        <x:v>Cartons Item 061</x:v>
      </x:c>
      <x:c r="C62" s="14" t="str">
        <x:v>Packaging</x:v>
      </x:c>
      <x:c r="D62" s="14" t="str">
        <x:v>Cartons</x:v>
      </x:c>
      <x:c r="E62" s="14" t="str">
        <x:v>SUP-004</x:v>
      </x:c>
      <x:c r="F62" s="40" t="n">
        <x:v>202.32</x:v>
      </x:c>
      <x:c r="G62" s="40" t="n">
        <x:v>323.94</x:v>
      </x:c>
      <x:c r="H62" s="14" t="str">
        <x:v>C</x:v>
      </x:c>
      <x:c r="I62" s="14" t="n">
        <x:v>500</x:v>
      </x:c>
      <x:c r="J62" s="14" t="n">
        <x:v>20</x:v>
      </x:c>
      <x:c r="K62" s="14" t="n">
        <x:v>48</x:v>
      </x:c>
      <x:c r="L62" s="14" t="n">
        <x:v>60</x:v>
      </x:c>
      <x:c r="M62" s="14" t="str">
        <x:v>Yes</x:v>
      </x:c>
    </x:row>
    <x:row r="63">
      <x:c r="A63" s="14" t="str">
        <x:v>SKU-0062</x:v>
      </x:c>
      <x:c r="B63" s="14" t="str">
        <x:v>Sensors Item 062</x:v>
      </x:c>
      <x:c r="C63" s="14" t="str">
        <x:v>Electronics</x:v>
      </x:c>
      <x:c r="D63" s="14" t="str">
        <x:v>Sensors</x:v>
      </x:c>
      <x:c r="E63" s="14" t="str">
        <x:v>SUP-005</x:v>
      </x:c>
      <x:c r="F63" s="40" t="n">
        <x:v>63.99</x:v>
      </x:c>
      <x:c r="G63" s="40" t="n">
        <x:v>117.78</x:v>
      </x:c>
      <x:c r="H63" s="14" t="str">
        <x:v>B</x:v>
      </x:c>
      <x:c r="I63" s="14" t="n">
        <x:v>200</x:v>
      </x:c>
      <x:c r="J63" s="14" t="n">
        <x:v>10</x:v>
      </x:c>
      <x:c r="K63" s="14" t="n">
        <x:v>37</x:v>
      </x:c>
      <x:c r="L63" s="14" t="n">
        <x:v>60</x:v>
      </x:c>
      <x:c r="M63" s="14" t="str">
        <x:v>Yes</x:v>
      </x:c>
    </x:row>
    <x:row r="64">
      <x:c r="A64" s="14" t="str">
        <x:v>SKU-0063</x:v>
      </x:c>
      <x:c r="B64" s="14" t="str">
        <x:v>Accessories Item 063</x:v>
      </x:c>
      <x:c r="C64" s="14" t="str">
        <x:v>Office</x:v>
      </x:c>
      <x:c r="D64" s="14" t="str">
        <x:v>Accessories</x:v>
      </x:c>
      <x:c r="E64" s="14" t="str">
        <x:v>SUP-006</x:v>
      </x:c>
      <x:c r="F64" s="40" t="n">
        <x:v>197.54</x:v>
      </x:c>
      <x:c r="G64" s="40" t="n">
        <x:v>277.59</x:v>
      </x:c>
      <x:c r="H64" s="14" t="str">
        <x:v>B</x:v>
      </x:c>
      <x:c r="I64" s="14" t="n">
        <x:v>10</x:v>
      </x:c>
      <x:c r="J64" s="14" t="n">
        <x:v>50</x:v>
      </x:c>
      <x:c r="K64" s="14" t="n">
        <x:v>19</x:v>
      </x:c>
      <x:c r="L64" s="14" t="n">
        <x:v>45</x:v>
      </x:c>
      <x:c r="M64" s="14" t="str">
        <x:v>Yes</x:v>
      </x:c>
    </x:row>
    <x:row r="65">
      <x:c r="A65" s="14" t="str">
        <x:v>SKU-0064</x:v>
      </x:c>
      <x:c r="B65" s="14" t="str">
        <x:v>Eyewear Item 064</x:v>
      </x:c>
      <x:c r="C65" s="14" t="str">
        <x:v>Safety</x:v>
      </x:c>
      <x:c r="D65" s="14" t="str">
        <x:v>Eyewear</x:v>
      </x:c>
      <x:c r="E65" s="14" t="str">
        <x:v>SUP-004</x:v>
      </x:c>
      <x:c r="F65" s="40" t="n">
        <x:v>62.55</x:v>
      </x:c>
      <x:c r="G65" s="40" t="n">
        <x:v>99.87</x:v>
      </x:c>
      <x:c r="H65" s="14" t="str">
        <x:v>C</x:v>
      </x:c>
      <x:c r="I65" s="14" t="n">
        <x:v>200</x:v>
      </x:c>
      <x:c r="J65" s="14" t="n">
        <x:v>25</x:v>
      </x:c>
      <x:c r="K65" s="14" t="n">
        <x:v>25</x:v>
      </x:c>
      <x:c r="L65" s="14" t="n">
        <x:v>30</x:v>
      </x:c>
      <x:c r="M65" s="14" t="str">
        <x:v>Yes</x:v>
      </x:c>
    </x:row>
    <x:row r="66">
      <x:c r="A66" s="14" t="str">
        <x:v>SKU-0065</x:v>
      </x:c>
      <x:c r="B66" s="14" t="str">
        <x:v>Bearings Item 065</x:v>
      </x:c>
      <x:c r="C66" s="14" t="str">
        <x:v>Mechanical</x:v>
      </x:c>
      <x:c r="D66" s="14" t="str">
        <x:v>Bearings</x:v>
      </x:c>
      <x:c r="E66" s="14" t="str">
        <x:v>SUP-006</x:v>
      </x:c>
      <x:c r="F66" s="40" t="n">
        <x:v>52.3</x:v>
      </x:c>
      <x:c r="G66" s="40" t="n">
        <x:v>64.22</x:v>
      </x:c>
      <x:c r="H66" s="14" t="str">
        <x:v>B</x:v>
      </x:c>
      <x:c r="I66" s="14" t="n">
        <x:v>50</x:v>
      </x:c>
      <x:c r="J66" s="14" t="n">
        <x:v>1</x:v>
      </x:c>
      <x:c r="K66" s="14" t="n">
        <x:v>10</x:v>
      </x:c>
      <x:c r="L66" s="14" t="n">
        <x:v>60</x:v>
      </x:c>
      <x:c r="M66" s="14" t="str">
        <x:v>Yes</x:v>
      </x:c>
    </x:row>
    <x:row r="67">
      <x:c r="A67" s="14" t="str">
        <x:v>SKU-0066</x:v>
      </x:c>
      <x:c r="B67" s="14" t="str">
        <x:v>Tape Item 066</x:v>
      </x:c>
      <x:c r="C67" s="14" t="str">
        <x:v>Packaging</x:v>
      </x:c>
      <x:c r="D67" s="14" t="str">
        <x:v>Tape</x:v>
      </x:c>
      <x:c r="E67" s="14" t="str">
        <x:v>SUP-002</x:v>
      </x:c>
      <x:c r="F67" s="40" t="n">
        <x:v>244.68</x:v>
      </x:c>
      <x:c r="G67" s="40" t="n">
        <x:v>414.45</x:v>
      </x:c>
      <x:c r="H67" s="14" t="str">
        <x:v>B</x:v>
      </x:c>
      <x:c r="I67" s="14" t="n">
        <x:v>100</x:v>
      </x:c>
      <x:c r="J67" s="14" t="n">
        <x:v>10</x:v>
      </x:c>
      <x:c r="K67" s="14" t="n">
        <x:v>18</x:v>
      </x:c>
      <x:c r="L67" s="14" t="n">
        <x:v>30</x:v>
      </x:c>
      <x:c r="M67" s="14" t="str">
        <x:v>Yes</x:v>
      </x:c>
    </x:row>
    <x:row r="68">
      <x:c r="A68" s="14" t="str">
        <x:v>SKU-0067</x:v>
      </x:c>
      <x:c r="B68" s="14" t="str">
        <x:v>Paper Item 067</x:v>
      </x:c>
      <x:c r="C68" s="14" t="str">
        <x:v>Office</x:v>
      </x:c>
      <x:c r="D68" s="14" t="str">
        <x:v>Paper</x:v>
      </x:c>
      <x:c r="E68" s="14" t="str">
        <x:v>SUP-002</x:v>
      </x:c>
      <x:c r="F68" s="40" t="n">
        <x:v>113.7</x:v>
      </x:c>
      <x:c r="G68" s="40" t="n">
        <x:v>143.86</x:v>
      </x:c>
      <x:c r="H68" s="14" t="str">
        <x:v>C</x:v>
      </x:c>
      <x:c r="I68" s="14" t="n">
        <x:v>10</x:v>
      </x:c>
      <x:c r="J68" s="14" t="n">
        <x:v>5</x:v>
      </x:c>
      <x:c r="K68" s="14" t="n">
        <x:v>16</x:v>
      </x:c>
      <x:c r="L68" s="14" t="n">
        <x:v>60</x:v>
      </x:c>
      <x:c r="M68" s="14" t="str">
        <x:v>Yes</x:v>
      </x:c>
    </x:row>
    <x:row r="69">
      <x:c r="A69" s="14" t="str">
        <x:v>SKU-0068</x:v>
      </x:c>
      <x:c r="B69" s="14" t="str">
        <x:v>Cables Item 068</x:v>
      </x:c>
      <x:c r="C69" s="14" t="str">
        <x:v>Electronics</x:v>
      </x:c>
      <x:c r="D69" s="14" t="str">
        <x:v>Cables</x:v>
      </x:c>
      <x:c r="E69" s="14" t="str">
        <x:v>SUP-002</x:v>
      </x:c>
      <x:c r="F69" s="40" t="n">
        <x:v>157.37</x:v>
      </x:c>
      <x:c r="G69" s="40" t="n">
        <x:v>240.8</x:v>
      </x:c>
      <x:c r="H69" s="14" t="str">
        <x:v>C</x:v>
      </x:c>
      <x:c r="I69" s="14" t="n">
        <x:v>200</x:v>
      </x:c>
      <x:c r="J69" s="14" t="n">
        <x:v>5</x:v>
      </x:c>
      <x:c r="K69" s="14" t="n">
        <x:v>56</x:v>
      </x:c>
      <x:c r="L69" s="14" t="n">
        <x:v>60</x:v>
      </x:c>
      <x:c r="M69" s="14" t="str">
        <x:v>Yes</x:v>
      </x:c>
    </x:row>
    <x:row r="70">
      <x:c r="A70" s="14" t="str">
        <x:v>SKU-0069</x:v>
      </x:c>
      <x:c r="B70" s="14" t="str">
        <x:v>Accessories Item 069</x:v>
      </x:c>
      <x:c r="C70" s="14" t="str">
        <x:v>Office</x:v>
      </x:c>
      <x:c r="D70" s="14" t="str">
        <x:v>Accessories</x:v>
      </x:c>
      <x:c r="E70" s="14" t="str">
        <x:v>SUP-010</x:v>
      </x:c>
      <x:c r="F70" s="40" t="n">
        <x:v>277.23</x:v>
      </x:c>
      <x:c r="G70" s="40" t="n">
        <x:v>397.26</x:v>
      </x:c>
      <x:c r="H70" s="14" t="str">
        <x:v>C</x:v>
      </x:c>
      <x:c r="I70" s="14" t="n">
        <x:v>200</x:v>
      </x:c>
      <x:c r="J70" s="14" t="n">
        <x:v>50</x:v>
      </x:c>
      <x:c r="K70" s="14" t="n">
        <x:v>13</x:v>
      </x:c>
      <x:c r="L70" s="14" t="n">
        <x:v>30</x:v>
      </x:c>
      <x:c r="M70" s="14" t="str">
        <x:v>Yes</x:v>
      </x:c>
    </x:row>
    <x:row r="71">
      <x:c r="A71" s="14" t="str">
        <x:v>SKU-0070</x:v>
      </x:c>
      <x:c r="B71" s="14" t="str">
        <x:v>Fasteners Item 070</x:v>
      </x:c>
      <x:c r="C71" s="14" t="str">
        <x:v>Mechanical</x:v>
      </x:c>
      <x:c r="D71" s="14" t="str">
        <x:v>Fasteners</x:v>
      </x:c>
      <x:c r="E71" s="14" t="str">
        <x:v>SUP-003</x:v>
      </x:c>
      <x:c r="F71" s="40" t="n">
        <x:v>69.06</x:v>
      </x:c>
      <x:c r="G71" s="40" t="n">
        <x:v>115.25</x:v>
      </x:c>
      <x:c r="H71" s="14" t="str">
        <x:v>A</x:v>
      </x:c>
      <x:c r="I71" s="14" t="n">
        <x:v>100</x:v>
      </x:c>
      <x:c r="J71" s="14" t="n">
        <x:v>20</x:v>
      </x:c>
      <x:c r="K71" s="14" t="n">
        <x:v>51</x:v>
      </x:c>
      <x:c r="L71" s="14" t="n">
        <x:v>60</x:v>
      </x:c>
      <x:c r="M71" s="14" t="str">
        <x:v>Yes</x:v>
      </x:c>
    </x:row>
    <x:row r="72">
      <x:c r="A72" s="14" t="str">
        <x:v>SKU-0071</x:v>
      </x:c>
      <x:c r="B72" s="14" t="str">
        <x:v>Cables Item 071</x:v>
      </x:c>
      <x:c r="C72" s="14" t="str">
        <x:v>Electronics</x:v>
      </x:c>
      <x:c r="D72" s="14" t="str">
        <x:v>Cables</x:v>
      </x:c>
      <x:c r="E72" s="14" t="str">
        <x:v>SUP-005</x:v>
      </x:c>
      <x:c r="F72" s="40" t="n">
        <x:v>198.68</x:v>
      </x:c>
      <x:c r="G72" s="40" t="n">
        <x:v>368.74</x:v>
      </x:c>
      <x:c r="H72" s="14" t="str">
        <x:v>B</x:v>
      </x:c>
      <x:c r="I72" s="14" t="n">
        <x:v>500</x:v>
      </x:c>
      <x:c r="J72" s="14" t="n">
        <x:v>5</x:v>
      </x:c>
      <x:c r="K72" s="14" t="n">
        <x:v>23</x:v>
      </x:c>
      <x:c r="L72" s="14" t="n">
        <x:v>60</x:v>
      </x:c>
      <x:c r="M72" s="14" t="str">
        <x:v>Yes</x:v>
      </x:c>
    </x:row>
    <x:row r="73">
      <x:c r="A73" s="14" t="str">
        <x:v>SKU-0072</x:v>
      </x:c>
      <x:c r="B73" s="14" t="str">
        <x:v>Tape Item 072</x:v>
      </x:c>
      <x:c r="C73" s="14" t="str">
        <x:v>Packaging</x:v>
      </x:c>
      <x:c r="D73" s="14" t="str">
        <x:v>Tape</x:v>
      </x:c>
      <x:c r="E73" s="14" t="str">
        <x:v>SUP-002</x:v>
      </x:c>
      <x:c r="F73" s="40" t="n">
        <x:v>153.62</x:v>
      </x:c>
      <x:c r="G73" s="40" t="n">
        <x:v>273.86</x:v>
      </x:c>
      <x:c r="H73" s="14" t="str">
        <x:v>C</x:v>
      </x:c>
      <x:c r="I73" s="14" t="n">
        <x:v>25</x:v>
      </x:c>
      <x:c r="J73" s="14" t="n">
        <x:v>1</x:v>
      </x:c>
      <x:c r="K73" s="14" t="n">
        <x:v>10</x:v>
      </x:c>
      <x:c r="L73" s="14" t="n">
        <x:v>30</x:v>
      </x:c>
      <x:c r="M73" s="14" t="str">
        <x:v>Yes</x:v>
      </x:c>
    </x:row>
    <x:row r="74">
      <x:c r="A74" s="14" t="str">
        <x:v>SKU-0073</x:v>
      </x:c>
      <x:c r="B74" s="14" t="str">
        <x:v>First Aid Item 073</x:v>
      </x:c>
      <x:c r="C74" s="14" t="str">
        <x:v>Safety</x:v>
      </x:c>
      <x:c r="D74" s="14" t="str">
        <x:v>First Aid</x:v>
      </x:c>
      <x:c r="E74" s="14" t="str">
        <x:v>SUP-008</x:v>
      </x:c>
      <x:c r="F74" s="40" t="n">
        <x:v>37.01</x:v>
      </x:c>
      <x:c r="G74" s="40" t="n">
        <x:v>67.97</x:v>
      </x:c>
      <x:c r="H74" s="14" t="str">
        <x:v>C</x:v>
      </x:c>
      <x:c r="I74" s="14" t="n">
        <x:v>50</x:v>
      </x:c>
      <x:c r="J74" s="14" t="n">
        <x:v>25</x:v>
      </x:c>
      <x:c r="K74" s="14" t="n">
        <x:v>41</x:v>
      </x:c>
      <x:c r="L74" s="14" t="n">
        <x:v>45</x:v>
      </x:c>
      <x:c r="M74" s="14" t="str">
        <x:v>Yes</x:v>
      </x:c>
    </x:row>
    <x:row r="75">
      <x:c r="A75" s="14" t="str">
        <x:v>SKU-0074</x:v>
      </x:c>
      <x:c r="B75" s="14" t="str">
        <x:v>Gloves Item 074</x:v>
      </x:c>
      <x:c r="C75" s="14" t="str">
        <x:v>Safety</x:v>
      </x:c>
      <x:c r="D75" s="14" t="str">
        <x:v>Gloves</x:v>
      </x:c>
      <x:c r="E75" s="14" t="str">
        <x:v>SUP-007</x:v>
      </x:c>
      <x:c r="F75" s="40" t="n">
        <x:v>206.33</x:v>
      </x:c>
      <x:c r="G75" s="40" t="n">
        <x:v>356.65</x:v>
      </x:c>
      <x:c r="H75" s="14" t="str">
        <x:v>A</x:v>
      </x:c>
      <x:c r="I75" s="14" t="n">
        <x:v>25</x:v>
      </x:c>
      <x:c r="J75" s="14" t="n">
        <x:v>50</x:v>
      </x:c>
      <x:c r="K75" s="14" t="n">
        <x:v>60</x:v>
      </x:c>
      <x:c r="L75" s="14" t="n">
        <x:v>60</x:v>
      </x:c>
      <x:c r="M75" s="14" t="str">
        <x:v>Yes</x:v>
      </x:c>
    </x:row>
    <x:row r="76">
      <x:c r="A76" s="14" t="str">
        <x:v>SKU-0075</x:v>
      </x:c>
      <x:c r="B76" s="14" t="str">
        <x:v>Power Item 075</x:v>
      </x:c>
      <x:c r="C76" s="14" t="str">
        <x:v>Electronics</x:v>
      </x:c>
      <x:c r="D76" s="14" t="str">
        <x:v>Power</x:v>
      </x:c>
      <x:c r="E76" s="14" t="str">
        <x:v>SUP-010</x:v>
      </x:c>
      <x:c r="F76" s="40" t="n">
        <x:v>13.66</x:v>
      </x:c>
      <x:c r="G76" s="40" t="n">
        <x:v>26.4</x:v>
      </x:c>
      <x:c r="H76" s="14" t="str">
        <x:v>B</x:v>
      </x:c>
      <x:c r="I76" s="14" t="n">
        <x:v>500</x:v>
      </x:c>
      <x:c r="J76" s="14" t="n">
        <x:v>20</x:v>
      </x:c>
      <x:c r="K76" s="14" t="n">
        <x:v>24</x:v>
      </x:c>
      <x:c r="L76" s="14" t="n">
        <x:v>30</x:v>
      </x:c>
      <x:c r="M76" s="14" t="str">
        <x:v>Yes</x:v>
      </x:c>
    </x:row>
    <x:row r="77">
      <x:c r="A77" s="14" t="str">
        <x:v>SKU-0076</x:v>
      </x:c>
      <x:c r="B77" s="14" t="str">
        <x:v>Storage Item 076</x:v>
      </x:c>
      <x:c r="C77" s="14" t="str">
        <x:v>Office</x:v>
      </x:c>
      <x:c r="D77" s="14" t="str">
        <x:v>Storage</x:v>
      </x:c>
      <x:c r="E77" s="14" t="str">
        <x:v>SUP-002</x:v>
      </x:c>
      <x:c r="F77" s="40" t="n">
        <x:v>132.93</x:v>
      </x:c>
      <x:c r="G77" s="40" t="n">
        <x:v>202.43</x:v>
      </x:c>
      <x:c r="H77" s="14" t="str">
        <x:v>B</x:v>
      </x:c>
      <x:c r="I77" s="14" t="n">
        <x:v>10</x:v>
      </x:c>
      <x:c r="J77" s="14" t="n">
        <x:v>5</x:v>
      </x:c>
      <x:c r="K77" s="14" t="n">
        <x:v>28</x:v>
      </x:c>
      <x:c r="L77" s="14" t="n">
        <x:v>45</x:v>
      </x:c>
      <x:c r="M77" s="14" t="str">
        <x:v>Yes</x:v>
      </x:c>
    </x:row>
    <x:row r="78">
      <x:c r="A78" s="14" t="str">
        <x:v>SKU-0077</x:v>
      </x:c>
      <x:c r="B78" s="14" t="str">
        <x:v>Brackets Item 077</x:v>
      </x:c>
      <x:c r="C78" s="14" t="str">
        <x:v>Mechanical</x:v>
      </x:c>
      <x:c r="D78" s="14" t="str">
        <x:v>Brackets</x:v>
      </x:c>
      <x:c r="E78" s="14" t="str">
        <x:v>SUP-009</x:v>
      </x:c>
      <x:c r="F78" s="40" t="n">
        <x:v>12.68</x:v>
      </x:c>
      <x:c r="G78" s="40" t="n">
        <x:v>16.16</x:v>
      </x:c>
      <x:c r="H78" s="14" t="str">
        <x:v>B</x:v>
      </x:c>
      <x:c r="I78" s="14" t="n">
        <x:v>10</x:v>
      </x:c>
      <x:c r="J78" s="14" t="n">
        <x:v>20</x:v>
      </x:c>
      <x:c r="K78" s="14" t="n">
        <x:v>39</x:v>
      </x:c>
      <x:c r="L78" s="14" t="n">
        <x:v>30</x:v>
      </x:c>
      <x:c r="M78" s="14" t="str">
        <x:v>Yes</x:v>
      </x:c>
    </x:row>
    <x:row r="79">
      <x:c r="A79" s="14" t="str">
        <x:v>SKU-0078</x:v>
      </x:c>
      <x:c r="B79" s="14" t="str">
        <x:v>PPE Item 078</x:v>
      </x:c>
      <x:c r="C79" s="14" t="str">
        <x:v>Safety</x:v>
      </x:c>
      <x:c r="D79" s="14" t="str">
        <x:v>PPE</x:v>
      </x:c>
      <x:c r="E79" s="14" t="str">
        <x:v>SUP-007</x:v>
      </x:c>
      <x:c r="F79" s="40" t="n">
        <x:v>17.54</x:v>
      </x:c>
      <x:c r="G79" s="40" t="n">
        <x:v>28.63</x:v>
      </x:c>
      <x:c r="H79" s="14" t="str">
        <x:v>C</x:v>
      </x:c>
      <x:c r="I79" s="14" t="n">
        <x:v>100</x:v>
      </x:c>
      <x:c r="J79" s="14" t="n">
        <x:v>50</x:v>
      </x:c>
      <x:c r="K79" s="14" t="n">
        <x:v>35</x:v>
      </x:c>
      <x:c r="L79" s="14" t="n">
        <x:v>30</x:v>
      </x:c>
      <x:c r="M79" s="14" t="str">
        <x:v>Yes</x:v>
      </x:c>
    </x:row>
    <x:row r="80">
      <x:c r="A80" s="14" t="str">
        <x:v>SKU-0079</x:v>
      </x:c>
      <x:c r="B80" s="14" t="str">
        <x:v>Eyewear Item 079</x:v>
      </x:c>
      <x:c r="C80" s="14" t="str">
        <x:v>Safety</x:v>
      </x:c>
      <x:c r="D80" s="14" t="str">
        <x:v>Eyewear</x:v>
      </x:c>
      <x:c r="E80" s="14" t="str">
        <x:v>SUP-005</x:v>
      </x:c>
      <x:c r="F80" s="40" t="n">
        <x:v>124.08</x:v>
      </x:c>
      <x:c r="G80" s="40" t="n">
        <x:v>229.48</x:v>
      </x:c>
      <x:c r="H80" s="14" t="str">
        <x:v>A</x:v>
      </x:c>
      <x:c r="I80" s="14" t="n">
        <x:v>500</x:v>
      </x:c>
      <x:c r="J80" s="14" t="n">
        <x:v>25</x:v>
      </x:c>
      <x:c r="K80" s="14" t="n">
        <x:v>58</x:v>
      </x:c>
      <x:c r="L80" s="14" t="n">
        <x:v>30</x:v>
      </x:c>
      <x:c r="M80" s="14" t="str">
        <x:v>Yes</x:v>
      </x:c>
    </x:row>
    <x:row r="81">
      <x:c r="A81" s="14" t="str">
        <x:v>SKU-0080</x:v>
      </x:c>
      <x:c r="B81" s="14" t="str">
        <x:v>Fasteners Item 080</x:v>
      </x:c>
      <x:c r="C81" s="14" t="str">
        <x:v>Mechanical</x:v>
      </x:c>
      <x:c r="D81" s="14" t="str">
        <x:v>Fasteners</x:v>
      </x:c>
      <x:c r="E81" s="14" t="str">
        <x:v>SUP-009</x:v>
      </x:c>
      <x:c r="F81" s="40" t="n">
        <x:v>115.72</x:v>
      </x:c>
      <x:c r="G81" s="40" t="n">
        <x:v>158.49</x:v>
      </x:c>
      <x:c r="H81" s="14" t="str">
        <x:v>C</x:v>
      </x:c>
      <x:c r="I81" s="14" t="n">
        <x:v>10</x:v>
      </x:c>
      <x:c r="J81" s="14" t="n">
        <x:v>20</x:v>
      </x:c>
      <x:c r="K81" s="14" t="n">
        <x:v>14</x:v>
      </x:c>
      <x:c r="L81" s="14" t="n">
        <x:v>60</x:v>
      </x:c>
      <x:c r="M81" s="14" t="str">
        <x:v>Yes</x:v>
      </x:c>
    </x:row>
    <x:row r="82">
      <x:c r="A82" s="14" t="str">
        <x:v>SKU-0081</x:v>
      </x:c>
      <x:c r="B82" s="14" t="str">
        <x:v>Accessories Item 081</x:v>
      </x:c>
      <x:c r="C82" s="14" t="str">
        <x:v>Office</x:v>
      </x:c>
      <x:c r="D82" s="14" t="str">
        <x:v>Accessories</x:v>
      </x:c>
      <x:c r="E82" s="14" t="str">
        <x:v>SUP-009</x:v>
      </x:c>
      <x:c r="F82" s="40" t="n">
        <x:v>198.25</x:v>
      </x:c>
      <x:c r="G82" s="40" t="n">
        <x:v>303.23</x:v>
      </x:c>
      <x:c r="H82" s="14" t="str">
        <x:v>B</x:v>
      </x:c>
      <x:c r="I82" s="14" t="n">
        <x:v>100</x:v>
      </x:c>
      <x:c r="J82" s="14" t="n">
        <x:v>5</x:v>
      </x:c>
      <x:c r="K82" s="14" t="n">
        <x:v>36</x:v>
      </x:c>
      <x:c r="L82" s="14" t="n">
        <x:v>60</x:v>
      </x:c>
      <x:c r="M82" s="14" t="str">
        <x:v>Yes</x:v>
      </x:c>
    </x:row>
    <x:row r="83">
      <x:c r="A83" s="14" t="str">
        <x:v>SKU-0082</x:v>
      </x:c>
      <x:c r="B83" s="14" t="str">
        <x:v>Labels Item 082</x:v>
      </x:c>
      <x:c r="C83" s="14" t="str">
        <x:v>Packaging</x:v>
      </x:c>
      <x:c r="D83" s="14" t="str">
        <x:v>Labels</x:v>
      </x:c>
      <x:c r="E83" s="14" t="str">
        <x:v>SUP-002</x:v>
      </x:c>
      <x:c r="F83" s="40" t="n">
        <x:v>79.16</x:v>
      </x:c>
      <x:c r="G83" s="40" t="n">
        <x:v>157.06</x:v>
      </x:c>
      <x:c r="H83" s="14" t="str">
        <x:v>B</x:v>
      </x:c>
      <x:c r="I83" s="14" t="n">
        <x:v>200</x:v>
      </x:c>
      <x:c r="J83" s="14" t="n">
        <x:v>10</x:v>
      </x:c>
      <x:c r="K83" s="14" t="n">
        <x:v>59</x:v>
      </x:c>
      <x:c r="L83" s="14" t="n">
        <x:v>30</x:v>
      </x:c>
      <x:c r="M83" s="14" t="str">
        <x:v>Yes</x:v>
      </x:c>
    </x:row>
    <x:row r="84">
      <x:c r="A84" s="14" t="str">
        <x:v>SKU-0083</x:v>
      </x:c>
      <x:c r="B84" s="14" t="str">
        <x:v>Brackets Item 083</x:v>
      </x:c>
      <x:c r="C84" s="14" t="str">
        <x:v>Mechanical</x:v>
      </x:c>
      <x:c r="D84" s="14" t="str">
        <x:v>Brackets</x:v>
      </x:c>
      <x:c r="E84" s="14" t="str">
        <x:v>SUP-003</x:v>
      </x:c>
      <x:c r="F84" s="40" t="n">
        <x:v>126.42</x:v>
      </x:c>
      <x:c r="G84" s="40" t="n">
        <x:v>201.86</x:v>
      </x:c>
      <x:c r="H84" s="14" t="str">
        <x:v>B</x:v>
      </x:c>
      <x:c r="I84" s="14" t="n">
        <x:v>200</x:v>
      </x:c>
      <x:c r="J84" s="14" t="n">
        <x:v>20</x:v>
      </x:c>
      <x:c r="K84" s="14" t="n">
        <x:v>36</x:v>
      </x:c>
      <x:c r="L84" s="14" t="n">
        <x:v>45</x:v>
      </x:c>
      <x:c r="M84" s="14" t="str">
        <x:v>Yes</x:v>
      </x:c>
    </x:row>
    <x:row r="85">
      <x:c r="A85" s="14" t="str">
        <x:v>SKU-0084</x:v>
      </x:c>
      <x:c r="B85" s="14" t="str">
        <x:v>Filters Item 084</x:v>
      </x:c>
      <x:c r="C85" s="14" t="str">
        <x:v>Maintenance</x:v>
      </x:c>
      <x:c r="D85" s="14" t="str">
        <x:v>Filters</x:v>
      </x:c>
      <x:c r="E85" s="14" t="str">
        <x:v>SUP-010</x:v>
      </x:c>
      <x:c r="F85" s="40" t="n">
        <x:v>108.77</x:v>
      </x:c>
      <x:c r="G85" s="40" t="n">
        <x:v>227.75</x:v>
      </x:c>
      <x:c r="H85" s="14" t="str">
        <x:v>B</x:v>
      </x:c>
      <x:c r="I85" s="14" t="n">
        <x:v>50</x:v>
      </x:c>
      <x:c r="J85" s="14" t="n">
        <x:v>50</x:v>
      </x:c>
      <x:c r="K85" s="14" t="n">
        <x:v>37</x:v>
      </x:c>
      <x:c r="L85" s="14" t="n">
        <x:v>60</x:v>
      </x:c>
      <x:c r="M85" s="14" t="str">
        <x:v>Yes</x:v>
      </x:c>
    </x:row>
    <x:row r="86">
      <x:c r="A86" s="14" t="str">
        <x:v>SKU-0085</x:v>
      </x:c>
      <x:c r="B86" s="14" t="str">
        <x:v>Storage Item 085</x:v>
      </x:c>
      <x:c r="C86" s="14" t="str">
        <x:v>Office</x:v>
      </x:c>
      <x:c r="D86" s="14" t="str">
        <x:v>Storage</x:v>
      </x:c>
      <x:c r="E86" s="14" t="str">
        <x:v>SUP-011</x:v>
      </x:c>
      <x:c r="F86" s="40" t="n">
        <x:v>222.39</x:v>
      </x:c>
      <x:c r="G86" s="40" t="n">
        <x:v>397.7</x:v>
      </x:c>
      <x:c r="H86" s="14" t="str">
        <x:v>A</x:v>
      </x:c>
      <x:c r="I86" s="14" t="n">
        <x:v>10</x:v>
      </x:c>
      <x:c r="J86" s="14" t="n">
        <x:v>5</x:v>
      </x:c>
      <x:c r="K86" s="14" t="n">
        <x:v>39</x:v>
      </x:c>
      <x:c r="L86" s="14" t="n">
        <x:v>60</x:v>
      </x:c>
      <x:c r="M86" s="14" t="str">
        <x:v>Yes</x:v>
      </x:c>
    </x:row>
    <x:row r="87">
      <x:c r="A87" s="14" t="str">
        <x:v>SKU-0086</x:v>
      </x:c>
      <x:c r="B87" s="14" t="str">
        <x:v>Controllers Item 086</x:v>
      </x:c>
      <x:c r="C87" s="14" t="str">
        <x:v>Electronics</x:v>
      </x:c>
      <x:c r="D87" s="14" t="str">
        <x:v>Controllers</x:v>
      </x:c>
      <x:c r="E87" s="14" t="str">
        <x:v>SUP-002</x:v>
      </x:c>
      <x:c r="F87" s="40" t="n">
        <x:v>148.45</x:v>
      </x:c>
      <x:c r="G87" s="40" t="n">
        <x:v>232.96</x:v>
      </x:c>
      <x:c r="H87" s="14" t="str">
        <x:v>C</x:v>
      </x:c>
      <x:c r="I87" s="14" t="n">
        <x:v>100</x:v>
      </x:c>
      <x:c r="J87" s="14" t="n">
        <x:v>50</x:v>
      </x:c>
      <x:c r="K87" s="14" t="n">
        <x:v>16</x:v>
      </x:c>
      <x:c r="L87" s="14" t="n">
        <x:v>30</x:v>
      </x:c>
      <x:c r="M87" s="14" t="str">
        <x:v>Yes</x:v>
      </x:c>
    </x:row>
    <x:row r="88">
      <x:c r="A88" s="14" t="str">
        <x:v>SKU-0087</x:v>
      </x:c>
      <x:c r="B88" s="14" t="str">
        <x:v>Gears Item 087</x:v>
      </x:c>
      <x:c r="C88" s="14" t="str">
        <x:v>Mechanical</x:v>
      </x:c>
      <x:c r="D88" s="14" t="str">
        <x:v>Gears</x:v>
      </x:c>
      <x:c r="E88" s="14" t="str">
        <x:v>SUP-010</x:v>
      </x:c>
      <x:c r="F88" s="40" t="n">
        <x:v>194.73</x:v>
      </x:c>
      <x:c r="G88" s="40" t="n">
        <x:v>347.69</x:v>
      </x:c>
      <x:c r="H88" s="14" t="str">
        <x:v>C</x:v>
      </x:c>
      <x:c r="I88" s="14" t="n">
        <x:v>500</x:v>
      </x:c>
      <x:c r="J88" s="14" t="n">
        <x:v>25</x:v>
      </x:c>
      <x:c r="K88" s="14" t="n">
        <x:v>31</x:v>
      </x:c>
      <x:c r="L88" s="14" t="n">
        <x:v>45</x:v>
      </x:c>
      <x:c r="M88" s="14" t="str">
        <x:v>Yes</x:v>
      </x:c>
    </x:row>
    <x:row r="89">
      <x:c r="A89" s="14" t="str">
        <x:v>SKU-0088</x:v>
      </x:c>
      <x:c r="B89" s="14" t="str">
        <x:v>Paper Item 088</x:v>
      </x:c>
      <x:c r="C89" s="14" t="str">
        <x:v>Office</x:v>
      </x:c>
      <x:c r="D89" s="14" t="str">
        <x:v>Paper</x:v>
      </x:c>
      <x:c r="E89" s="14" t="str">
        <x:v>SUP-010</x:v>
      </x:c>
      <x:c r="F89" s="40" t="n">
        <x:v>21.49</x:v>
      </x:c>
      <x:c r="G89" s="40" t="n">
        <x:v>37.87</x:v>
      </x:c>
      <x:c r="H89" s="14" t="str">
        <x:v>C</x:v>
      </x:c>
      <x:c r="I89" s="14" t="n">
        <x:v>25</x:v>
      </x:c>
      <x:c r="J89" s="14" t="n">
        <x:v>50</x:v>
      </x:c>
      <x:c r="K89" s="14" t="n">
        <x:v>12</x:v>
      </x:c>
      <x:c r="L89" s="14" t="n">
        <x:v>45</x:v>
      </x:c>
      <x:c r="M89" s="14" t="str">
        <x:v>Yes</x:v>
      </x:c>
    </x:row>
    <x:row r="90">
      <x:c r="A90" s="14" t="str">
        <x:v>SKU-0089</x:v>
      </x:c>
      <x:c r="B90" s="14" t="str">
        <x:v>Lubricants Item 089</x:v>
      </x:c>
      <x:c r="C90" s="14" t="str">
        <x:v>Maintenance</x:v>
      </x:c>
      <x:c r="D90" s="14" t="str">
        <x:v>Lubricants</x:v>
      </x:c>
      <x:c r="E90" s="14" t="str">
        <x:v>SUP-008</x:v>
      </x:c>
      <x:c r="F90" s="40" t="n">
        <x:v>48.67</x:v>
      </x:c>
      <x:c r="G90" s="40" t="n">
        <x:v>69.51</x:v>
      </x:c>
      <x:c r="H90" s="14" t="str">
        <x:v>A</x:v>
      </x:c>
      <x:c r="I90" s="14" t="n">
        <x:v>50</x:v>
      </x:c>
      <x:c r="J90" s="14" t="n">
        <x:v>1</x:v>
      </x:c>
      <x:c r="K90" s="14" t="n">
        <x:v>25</x:v>
      </x:c>
      <x:c r="L90" s="14" t="n">
        <x:v>45</x:v>
      </x:c>
      <x:c r="M90" s="14" t="str">
        <x:v>Yes</x:v>
      </x:c>
    </x:row>
    <x:row r="91">
      <x:c r="A91" s="14" t="str">
        <x:v>SKU-0090</x:v>
      </x:c>
      <x:c r="B91" s="14" t="str">
        <x:v>Labels Item 090</x:v>
      </x:c>
      <x:c r="C91" s="14" t="str">
        <x:v>Packaging</x:v>
      </x:c>
      <x:c r="D91" s="14" t="str">
        <x:v>Labels</x:v>
      </x:c>
      <x:c r="E91" s="14" t="str">
        <x:v>SUP-009</x:v>
      </x:c>
      <x:c r="F91" s="40" t="n">
        <x:v>116.84</x:v>
      </x:c>
      <x:c r="G91" s="40" t="n">
        <x:v>213.49</x:v>
      </x:c>
      <x:c r="H91" s="14" t="str">
        <x:v>A</x:v>
      </x:c>
      <x:c r="I91" s="14" t="n">
        <x:v>25</x:v>
      </x:c>
      <x:c r="J91" s="14" t="n">
        <x:v>1</x:v>
      </x:c>
      <x:c r="K91" s="14" t="n">
        <x:v>46</x:v>
      </x:c>
      <x:c r="L91" s="14" t="n">
        <x:v>45</x:v>
      </x:c>
      <x:c r="M91" s="14" t="str">
        <x:v>Yes</x:v>
      </x:c>
    </x:row>
    <x:row r="92">
      <x:c r="A92" s="14" t="str">
        <x:v>SKU-0091</x:v>
      </x:c>
      <x:c r="B92" s="14" t="str">
        <x:v>Tape Item 091</x:v>
      </x:c>
      <x:c r="C92" s="14" t="str">
        <x:v>Packaging</x:v>
      </x:c>
      <x:c r="D92" s="14" t="str">
        <x:v>Tape</x:v>
      </x:c>
      <x:c r="E92" s="14" t="str">
        <x:v>SUP-010</x:v>
      </x:c>
      <x:c r="F92" s="40" t="n">
        <x:v>42.22</x:v>
      </x:c>
      <x:c r="G92" s="40" t="n">
        <x:v>66.43</x:v>
      </x:c>
      <x:c r="H92" s="14" t="str">
        <x:v>B</x:v>
      </x:c>
      <x:c r="I92" s="14" t="n">
        <x:v>50</x:v>
      </x:c>
      <x:c r="J92" s="14" t="n">
        <x:v>50</x:v>
      </x:c>
      <x:c r="K92" s="14" t="n">
        <x:v>7</x:v>
      </x:c>
      <x:c r="L92" s="14" t="n">
        <x:v>45</x:v>
      </x:c>
      <x:c r="M92" s="14" t="str">
        <x:v>Yes</x:v>
      </x:c>
    </x:row>
    <x:row r="93">
      <x:c r="A93" s="14" t="str">
        <x:v>SKU-0092</x:v>
      </x:c>
      <x:c r="B93" s="14" t="str">
        <x:v>Filters Item 092</x:v>
      </x:c>
      <x:c r="C93" s="14" t="str">
        <x:v>Maintenance</x:v>
      </x:c>
      <x:c r="D93" s="14" t="str">
        <x:v>Filters</x:v>
      </x:c>
      <x:c r="E93" s="14" t="str">
        <x:v>SUP-002</x:v>
      </x:c>
      <x:c r="F93" s="40" t="n">
        <x:v>125.08</x:v>
      </x:c>
      <x:c r="G93" s="40" t="n">
        <x:v>183.46</x:v>
      </x:c>
      <x:c r="H93" s="14" t="str">
        <x:v>C</x:v>
      </x:c>
      <x:c r="I93" s="14" t="n">
        <x:v>500</x:v>
      </x:c>
      <x:c r="J93" s="14" t="n">
        <x:v>20</x:v>
      </x:c>
      <x:c r="K93" s="14" t="n">
        <x:v>51</x:v>
      </x:c>
      <x:c r="L93" s="14" t="n">
        <x:v>45</x:v>
      </x:c>
      <x:c r="M93" s="14" t="str">
        <x:v>Yes</x:v>
      </x:c>
    </x:row>
    <x:row r="94">
      <x:c r="A94" s="14" t="str">
        <x:v>SKU-0093</x:v>
      </x:c>
      <x:c r="B94" s="14" t="str">
        <x:v>Bearings Item 093</x:v>
      </x:c>
      <x:c r="C94" s="14" t="str">
        <x:v>Mechanical</x:v>
      </x:c>
      <x:c r="D94" s="14" t="str">
        <x:v>Bearings</x:v>
      </x:c>
      <x:c r="E94" s="14" t="str">
        <x:v>SUP-007</x:v>
      </x:c>
      <x:c r="F94" s="40" t="n">
        <x:v>239.3</x:v>
      </x:c>
      <x:c r="G94" s="40" t="n">
        <x:v>307.85</x:v>
      </x:c>
      <x:c r="H94" s="14" t="str">
        <x:v>B</x:v>
      </x:c>
      <x:c r="I94" s="14" t="n">
        <x:v>50</x:v>
      </x:c>
      <x:c r="J94" s="14" t="n">
        <x:v>25</x:v>
      </x:c>
      <x:c r="K94" s="14" t="n">
        <x:v>25</x:v>
      </x:c>
      <x:c r="L94" s="14" t="n">
        <x:v>60</x:v>
      </x:c>
      <x:c r="M94" s="14" t="str">
        <x:v>Yes</x:v>
      </x:c>
    </x:row>
    <x:row r="95">
      <x:c r="A95" s="14" t="str">
        <x:v>SKU-0094</x:v>
      </x:c>
      <x:c r="B95" s="14" t="str">
        <x:v>Tools Item 094</x:v>
      </x:c>
      <x:c r="C95" s="14" t="str">
        <x:v>Maintenance</x:v>
      </x:c>
      <x:c r="D95" s="14" t="str">
        <x:v>Tools</x:v>
      </x:c>
      <x:c r="E95" s="14" t="str">
        <x:v>SUP-005</x:v>
      </x:c>
      <x:c r="F95" s="40" t="n">
        <x:v>4.75</x:v>
      </x:c>
      <x:c r="G95" s="40" t="n">
        <x:v>10.02</x:v>
      </x:c>
      <x:c r="H95" s="14" t="str">
        <x:v>C</x:v>
      </x:c>
      <x:c r="I95" s="14" t="n">
        <x:v>10</x:v>
      </x:c>
      <x:c r="J95" s="14" t="n">
        <x:v>25</x:v>
      </x:c>
      <x:c r="K95" s="14" t="n">
        <x:v>54</x:v>
      </x:c>
      <x:c r="L95" s="14" t="n">
        <x:v>45</x:v>
      </x:c>
      <x:c r="M95" s="14" t="str">
        <x:v>Yes</x:v>
      </x:c>
    </x:row>
    <x:row r="96">
      <x:c r="A96" s="14" t="str">
        <x:v>SKU-0095</x:v>
      </x:c>
      <x:c r="B96" s="14" t="str">
        <x:v>Bearings Item 095</x:v>
      </x:c>
      <x:c r="C96" s="14" t="str">
        <x:v>Mechanical</x:v>
      </x:c>
      <x:c r="D96" s="14" t="str">
        <x:v>Bearings</x:v>
      </x:c>
      <x:c r="E96" s="14" t="str">
        <x:v>SUP-010</x:v>
      </x:c>
      <x:c r="F96" s="40" t="n">
        <x:v>225.04</x:v>
      </x:c>
      <x:c r="G96" s="40" t="n">
        <x:v>307.26</x:v>
      </x:c>
      <x:c r="H96" s="14" t="str">
        <x:v>A</x:v>
      </x:c>
      <x:c r="I96" s="14" t="n">
        <x:v>50</x:v>
      </x:c>
      <x:c r="J96" s="14" t="n">
        <x:v>50</x:v>
      </x:c>
      <x:c r="K96" s="14" t="n">
        <x:v>55</x:v>
      </x:c>
      <x:c r="L96" s="14" t="n">
        <x:v>60</x:v>
      </x:c>
      <x:c r="M96" s="14" t="str">
        <x:v>Yes</x:v>
      </x:c>
    </x:row>
    <x:row r="97">
      <x:c r="A97" s="14" t="str">
        <x:v>SKU-0096</x:v>
      </x:c>
      <x:c r="B97" s="14" t="str">
        <x:v>Filters Item 096</x:v>
      </x:c>
      <x:c r="C97" s="14" t="str">
        <x:v>Maintenance</x:v>
      </x:c>
      <x:c r="D97" s="14" t="str">
        <x:v>Filters</x:v>
      </x:c>
      <x:c r="E97" s="14" t="str">
        <x:v>SUP-011</x:v>
      </x:c>
      <x:c r="F97" s="40" t="n">
        <x:v>29.46</x:v>
      </x:c>
      <x:c r="G97" s="40" t="n">
        <x:v>51.77</x:v>
      </x:c>
      <x:c r="H97" s="14" t="str">
        <x:v>A</x:v>
      </x:c>
      <x:c r="I97" s="14" t="n">
        <x:v>100</x:v>
      </x:c>
      <x:c r="J97" s="14" t="n">
        <x:v>1</x:v>
      </x:c>
      <x:c r="K97" s="14" t="n">
        <x:v>44</x:v>
      </x:c>
      <x:c r="L97" s="14" t="n">
        <x:v>45</x:v>
      </x:c>
      <x:c r="M97" s="14" t="str">
        <x:v>Yes</x:v>
      </x:c>
    </x:row>
    <x:row r="98">
      <x:c r="A98" s="14" t="str">
        <x:v>SKU-0097</x:v>
      </x:c>
      <x:c r="B98" s="14" t="str">
        <x:v>Power Item 097</x:v>
      </x:c>
      <x:c r="C98" s="14" t="str">
        <x:v>Electronics</x:v>
      </x:c>
      <x:c r="D98" s="14" t="str">
        <x:v>Power</x:v>
      </x:c>
      <x:c r="E98" s="14" t="str">
        <x:v>SUP-006</x:v>
      </x:c>
      <x:c r="F98" s="40" t="n">
        <x:v>209.93</x:v>
      </x:c>
      <x:c r="G98" s="40" t="n">
        <x:v>280</x:v>
      </x:c>
      <x:c r="H98" s="14" t="str">
        <x:v>A</x:v>
      </x:c>
      <x:c r="I98" s="14" t="n">
        <x:v>200</x:v>
      </x:c>
      <x:c r="J98" s="14" t="n">
        <x:v>10</x:v>
      </x:c>
      <x:c r="K98" s="14" t="n">
        <x:v>40</x:v>
      </x:c>
      <x:c r="L98" s="14" t="n">
        <x:v>60</x:v>
      </x:c>
      <x:c r="M98" s="14" t="str">
        <x:v>Yes</x:v>
      </x:c>
    </x:row>
    <x:row r="99">
      <x:c r="A99" s="14" t="str">
        <x:v>SKU-0098</x:v>
      </x:c>
      <x:c r="B99" s="14" t="str">
        <x:v>Foam Item 098</x:v>
      </x:c>
      <x:c r="C99" s="14" t="str">
        <x:v>Packaging</x:v>
      </x:c>
      <x:c r="D99" s="14" t="str">
        <x:v>Foam</x:v>
      </x:c>
      <x:c r="E99" s="14" t="str">
        <x:v>SUP-008</x:v>
      </x:c>
      <x:c r="F99" s="40" t="n">
        <x:v>270.95</x:v>
      </x:c>
      <x:c r="G99" s="40" t="n">
        <x:v>386</x:v>
      </x:c>
      <x:c r="H99" s="14" t="str">
        <x:v>C</x:v>
      </x:c>
      <x:c r="I99" s="14" t="n">
        <x:v>10</x:v>
      </x:c>
      <x:c r="J99" s="14" t="n">
        <x:v>20</x:v>
      </x:c>
      <x:c r="K99" s="14" t="n">
        <x:v>11</x:v>
      </x:c>
      <x:c r="L99" s="14" t="n">
        <x:v>30</x:v>
      </x:c>
      <x:c r="M99" s="14" t="str">
        <x:v>Yes</x:v>
      </x:c>
    </x:row>
    <x:row r="100">
      <x:c r="A100" s="14" t="str">
        <x:v>SKU-0099</x:v>
      </x:c>
      <x:c r="B100" s="14" t="str">
        <x:v>Tape Item 099</x:v>
      </x:c>
      <x:c r="C100" s="14" t="str">
        <x:v>Packaging</x:v>
      </x:c>
      <x:c r="D100" s="14" t="str">
        <x:v>Tape</x:v>
      </x:c>
      <x:c r="E100" s="14" t="str">
        <x:v>SUP-009</x:v>
      </x:c>
      <x:c r="F100" s="40" t="n">
        <x:v>104</x:v>
      </x:c>
      <x:c r="G100" s="40" t="n">
        <x:v>206.46</x:v>
      </x:c>
      <x:c r="H100" s="14" t="str">
        <x:v>A</x:v>
      </x:c>
      <x:c r="I100" s="14" t="n">
        <x:v>200</x:v>
      </x:c>
      <x:c r="J100" s="14" t="n">
        <x:v>1</x:v>
      </x:c>
      <x:c r="K100" s="14" t="n">
        <x:v>36</x:v>
      </x:c>
      <x:c r="L100" s="14" t="n">
        <x:v>45</x:v>
      </x:c>
      <x:c r="M100" s="14" t="str">
        <x:v>Yes</x:v>
      </x:c>
    </x:row>
    <x:row r="101">
      <x:c r="A101" s="14" t="str">
        <x:v>SKU-0100</x:v>
      </x:c>
      <x:c r="B101" s="14" t="str">
        <x:v>Cleaning Item 100</x:v>
      </x:c>
      <x:c r="C101" s="14" t="str">
        <x:v>Maintenance</x:v>
      </x:c>
      <x:c r="D101" s="14" t="str">
        <x:v>Cleaning</x:v>
      </x:c>
      <x:c r="E101" s="14" t="str">
        <x:v>SUP-010</x:v>
      </x:c>
      <x:c r="F101" s="40" t="n">
        <x:v>108.23</x:v>
      </x:c>
      <x:c r="G101" s="40" t="n">
        <x:v>191.7</x:v>
      </x:c>
      <x:c r="H101" s="14" t="str">
        <x:v>B</x:v>
      </x:c>
      <x:c r="I101" s="14" t="n">
        <x:v>500</x:v>
      </x:c>
      <x:c r="J101" s="14" t="n">
        <x:v>5</x:v>
      </x:c>
      <x:c r="K101" s="14" t="n">
        <x:v>37</x:v>
      </x:c>
      <x:c r="L101" s="14" t="n">
        <x:v>30</x:v>
      </x:c>
      <x:c r="M101" s="14" t="str">
        <x:v>Yes</x:v>
      </x:c>
    </x:row>
    <x:row r="102">
      <x:c r="A102" s="14" t="str">
        <x:v>SKU-0101</x:v>
      </x:c>
      <x:c r="B102" s="14" t="str">
        <x:v>First Aid Item 101</x:v>
      </x:c>
      <x:c r="C102" s="14" t="str">
        <x:v>Safety</x:v>
      </x:c>
      <x:c r="D102" s="14" t="str">
        <x:v>First Aid</x:v>
      </x:c>
      <x:c r="E102" s="14" t="str">
        <x:v>SUP-010</x:v>
      </x:c>
      <x:c r="F102" s="40" t="n">
        <x:v>63.93</x:v>
      </x:c>
      <x:c r="G102" s="40" t="n">
        <x:v>80.44</x:v>
      </x:c>
      <x:c r="H102" s="14" t="str">
        <x:v>C</x:v>
      </x:c>
      <x:c r="I102" s="14" t="n">
        <x:v>500</x:v>
      </x:c>
      <x:c r="J102" s="14" t="n">
        <x:v>10</x:v>
      </x:c>
      <x:c r="K102" s="14" t="n">
        <x:v>48</x:v>
      </x:c>
      <x:c r="L102" s="14" t="n">
        <x:v>45</x:v>
      </x:c>
      <x:c r="M102" s="14" t="str">
        <x:v>Yes</x:v>
      </x:c>
    </x:row>
    <x:row r="103">
      <x:c r="A103" s="14" t="str">
        <x:v>SKU-0102</x:v>
      </x:c>
      <x:c r="B103" s="14" t="str">
        <x:v>Sensors Item 102</x:v>
      </x:c>
      <x:c r="C103" s="14" t="str">
        <x:v>Electronics</x:v>
      </x:c>
      <x:c r="D103" s="14" t="str">
        <x:v>Sensors</x:v>
      </x:c>
      <x:c r="E103" s="14" t="str">
        <x:v>SUP-005</x:v>
      </x:c>
      <x:c r="F103" s="40" t="n">
        <x:v>278.87</x:v>
      </x:c>
      <x:c r="G103" s="40" t="n">
        <x:v>360.51</x:v>
      </x:c>
      <x:c r="H103" s="14" t="str">
        <x:v>B</x:v>
      </x:c>
      <x:c r="I103" s="14" t="n">
        <x:v>200</x:v>
      </x:c>
      <x:c r="J103" s="14" t="n">
        <x:v>5</x:v>
      </x:c>
      <x:c r="K103" s="14" t="n">
        <x:v>31</x:v>
      </x:c>
      <x:c r="L103" s="14" t="n">
        <x:v>45</x:v>
      </x:c>
      <x:c r="M103" s="14" t="str">
        <x:v>Yes</x:v>
      </x:c>
    </x:row>
    <x:row r="104">
      <x:c r="A104" s="14" t="str">
        <x:v>SKU-0103</x:v>
      </x:c>
      <x:c r="B104" s="14" t="str">
        <x:v>Tools Item 103</x:v>
      </x:c>
      <x:c r="C104" s="14" t="str">
        <x:v>Maintenance</x:v>
      </x:c>
      <x:c r="D104" s="14" t="str">
        <x:v>Tools</x:v>
      </x:c>
      <x:c r="E104" s="14" t="str">
        <x:v>SUP-010</x:v>
      </x:c>
      <x:c r="F104" s="40" t="n">
        <x:v>208.48</x:v>
      </x:c>
      <x:c r="G104" s="40" t="n">
        <x:v>274.97</x:v>
      </x:c>
      <x:c r="H104" s="14" t="str">
        <x:v>B</x:v>
      </x:c>
      <x:c r="I104" s="14" t="n">
        <x:v>10</x:v>
      </x:c>
      <x:c r="J104" s="14" t="n">
        <x:v>20</x:v>
      </x:c>
      <x:c r="K104" s="14" t="n">
        <x:v>46</x:v>
      </x:c>
      <x:c r="L104" s="14" t="n">
        <x:v>45</x:v>
      </x:c>
      <x:c r="M104" s="14" t="str">
        <x:v>Yes</x:v>
      </x:c>
    </x:row>
    <x:row r="105">
      <x:c r="A105" s="14" t="str">
        <x:v>SKU-0104</x:v>
      </x:c>
      <x:c r="B105" s="14" t="str">
        <x:v>Fasteners Item 104</x:v>
      </x:c>
      <x:c r="C105" s="14" t="str">
        <x:v>Mechanical</x:v>
      </x:c>
      <x:c r="D105" s="14" t="str">
        <x:v>Fasteners</x:v>
      </x:c>
      <x:c r="E105" s="14" t="str">
        <x:v>SUP-012</x:v>
      </x:c>
      <x:c r="F105" s="40" t="n">
        <x:v>105.32</x:v>
      </x:c>
      <x:c r="G105" s="40" t="n">
        <x:v>163.88</x:v>
      </x:c>
      <x:c r="H105" s="14" t="str">
        <x:v>C</x:v>
      </x:c>
      <x:c r="I105" s="14" t="n">
        <x:v>50</x:v>
      </x:c>
      <x:c r="J105" s="14" t="n">
        <x:v>1</x:v>
      </x:c>
      <x:c r="K105" s="14" t="n">
        <x:v>50</x:v>
      </x:c>
      <x:c r="L105" s="14" t="n">
        <x:v>45</x:v>
      </x:c>
      <x:c r="M105" s="14" t="str">
        <x:v>Yes</x:v>
      </x:c>
    </x:row>
    <x:row r="106">
      <x:c r="A106" s="14" t="str">
        <x:v>SKU-0105</x:v>
      </x:c>
      <x:c r="B106" s="14" t="str">
        <x:v>Cleaning Item 105</x:v>
      </x:c>
      <x:c r="C106" s="14" t="str">
        <x:v>Maintenance</x:v>
      </x:c>
      <x:c r="D106" s="14" t="str">
        <x:v>Cleaning</x:v>
      </x:c>
      <x:c r="E106" s="14" t="str">
        <x:v>SUP-001</x:v>
      </x:c>
      <x:c r="F106" s="40" t="n">
        <x:v>112.98</x:v>
      </x:c>
      <x:c r="G106" s="40" t="n">
        <x:v>151.84</x:v>
      </x:c>
      <x:c r="H106" s="14" t="str">
        <x:v>A</x:v>
      </x:c>
      <x:c r="I106" s="14" t="n">
        <x:v>100</x:v>
      </x:c>
      <x:c r="J106" s="14" t="n">
        <x:v>1</x:v>
      </x:c>
      <x:c r="K106" s="14" t="n">
        <x:v>49</x:v>
      </x:c>
      <x:c r="L106" s="14" t="n">
        <x:v>30</x:v>
      </x:c>
      <x:c r="M106" s="14" t="str">
        <x:v>Yes</x:v>
      </x:c>
    </x:row>
    <x:row r="107">
      <x:c r="A107" s="14" t="str">
        <x:v>SKU-0106</x:v>
      </x:c>
      <x:c r="B107" s="14" t="str">
        <x:v>Gloves Item 106</x:v>
      </x:c>
      <x:c r="C107" s="14" t="str">
        <x:v>Safety</x:v>
      </x:c>
      <x:c r="D107" s="14" t="str">
        <x:v>Gloves</x:v>
      </x:c>
      <x:c r="E107" s="14" t="str">
        <x:v>SUP-001</x:v>
      </x:c>
      <x:c r="F107" s="40" t="n">
        <x:v>220.84</x:v>
      </x:c>
      <x:c r="G107" s="40" t="n">
        <x:v>305.63</x:v>
      </x:c>
      <x:c r="H107" s="14" t="str">
        <x:v>A</x:v>
      </x:c>
      <x:c r="I107" s="14" t="n">
        <x:v>200</x:v>
      </x:c>
      <x:c r="J107" s="14" t="n">
        <x:v>5</x:v>
      </x:c>
      <x:c r="K107" s="14" t="n">
        <x:v>11</x:v>
      </x:c>
      <x:c r="L107" s="14" t="n">
        <x:v>60</x:v>
      </x:c>
      <x:c r="M107" s="14" t="str">
        <x:v>Yes</x:v>
      </x:c>
    </x:row>
    <x:row r="108">
      <x:c r="A108" s="14" t="str">
        <x:v>SKU-0107</x:v>
      </x:c>
      <x:c r="B108" s="14" t="str">
        <x:v>Labels Item 107</x:v>
      </x:c>
      <x:c r="C108" s="14" t="str">
        <x:v>Packaging</x:v>
      </x:c>
      <x:c r="D108" s="14" t="str">
        <x:v>Labels</x:v>
      </x:c>
      <x:c r="E108" s="14" t="str">
        <x:v>SUP-006</x:v>
      </x:c>
      <x:c r="F108" s="40" t="n">
        <x:v>217.39</x:v>
      </x:c>
      <x:c r="G108" s="40" t="n">
        <x:v>430.87</x:v>
      </x:c>
      <x:c r="H108" s="14" t="str">
        <x:v>C</x:v>
      </x:c>
      <x:c r="I108" s="14" t="n">
        <x:v>50</x:v>
      </x:c>
      <x:c r="J108" s="14" t="n">
        <x:v>5</x:v>
      </x:c>
      <x:c r="K108" s="14" t="n">
        <x:v>15</x:v>
      </x:c>
      <x:c r="L108" s="14" t="n">
        <x:v>60</x:v>
      </x:c>
      <x:c r="M108" s="14" t="str">
        <x:v>Yes</x:v>
      </x:c>
    </x:row>
    <x:row r="109">
      <x:c r="A109" s="14" t="str">
        <x:v>SKU-0108</x:v>
      </x:c>
      <x:c r="B109" s="14" t="str">
        <x:v>Cartons Item 108</x:v>
      </x:c>
      <x:c r="C109" s="14" t="str">
        <x:v>Packaging</x:v>
      </x:c>
      <x:c r="D109" s="14" t="str">
        <x:v>Cartons</x:v>
      </x:c>
      <x:c r="E109" s="14" t="str">
        <x:v>SUP-011</x:v>
      </x:c>
      <x:c r="F109" s="40" t="n">
        <x:v>242.94</x:v>
      </x:c>
      <x:c r="G109" s="40" t="n">
        <x:v>316.63</x:v>
      </x:c>
      <x:c r="H109" s="14" t="str">
        <x:v>B</x:v>
      </x:c>
      <x:c r="I109" s="14" t="n">
        <x:v>25</x:v>
      </x:c>
      <x:c r="J109" s="14" t="n">
        <x:v>25</x:v>
      </x:c>
      <x:c r="K109" s="14" t="n">
        <x:v>27</x:v>
      </x:c>
      <x:c r="L109" s="14" t="n">
        <x:v>30</x:v>
      </x:c>
      <x:c r="M109" s="14" t="str">
        <x:v>Yes</x:v>
      </x:c>
    </x:row>
    <x:row r="110">
      <x:c r="A110" s="14" t="str">
        <x:v>SKU-0109</x:v>
      </x:c>
      <x:c r="B110" s="14" t="str">
        <x:v>Cables Item 109</x:v>
      </x:c>
      <x:c r="C110" s="14" t="str">
        <x:v>Electronics</x:v>
      </x:c>
      <x:c r="D110" s="14" t="str">
        <x:v>Cables</x:v>
      </x:c>
      <x:c r="E110" s="14" t="str">
        <x:v>SUP-012</x:v>
      </x:c>
      <x:c r="F110" s="40" t="n">
        <x:v>119.32</x:v>
      </x:c>
      <x:c r="G110" s="40" t="n">
        <x:v>154.05</x:v>
      </x:c>
      <x:c r="H110" s="14" t="str">
        <x:v>A</x:v>
      </x:c>
      <x:c r="I110" s="14" t="n">
        <x:v>100</x:v>
      </x:c>
      <x:c r="J110" s="14" t="n">
        <x:v>10</x:v>
      </x:c>
      <x:c r="K110" s="14" t="n">
        <x:v>39</x:v>
      </x:c>
      <x:c r="L110" s="14" t="n">
        <x:v>60</x:v>
      </x:c>
      <x:c r="M110" s="14" t="str">
        <x:v>Yes</x:v>
      </x:c>
    </x:row>
    <x:row r="111">
      <x:c r="A111" s="14" t="str">
        <x:v>SKU-0110</x:v>
      </x:c>
      <x:c r="B111" s="14" t="str">
        <x:v>Eyewear Item 110</x:v>
      </x:c>
      <x:c r="C111" s="14" t="str">
        <x:v>Safety</x:v>
      </x:c>
      <x:c r="D111" s="14" t="str">
        <x:v>Eyewear</x:v>
      </x:c>
      <x:c r="E111" s="14" t="str">
        <x:v>SUP-010</x:v>
      </x:c>
      <x:c r="F111" s="40" t="n">
        <x:v>14.53</x:v>
      </x:c>
      <x:c r="G111" s="40" t="n">
        <x:v>28.68</x:v>
      </x:c>
      <x:c r="H111" s="14" t="str">
        <x:v>C</x:v>
      </x:c>
      <x:c r="I111" s="14" t="n">
        <x:v>200</x:v>
      </x:c>
      <x:c r="J111" s="14" t="n">
        <x:v>10</x:v>
      </x:c>
      <x:c r="K111" s="14" t="n">
        <x:v>36</x:v>
      </x:c>
      <x:c r="L111" s="14" t="n">
        <x:v>60</x:v>
      </x:c>
      <x:c r="M111" s="14" t="str">
        <x:v>Yes</x:v>
      </x:c>
    </x:row>
    <x:row r="112">
      <x:c r="A112" s="14" t="str">
        <x:v>SKU-0111</x:v>
      </x:c>
      <x:c r="B112" s="14" t="str">
        <x:v>Controllers Item 111</x:v>
      </x:c>
      <x:c r="C112" s="14" t="str">
        <x:v>Electronics</x:v>
      </x:c>
      <x:c r="D112" s="14" t="str">
        <x:v>Controllers</x:v>
      </x:c>
      <x:c r="E112" s="14" t="str">
        <x:v>SUP-007</x:v>
      </x:c>
      <x:c r="F112" s="40" t="n">
        <x:v>120.79</x:v>
      </x:c>
      <x:c r="G112" s="40" t="n">
        <x:v>155.49</x:v>
      </x:c>
      <x:c r="H112" s="14" t="str">
        <x:v>C</x:v>
      </x:c>
      <x:c r="I112" s="14" t="n">
        <x:v>100</x:v>
      </x:c>
      <x:c r="J112" s="14" t="n">
        <x:v>1</x:v>
      </x:c>
      <x:c r="K112" s="14" t="n">
        <x:v>12</x:v>
      </x:c>
      <x:c r="L112" s="14" t="n">
        <x:v>45</x:v>
      </x:c>
      <x:c r="M112" s="14" t="str">
        <x:v>Yes</x:v>
      </x:c>
    </x:row>
    <x:row r="113">
      <x:c r="A113" s="14" t="str">
        <x:v>SKU-0112</x:v>
      </x:c>
      <x:c r="B113" s="14" t="str">
        <x:v>Cables Item 112</x:v>
      </x:c>
      <x:c r="C113" s="14" t="str">
        <x:v>Electronics</x:v>
      </x:c>
      <x:c r="D113" s="14" t="str">
        <x:v>Cables</x:v>
      </x:c>
      <x:c r="E113" s="14" t="str">
        <x:v>SUP-005</x:v>
      </x:c>
      <x:c r="F113" s="40" t="n">
        <x:v>175.75</x:v>
      </x:c>
      <x:c r="G113" s="40" t="n">
        <x:v>299.99</x:v>
      </x:c>
      <x:c r="H113" s="14" t="str">
        <x:v>C</x:v>
      </x:c>
      <x:c r="I113" s="14" t="n">
        <x:v>100</x:v>
      </x:c>
      <x:c r="J113" s="14" t="n">
        <x:v>25</x:v>
      </x:c>
      <x:c r="K113" s="14" t="n">
        <x:v>40</x:v>
      </x:c>
      <x:c r="L113" s="14" t="n">
        <x:v>45</x:v>
      </x:c>
      <x:c r="M113" s="14" t="str">
        <x:v>Yes</x:v>
      </x:c>
    </x:row>
    <x:row r="114">
      <x:c r="A114" s="14" t="str">
        <x:v>SKU-0113</x:v>
      </x:c>
      <x:c r="B114" s="14" t="str">
        <x:v>PPE Item 113</x:v>
      </x:c>
      <x:c r="C114" s="14" t="str">
        <x:v>Safety</x:v>
      </x:c>
      <x:c r="D114" s="14" t="str">
        <x:v>PPE</x:v>
      </x:c>
      <x:c r="E114" s="14" t="str">
        <x:v>SUP-002</x:v>
      </x:c>
      <x:c r="F114" s="40" t="n">
        <x:v>222.58</x:v>
      </x:c>
      <x:c r="G114" s="40" t="n">
        <x:v>287.48</x:v>
      </x:c>
      <x:c r="H114" s="14" t="str">
        <x:v>C</x:v>
      </x:c>
      <x:c r="I114" s="14" t="n">
        <x:v>200</x:v>
      </x:c>
      <x:c r="J114" s="14" t="n">
        <x:v>50</x:v>
      </x:c>
      <x:c r="K114" s="14" t="n">
        <x:v>20</x:v>
      </x:c>
      <x:c r="L114" s="14" t="n">
        <x:v>45</x:v>
      </x:c>
      <x:c r="M114" s="14" t="str">
        <x:v>Yes</x:v>
      </x:c>
    </x:row>
    <x:row r="115">
      <x:c r="A115" s="14" t="str">
        <x:v>SKU-0114</x:v>
      </x:c>
      <x:c r="B115" s="14" t="str">
        <x:v>Tape Item 114</x:v>
      </x:c>
      <x:c r="C115" s="14" t="str">
        <x:v>Packaging</x:v>
      </x:c>
      <x:c r="D115" s="14" t="str">
        <x:v>Tape</x:v>
      </x:c>
      <x:c r="E115" s="14" t="str">
        <x:v>SUP-006</x:v>
      </x:c>
      <x:c r="F115" s="40" t="n">
        <x:v>232.11</x:v>
      </x:c>
      <x:c r="G115" s="40" t="n">
        <x:v>351.41</x:v>
      </x:c>
      <x:c r="H115" s="14" t="str">
        <x:v>C</x:v>
      </x:c>
      <x:c r="I115" s="14" t="n">
        <x:v>50</x:v>
      </x:c>
      <x:c r="J115" s="14" t="n">
        <x:v>20</x:v>
      </x:c>
      <x:c r="K115" s="14" t="n">
        <x:v>27</x:v>
      </x:c>
      <x:c r="L115" s="14" t="n">
        <x:v>60</x:v>
      </x:c>
      <x:c r="M115" s="14" t="str">
        <x:v>Yes</x:v>
      </x:c>
    </x:row>
    <x:row r="116">
      <x:c r="A116" s="14" t="str">
        <x:v>SKU-0115</x:v>
      </x:c>
      <x:c r="B116" s="14" t="str">
        <x:v>Tape Item 115</x:v>
      </x:c>
      <x:c r="C116" s="14" t="str">
        <x:v>Packaging</x:v>
      </x:c>
      <x:c r="D116" s="14" t="str">
        <x:v>Tape</x:v>
      </x:c>
      <x:c r="E116" s="14" t="str">
        <x:v>SUP-002</x:v>
      </x:c>
      <x:c r="F116" s="40" t="n">
        <x:v>27.81</x:v>
      </x:c>
      <x:c r="G116" s="40" t="n">
        <x:v>35.39</x:v>
      </x:c>
      <x:c r="H116" s="14" t="str">
        <x:v>B</x:v>
      </x:c>
      <x:c r="I116" s="14" t="n">
        <x:v>500</x:v>
      </x:c>
      <x:c r="J116" s="14" t="n">
        <x:v>50</x:v>
      </x:c>
      <x:c r="K116" s="14" t="n">
        <x:v>30</x:v>
      </x:c>
      <x:c r="L116" s="14" t="n">
        <x:v>30</x:v>
      </x:c>
      <x:c r="M116" s="14" t="str">
        <x:v>Yes</x:v>
      </x:c>
    </x:row>
    <x:row r="117">
      <x:c r="A117" s="14" t="str">
        <x:v>SKU-0116</x:v>
      </x:c>
      <x:c r="B117" s="14" t="str">
        <x:v>First Aid Item 116</x:v>
      </x:c>
      <x:c r="C117" s="14" t="str">
        <x:v>Safety</x:v>
      </x:c>
      <x:c r="D117" s="14" t="str">
        <x:v>First Aid</x:v>
      </x:c>
      <x:c r="E117" s="14" t="str">
        <x:v>SUP-011</x:v>
      </x:c>
      <x:c r="F117" s="40" t="n">
        <x:v>36.42</x:v>
      </x:c>
      <x:c r="G117" s="40" t="n">
        <x:v>53.67</x:v>
      </x:c>
      <x:c r="H117" s="14" t="str">
        <x:v>C</x:v>
      </x:c>
      <x:c r="I117" s="14" t="n">
        <x:v>100</x:v>
      </x:c>
      <x:c r="J117" s="14" t="n">
        <x:v>50</x:v>
      </x:c>
      <x:c r="K117" s="14" t="n">
        <x:v>10</x:v>
      </x:c>
      <x:c r="L117" s="14" t="n">
        <x:v>45</x:v>
      </x:c>
      <x:c r="M117" s="14" t="str">
        <x:v>Yes</x:v>
      </x:c>
    </x:row>
    <x:row r="118">
      <x:c r="A118" s="14" t="str">
        <x:v>SKU-0117</x:v>
      </x:c>
      <x:c r="B118" s="14" t="str">
        <x:v>Fasteners Item 117</x:v>
      </x:c>
      <x:c r="C118" s="14" t="str">
        <x:v>Mechanical</x:v>
      </x:c>
      <x:c r="D118" s="14" t="str">
        <x:v>Fasteners</x:v>
      </x:c>
      <x:c r="E118" s="14" t="str">
        <x:v>SUP-010</x:v>
      </x:c>
      <x:c r="F118" s="40" t="n">
        <x:v>143.31</x:v>
      </x:c>
      <x:c r="G118" s="40" t="n">
        <x:v>189.04</x:v>
      </x:c>
      <x:c r="H118" s="14" t="str">
        <x:v>B</x:v>
      </x:c>
      <x:c r="I118" s="14" t="n">
        <x:v>10</x:v>
      </x:c>
      <x:c r="J118" s="14" t="n">
        <x:v>10</x:v>
      </x:c>
      <x:c r="K118" s="14" t="n">
        <x:v>42</x:v>
      </x:c>
      <x:c r="L118" s="14" t="n">
        <x:v>45</x:v>
      </x:c>
      <x:c r="M118" s="14" t="str">
        <x:v>Yes</x:v>
      </x:c>
    </x:row>
    <x:row r="119">
      <x:c r="A119" s="14" t="str">
        <x:v>SKU-0118</x:v>
      </x:c>
      <x:c r="B119" s="14" t="str">
        <x:v>Bearings Item 118</x:v>
      </x:c>
      <x:c r="C119" s="14" t="str">
        <x:v>Mechanical</x:v>
      </x:c>
      <x:c r="D119" s="14" t="str">
        <x:v>Bearings</x:v>
      </x:c>
      <x:c r="E119" s="14" t="str">
        <x:v>SUP-007</x:v>
      </x:c>
      <x:c r="F119" s="40" t="n">
        <x:v>237.03</x:v>
      </x:c>
      <x:c r="G119" s="40" t="n">
        <x:v>551</x:v>
      </x:c>
      <x:c r="H119" s="14" t="str">
        <x:v>C</x:v>
      </x:c>
      <x:c r="I119" s="14" t="n">
        <x:v>200</x:v>
      </x:c>
      <x:c r="J119" s="14" t="n">
        <x:v>50</x:v>
      </x:c>
      <x:c r="K119" s="14" t="n">
        <x:v>48</x:v>
      </x:c>
      <x:c r="L119" s="14" t="n">
        <x:v>60</x:v>
      </x:c>
      <x:c r="M119" s="14" t="str">
        <x:v>No</x:v>
      </x:c>
    </x:row>
    <x:row r="120">
      <x:c r="A120" s="14" t="str">
        <x:v>SKU-0119</x:v>
      </x:c>
      <x:c r="B120" s="14" t="str">
        <x:v>Cleaning Item 119</x:v>
      </x:c>
      <x:c r="C120" s="14" t="str">
        <x:v>Maintenance</x:v>
      </x:c>
      <x:c r="D120" s="14" t="str">
        <x:v>Cleaning</x:v>
      </x:c>
      <x:c r="E120" s="14" t="str">
        <x:v>SUP-001</x:v>
      </x:c>
      <x:c r="F120" s="40" t="n">
        <x:v>52.57</x:v>
      </x:c>
      <x:c r="G120" s="40" t="n">
        <x:v>97.55</x:v>
      </x:c>
      <x:c r="H120" s="14" t="str">
        <x:v>B</x:v>
      </x:c>
      <x:c r="I120" s="14" t="n">
        <x:v>50</x:v>
      </x:c>
      <x:c r="J120" s="14" t="n">
        <x:v>10</x:v>
      </x:c>
      <x:c r="K120" s="14" t="n">
        <x:v>7</x:v>
      </x:c>
      <x:c r="L120" s="14" t="n">
        <x:v>30</x:v>
      </x:c>
      <x:c r="M120" s="14" t="str">
        <x:v>Yes</x:v>
      </x:c>
    </x:row>
    <x:row r="121">
      <x:c r="A121" s="14" t="str">
        <x:v>SKU-0120</x:v>
      </x:c>
      <x:c r="B121" s="14" t="str">
        <x:v>PPE Item 120</x:v>
      </x:c>
      <x:c r="C121" s="14" t="str">
        <x:v>Safety</x:v>
      </x:c>
      <x:c r="D121" s="14" t="str">
        <x:v>PPE</x:v>
      </x:c>
      <x:c r="E121" s="14" t="str">
        <x:v>SUP-002</x:v>
      </x:c>
      <x:c r="F121" s="40" t="n">
        <x:v>41.87</x:v>
      </x:c>
      <x:c r="G121" s="40" t="n">
        <x:v>73.88</x:v>
      </x:c>
      <x:c r="H121" s="14" t="str">
        <x:v>A</x:v>
      </x:c>
      <x:c r="I121" s="14" t="n">
        <x:v>500</x:v>
      </x:c>
      <x:c r="J121" s="14" t="n">
        <x:v>25</x:v>
      </x:c>
      <x:c r="K121" s="14" t="n">
        <x:v>20</x:v>
      </x:c>
      <x:c r="L121" s="14" t="n">
        <x:v>45</x:v>
      </x:c>
      <x:c r="M121" s="14" t="str">
        <x:v>Yes</x:v>
      </x:c>
    </x:row>
    <x:row r="122">
      <x:c r="A122" s="14" t="str">
        <x:v>SKU-0121</x:v>
      </x:c>
      <x:c r="B122" s="14" t="str">
        <x:v>Bearings Item 121</x:v>
      </x:c>
      <x:c r="C122" s="14" t="str">
        <x:v>Mechanical</x:v>
      </x:c>
      <x:c r="D122" s="14" t="str">
        <x:v>Bearings</x:v>
      </x:c>
      <x:c r="E122" s="14" t="str">
        <x:v>SUP-006</x:v>
      </x:c>
      <x:c r="F122" s="40" t="n">
        <x:v>88.98</x:v>
      </x:c>
      <x:c r="G122" s="40" t="n">
        <x:v>128.91</x:v>
      </x:c>
      <x:c r="H122" s="14" t="str">
        <x:v>C</x:v>
      </x:c>
      <x:c r="I122" s="14" t="n">
        <x:v>200</x:v>
      </x:c>
      <x:c r="J122" s="14" t="n">
        <x:v>1</x:v>
      </x:c>
      <x:c r="K122" s="14" t="n">
        <x:v>10</x:v>
      </x:c>
      <x:c r="L122" s="14" t="n">
        <x:v>30</x:v>
      </x:c>
      <x:c r="M122" s="14" t="str">
        <x:v>Yes</x:v>
      </x:c>
    </x:row>
    <x:row r="123">
      <x:c r="A123" s="14" t="str">
        <x:v>SKU-0122</x:v>
      </x:c>
      <x:c r="B123" s="14" t="str">
        <x:v>Gloves Item 122</x:v>
      </x:c>
      <x:c r="C123" s="14" t="str">
        <x:v>Safety</x:v>
      </x:c>
      <x:c r="D123" s="14" t="str">
        <x:v>Gloves</x:v>
      </x:c>
      <x:c r="E123" s="14" t="str">
        <x:v>SUP-011</x:v>
      </x:c>
      <x:c r="F123" s="40" t="n">
        <x:v>25.14</x:v>
      </x:c>
      <x:c r="G123" s="40" t="n">
        <x:v>39.11</x:v>
      </x:c>
      <x:c r="H123" s="14" t="str">
        <x:v>B</x:v>
      </x:c>
      <x:c r="I123" s="14" t="n">
        <x:v>200</x:v>
      </x:c>
      <x:c r="J123" s="14" t="n">
        <x:v>20</x:v>
      </x:c>
      <x:c r="K123" s="14" t="n">
        <x:v>33</x:v>
      </x:c>
      <x:c r="L123" s="14" t="n">
        <x:v>45</x:v>
      </x:c>
      <x:c r="M123" s="14" t="str">
        <x:v>Yes</x:v>
      </x:c>
    </x:row>
    <x:row r="124">
      <x:c r="A124" s="14" t="str">
        <x:v>SKU-0123</x:v>
      </x:c>
      <x:c r="B124" s="14" t="str">
        <x:v>Gloves Item 123</x:v>
      </x:c>
      <x:c r="C124" s="14" t="str">
        <x:v>Safety</x:v>
      </x:c>
      <x:c r="D124" s="14" t="str">
        <x:v>Gloves</x:v>
      </x:c>
      <x:c r="E124" s="14" t="str">
        <x:v>SUP-006</x:v>
      </x:c>
      <x:c r="F124" s="40" t="n">
        <x:v>121.8</x:v>
      </x:c>
      <x:c r="G124" s="40" t="n">
        <x:v>172.35</x:v>
      </x:c>
      <x:c r="H124" s="14" t="str">
        <x:v>C</x:v>
      </x:c>
      <x:c r="I124" s="14" t="n">
        <x:v>100</x:v>
      </x:c>
      <x:c r="J124" s="14" t="n">
        <x:v>25</x:v>
      </x:c>
      <x:c r="K124" s="14" t="n">
        <x:v>49</x:v>
      </x:c>
      <x:c r="L124" s="14" t="n">
        <x:v>45</x:v>
      </x:c>
      <x:c r="M124" s="14" t="str">
        <x:v>Yes</x:v>
      </x:c>
    </x:row>
    <x:row r="125">
      <x:c r="A125" s="14" t="str">
        <x:v>SKU-0124</x:v>
      </x:c>
      <x:c r="B125" s="14" t="str">
        <x:v>Paper Item 124</x:v>
      </x:c>
      <x:c r="C125" s="14" t="str">
        <x:v>Office</x:v>
      </x:c>
      <x:c r="D125" s="14" t="str">
        <x:v>Paper</x:v>
      </x:c>
      <x:c r="E125" s="14" t="str">
        <x:v>SUP-001</x:v>
      </x:c>
      <x:c r="F125" s="40" t="n">
        <x:v>59.23</x:v>
      </x:c>
      <x:c r="G125" s="40" t="n">
        <x:v>134.04</x:v>
      </x:c>
      <x:c r="H125" s="14" t="str">
        <x:v>C</x:v>
      </x:c>
      <x:c r="I125" s="14" t="n">
        <x:v>50</x:v>
      </x:c>
      <x:c r="J125" s="14" t="n">
        <x:v>10</x:v>
      </x:c>
      <x:c r="K125" s="14" t="n">
        <x:v>27</x:v>
      </x:c>
      <x:c r="L125" s="14" t="n">
        <x:v>30</x:v>
      </x:c>
      <x:c r="M125" s="14" t="str">
        <x:v>No</x:v>
      </x:c>
    </x:row>
    <x:row r="126">
      <x:c r="A126" s="14" t="str">
        <x:v>SKU-0125</x:v>
      </x:c>
      <x:c r="B126" s="14" t="str">
        <x:v>Tools Item 125</x:v>
      </x:c>
      <x:c r="C126" s="14" t="str">
        <x:v>Maintenance</x:v>
      </x:c>
      <x:c r="D126" s="14" t="str">
        <x:v>Tools</x:v>
      </x:c>
      <x:c r="E126" s="14" t="str">
        <x:v>SUP-003</x:v>
      </x:c>
      <x:c r="F126" s="40" t="n">
        <x:v>38.35</x:v>
      </x:c>
      <x:c r="G126" s="40" t="n">
        <x:v>63.18</x:v>
      </x:c>
      <x:c r="H126" s="14" t="str">
        <x:v>B</x:v>
      </x:c>
      <x:c r="I126" s="14" t="n">
        <x:v>200</x:v>
      </x:c>
      <x:c r="J126" s="14" t="n">
        <x:v>50</x:v>
      </x:c>
      <x:c r="K126" s="14" t="n">
        <x:v>58</x:v>
      </x:c>
      <x:c r="L126" s="14" t="n">
        <x:v>45</x:v>
      </x:c>
      <x:c r="M126" s="14" t="str">
        <x:v>Yes</x:v>
      </x:c>
    </x:row>
    <x:row r="127">
      <x:c r="A127" s="14" t="str">
        <x:v>SKU-0126</x:v>
      </x:c>
      <x:c r="B127" s="14" t="str">
        <x:v>Lubricants Item 126</x:v>
      </x:c>
      <x:c r="C127" s="14" t="str">
        <x:v>Maintenance</x:v>
      </x:c>
      <x:c r="D127" s="14" t="str">
        <x:v>Lubricants</x:v>
      </x:c>
      <x:c r="E127" s="14" t="str">
        <x:v>SUP-007</x:v>
      </x:c>
      <x:c r="F127" s="40" t="n">
        <x:v>7.7</x:v>
      </x:c>
      <x:c r="G127" s="40" t="n">
        <x:v>17.05</x:v>
      </x:c>
      <x:c r="H127" s="14" t="str">
        <x:v>C</x:v>
      </x:c>
      <x:c r="I127" s="14" t="n">
        <x:v>200</x:v>
      </x:c>
      <x:c r="J127" s="14" t="n">
        <x:v>20</x:v>
      </x:c>
      <x:c r="K127" s="14" t="n">
        <x:v>43</x:v>
      </x:c>
      <x:c r="L127" s="14" t="n">
        <x:v>45</x:v>
      </x:c>
      <x:c r="M127" s="14" t="str">
        <x:v>Yes</x:v>
      </x:c>
    </x:row>
    <x:row r="128">
      <x:c r="A128" s="14" t="str">
        <x:v>SKU-0127</x:v>
      </x:c>
      <x:c r="B128" s="14" t="str">
        <x:v>Accessories Item 127</x:v>
      </x:c>
      <x:c r="C128" s="14" t="str">
        <x:v>Office</x:v>
      </x:c>
      <x:c r="D128" s="14" t="str">
        <x:v>Accessories</x:v>
      </x:c>
      <x:c r="E128" s="14" t="str">
        <x:v>SUP-002</x:v>
      </x:c>
      <x:c r="F128" s="40" t="n">
        <x:v>114.9</x:v>
      </x:c>
      <x:c r="G128" s="40" t="n">
        <x:v>265.04</x:v>
      </x:c>
      <x:c r="H128" s="14" t="str">
        <x:v>A</x:v>
      </x:c>
      <x:c r="I128" s="14" t="n">
        <x:v>200</x:v>
      </x:c>
      <x:c r="J128" s="14" t="n">
        <x:v>20</x:v>
      </x:c>
      <x:c r="K128" s="14" t="n">
        <x:v>60</x:v>
      </x:c>
      <x:c r="L128" s="14" t="n">
        <x:v>60</x:v>
      </x:c>
      <x:c r="M128" s="14" t="str">
        <x:v>Yes</x:v>
      </x:c>
    </x:row>
    <x:row r="129">
      <x:c r="A129" s="14" t="str">
        <x:v>SKU-0128</x:v>
      </x:c>
      <x:c r="B129" s="14" t="str">
        <x:v>Controllers Item 128</x:v>
      </x:c>
      <x:c r="C129" s="14" t="str">
        <x:v>Electronics</x:v>
      </x:c>
      <x:c r="D129" s="14" t="str">
        <x:v>Controllers</x:v>
      </x:c>
      <x:c r="E129" s="14" t="str">
        <x:v>SUP-002</x:v>
      </x:c>
      <x:c r="F129" s="40" t="n">
        <x:v>70.02</x:v>
      </x:c>
      <x:c r="G129" s="40" t="n">
        <x:v>119.8</x:v>
      </x:c>
      <x:c r="H129" s="14" t="str">
        <x:v>B</x:v>
      </x:c>
      <x:c r="I129" s="14" t="n">
        <x:v>100</x:v>
      </x:c>
      <x:c r="J129" s="14" t="n">
        <x:v>10</x:v>
      </x:c>
      <x:c r="K129" s="14" t="n">
        <x:v>54</x:v>
      </x:c>
      <x:c r="L129" s="14" t="n">
        <x:v>45</x:v>
      </x:c>
      <x:c r="M129" s="14" t="str">
        <x:v>Yes</x:v>
      </x:c>
    </x:row>
    <x:row r="130">
      <x:c r="A130" s="14" t="str">
        <x:v>SKU-0129</x:v>
      </x:c>
      <x:c r="B130" s="14" t="str">
        <x:v>Cartons Item 129</x:v>
      </x:c>
      <x:c r="C130" s="14" t="str">
        <x:v>Packaging</x:v>
      </x:c>
      <x:c r="D130" s="14" t="str">
        <x:v>Cartons</x:v>
      </x:c>
      <x:c r="E130" s="14" t="str">
        <x:v>SUP-009</x:v>
      </x:c>
      <x:c r="F130" s="40" t="n">
        <x:v>178.22</x:v>
      </x:c>
      <x:c r="G130" s="40" t="n">
        <x:v>293.24</x:v>
      </x:c>
      <x:c r="H130" s="14" t="str">
        <x:v>A</x:v>
      </x:c>
      <x:c r="I130" s="14" t="n">
        <x:v>50</x:v>
      </x:c>
      <x:c r="J130" s="14" t="n">
        <x:v>10</x:v>
      </x:c>
      <x:c r="K130" s="14" t="n">
        <x:v>53</x:v>
      </x:c>
      <x:c r="L130" s="14" t="n">
        <x:v>60</x:v>
      </x:c>
      <x:c r="M130" s="14" t="str">
        <x:v>Yes</x:v>
      </x:c>
    </x:row>
    <x:row r="131">
      <x:c r="A131" s="14" t="str">
        <x:v>SKU-0130</x:v>
      </x:c>
      <x:c r="B131" s="14" t="str">
        <x:v>Cartons Item 130</x:v>
      </x:c>
      <x:c r="C131" s="14" t="str">
        <x:v>Packaging</x:v>
      </x:c>
      <x:c r="D131" s="14" t="str">
        <x:v>Cartons</x:v>
      </x:c>
      <x:c r="E131" s="14" t="str">
        <x:v>SUP-003</x:v>
      </x:c>
      <x:c r="F131" s="40" t="n">
        <x:v>73.53</x:v>
      </x:c>
      <x:c r="G131" s="40" t="n">
        <x:v>97.96</x:v>
      </x:c>
      <x:c r="H131" s="14" t="str">
        <x:v>A</x:v>
      </x:c>
      <x:c r="I131" s="14" t="n">
        <x:v>500</x:v>
      </x:c>
      <x:c r="J131" s="14" t="n">
        <x:v>1</x:v>
      </x:c>
      <x:c r="K131" s="14" t="n">
        <x:v>18</x:v>
      </x:c>
      <x:c r="L131" s="14" t="n">
        <x:v>60</x:v>
      </x:c>
      <x:c r="M131" s="14" t="str">
        <x:v>Yes</x:v>
      </x:c>
    </x:row>
    <x:row r="132">
      <x:c r="A132" s="14" t="str">
        <x:v>SKU-0131</x:v>
      </x:c>
      <x:c r="B132" s="14" t="str">
        <x:v>PPE Item 131</x:v>
      </x:c>
      <x:c r="C132" s="14" t="str">
        <x:v>Safety</x:v>
      </x:c>
      <x:c r="D132" s="14" t="str">
        <x:v>PPE</x:v>
      </x:c>
      <x:c r="E132" s="14" t="str">
        <x:v>SUP-011</x:v>
      </x:c>
      <x:c r="F132" s="40" t="n">
        <x:v>258.95</x:v>
      </x:c>
      <x:c r="G132" s="40" t="n">
        <x:v>435.79</x:v>
      </x:c>
      <x:c r="H132" s="14" t="str">
        <x:v>C</x:v>
      </x:c>
      <x:c r="I132" s="14" t="n">
        <x:v>200</x:v>
      </x:c>
      <x:c r="J132" s="14" t="n">
        <x:v>10</x:v>
      </x:c>
      <x:c r="K132" s="14" t="n">
        <x:v>47</x:v>
      </x:c>
      <x:c r="L132" s="14" t="n">
        <x:v>45</x:v>
      </x:c>
      <x:c r="M132" s="14" t="str">
        <x:v>Yes</x:v>
      </x:c>
    </x:row>
    <x:row r="133">
      <x:c r="A133" s="14" t="str">
        <x:v>SKU-0132</x:v>
      </x:c>
      <x:c r="B133" s="14" t="str">
        <x:v>Controllers Item 132</x:v>
      </x:c>
      <x:c r="C133" s="14" t="str">
        <x:v>Electronics</x:v>
      </x:c>
      <x:c r="D133" s="14" t="str">
        <x:v>Controllers</x:v>
      </x:c>
      <x:c r="E133" s="14" t="str">
        <x:v>SUP-008</x:v>
      </x:c>
      <x:c r="F133" s="40" t="n">
        <x:v>177.71</x:v>
      </x:c>
      <x:c r="G133" s="40" t="n">
        <x:v>354.38</x:v>
      </x:c>
      <x:c r="H133" s="14" t="str">
        <x:v>C</x:v>
      </x:c>
      <x:c r="I133" s="14" t="n">
        <x:v>50</x:v>
      </x:c>
      <x:c r="J133" s="14" t="n">
        <x:v>25</x:v>
      </x:c>
      <x:c r="K133" s="14" t="n">
        <x:v>11</x:v>
      </x:c>
      <x:c r="L133" s="14" t="n">
        <x:v>45</x:v>
      </x:c>
      <x:c r="M133" s="14" t="str">
        <x:v>Yes</x:v>
      </x:c>
    </x:row>
    <x:row r="134">
      <x:c r="A134" s="14" t="str">
        <x:v>SKU-0133</x:v>
      </x:c>
      <x:c r="B134" s="14" t="str">
        <x:v>Sensors Item 133</x:v>
      </x:c>
      <x:c r="C134" s="14" t="str">
        <x:v>Electronics</x:v>
      </x:c>
      <x:c r="D134" s="14" t="str">
        <x:v>Sensors</x:v>
      </x:c>
      <x:c r="E134" s="14" t="str">
        <x:v>SUP-006</x:v>
      </x:c>
      <x:c r="F134" s="40" t="n">
        <x:v>233.3</x:v>
      </x:c>
      <x:c r="G134" s="40" t="n">
        <x:v>295.58</x:v>
      </x:c>
      <x:c r="H134" s="14" t="str">
        <x:v>C</x:v>
      </x:c>
      <x:c r="I134" s="14" t="n">
        <x:v>10</x:v>
      </x:c>
      <x:c r="J134" s="14" t="n">
        <x:v>25</x:v>
      </x:c>
      <x:c r="K134" s="14" t="n">
        <x:v>45</x:v>
      </x:c>
      <x:c r="L134" s="14" t="n">
        <x:v>60</x:v>
      </x:c>
      <x:c r="M134" s="14" t="str">
        <x:v>Yes</x:v>
      </x:c>
    </x:row>
    <x:row r="135">
      <x:c r="A135" s="14" t="str">
        <x:v>SKU-0134</x:v>
      </x:c>
      <x:c r="B135" s="14" t="str">
        <x:v>Gloves Item 134</x:v>
      </x:c>
      <x:c r="C135" s="14" t="str">
        <x:v>Safety</x:v>
      </x:c>
      <x:c r="D135" s="14" t="str">
        <x:v>Gloves</x:v>
      </x:c>
      <x:c r="E135" s="14" t="str">
        <x:v>SUP-008</x:v>
      </x:c>
      <x:c r="F135" s="40" t="n">
        <x:v>254.76</x:v>
      </x:c>
      <x:c r="G135" s="40" t="n">
        <x:v>430.82</x:v>
      </x:c>
      <x:c r="H135" s="14" t="str">
        <x:v>A</x:v>
      </x:c>
      <x:c r="I135" s="14" t="n">
        <x:v>200</x:v>
      </x:c>
      <x:c r="J135" s="14" t="n">
        <x:v>20</x:v>
      </x:c>
      <x:c r="K135" s="14" t="n">
        <x:v>39</x:v>
      </x:c>
      <x:c r="L135" s="14" t="n">
        <x:v>30</x:v>
      </x:c>
      <x:c r="M135" s="14" t="str">
        <x:v>Yes</x:v>
      </x:c>
    </x:row>
    <x:row r="136">
      <x:c r="A136" s="14" t="str">
        <x:v>SKU-0135</x:v>
      </x:c>
      <x:c r="B136" s="14" t="str">
        <x:v>Paper Item 135</x:v>
      </x:c>
      <x:c r="C136" s="14" t="str">
        <x:v>Office</x:v>
      </x:c>
      <x:c r="D136" s="14" t="str">
        <x:v>Paper</x:v>
      </x:c>
      <x:c r="E136" s="14" t="str">
        <x:v>SUP-006</x:v>
      </x:c>
      <x:c r="F136" s="40" t="n">
        <x:v>275.11</x:v>
      </x:c>
      <x:c r="G136" s="40" t="n">
        <x:v>349.89</x:v>
      </x:c>
      <x:c r="H136" s="14" t="str">
        <x:v>C</x:v>
      </x:c>
      <x:c r="I136" s="14" t="n">
        <x:v>10</x:v>
      </x:c>
      <x:c r="J136" s="14" t="n">
        <x:v>5</x:v>
      </x:c>
      <x:c r="K136" s="14" t="n">
        <x:v>52</x:v>
      </x:c>
      <x:c r="L136" s="14" t="n">
        <x:v>45</x:v>
      </x:c>
      <x:c r="M136" s="14" t="str">
        <x:v>Yes</x:v>
      </x:c>
    </x:row>
    <x:row r="137">
      <x:c r="A137" s="14" t="str">
        <x:v>SKU-0136</x:v>
      </x:c>
      <x:c r="B137" s="14" t="str">
        <x:v>Eyewear Item 136</x:v>
      </x:c>
      <x:c r="C137" s="14" t="str">
        <x:v>Safety</x:v>
      </x:c>
      <x:c r="D137" s="14" t="str">
        <x:v>Eyewear</x:v>
      </x:c>
      <x:c r="E137" s="14" t="str">
        <x:v>SUP-006</x:v>
      </x:c>
      <x:c r="F137" s="40" t="n">
        <x:v>105.97</x:v>
      </x:c>
      <x:c r="G137" s="40" t="n">
        <x:v>149.92</x:v>
      </x:c>
      <x:c r="H137" s="14" t="str">
        <x:v>B</x:v>
      </x:c>
      <x:c r="I137" s="14" t="n">
        <x:v>50</x:v>
      </x:c>
      <x:c r="J137" s="14" t="n">
        <x:v>50</x:v>
      </x:c>
      <x:c r="K137" s="14" t="n">
        <x:v>45</x:v>
      </x:c>
      <x:c r="L137" s="14" t="n">
        <x:v>30</x:v>
      </x:c>
      <x:c r="M137" s="14" t="str">
        <x:v>Yes</x:v>
      </x:c>
    </x:row>
    <x:row r="138">
      <x:c r="A138" s="14" t="str">
        <x:v>SKU-0137</x:v>
      </x:c>
      <x:c r="B138" s="14" t="str">
        <x:v>Cleaning Item 137</x:v>
      </x:c>
      <x:c r="C138" s="14" t="str">
        <x:v>Maintenance</x:v>
      </x:c>
      <x:c r="D138" s="14" t="str">
        <x:v>Cleaning</x:v>
      </x:c>
      <x:c r="E138" s="14" t="str">
        <x:v>SUP-002</x:v>
      </x:c>
      <x:c r="F138" s="40" t="n">
        <x:v>93.99</x:v>
      </x:c>
      <x:c r="G138" s="40" t="n">
        <x:v>157.49</x:v>
      </x:c>
      <x:c r="H138" s="14" t="str">
        <x:v>B</x:v>
      </x:c>
      <x:c r="I138" s="14" t="n">
        <x:v>50</x:v>
      </x:c>
      <x:c r="J138" s="14" t="n">
        <x:v>50</x:v>
      </x:c>
      <x:c r="K138" s="14" t="n">
        <x:v>49</x:v>
      </x:c>
      <x:c r="L138" s="14" t="n">
        <x:v>60</x:v>
      </x:c>
      <x:c r="M138" s="14" t="str">
        <x:v>Yes</x:v>
      </x:c>
    </x:row>
    <x:row r="139">
      <x:c r="A139" s="14" t="str">
        <x:v>SKU-0138</x:v>
      </x:c>
      <x:c r="B139" s="14" t="str">
        <x:v>Fasteners Item 138</x:v>
      </x:c>
      <x:c r="C139" s="14" t="str">
        <x:v>Mechanical</x:v>
      </x:c>
      <x:c r="D139" s="14" t="str">
        <x:v>Fasteners</x:v>
      </x:c>
      <x:c r="E139" s="14" t="str">
        <x:v>SUP-010</x:v>
      </x:c>
      <x:c r="F139" s="40" t="n">
        <x:v>186.65</x:v>
      </x:c>
      <x:c r="G139" s="40" t="n">
        <x:v>411.76</x:v>
      </x:c>
      <x:c r="H139" s="14" t="str">
        <x:v>B</x:v>
      </x:c>
      <x:c r="I139" s="14" t="n">
        <x:v>500</x:v>
      </x:c>
      <x:c r="J139" s="14" t="n">
        <x:v>50</x:v>
      </x:c>
      <x:c r="K139" s="14" t="n">
        <x:v>49</x:v>
      </x:c>
      <x:c r="L139" s="14" t="n">
        <x:v>45</x:v>
      </x:c>
      <x:c r="M139" s="14" t="str">
        <x:v>Yes</x:v>
      </x:c>
    </x:row>
    <x:row r="140">
      <x:c r="A140" s="14" t="str">
        <x:v>SKU-0139</x:v>
      </x:c>
      <x:c r="B140" s="14" t="str">
        <x:v>Lubricants Item 139</x:v>
      </x:c>
      <x:c r="C140" s="14" t="str">
        <x:v>Maintenance</x:v>
      </x:c>
      <x:c r="D140" s="14" t="str">
        <x:v>Lubricants</x:v>
      </x:c>
      <x:c r="E140" s="14" t="str">
        <x:v>SUP-005</x:v>
      </x:c>
      <x:c r="F140" s="40" t="n">
        <x:v>157.6</x:v>
      </x:c>
      <x:c r="G140" s="40" t="n">
        <x:v>280.13</x:v>
      </x:c>
      <x:c r="H140" s="14" t="str">
        <x:v>B</x:v>
      </x:c>
      <x:c r="I140" s="14" t="n">
        <x:v>25</x:v>
      </x:c>
      <x:c r="J140" s="14" t="n">
        <x:v>50</x:v>
      </x:c>
      <x:c r="K140" s="14" t="n">
        <x:v>51</x:v>
      </x:c>
      <x:c r="L140" s="14" t="n">
        <x:v>60</x:v>
      </x:c>
      <x:c r="M140" s="14" t="str">
        <x:v>Yes</x:v>
      </x:c>
    </x:row>
    <x:row r="141">
      <x:c r="A141" s="14" t="str">
        <x:v>SKU-0140</x:v>
      </x:c>
      <x:c r="B141" s="14" t="str">
        <x:v>Gloves Item 140</x:v>
      </x:c>
      <x:c r="C141" s="14" t="str">
        <x:v>Safety</x:v>
      </x:c>
      <x:c r="D141" s="14" t="str">
        <x:v>Gloves</x:v>
      </x:c>
      <x:c r="E141" s="14" t="str">
        <x:v>SUP-011</x:v>
      </x:c>
      <x:c r="F141" s="40" t="n">
        <x:v>188.55</x:v>
      </x:c>
      <x:c r="G141" s="40" t="n">
        <x:v>305.79</x:v>
      </x:c>
      <x:c r="H141" s="14" t="str">
        <x:v>A</x:v>
      </x:c>
      <x:c r="I141" s="14" t="n">
        <x:v>50</x:v>
      </x:c>
      <x:c r="J141" s="14" t="n">
        <x:v>5</x:v>
      </x:c>
      <x:c r="K141" s="14" t="n">
        <x:v>20</x:v>
      </x:c>
      <x:c r="L141" s="14" t="n">
        <x:v>45</x:v>
      </x:c>
      <x:c r="M141" s="14" t="str">
        <x:v>Yes</x:v>
      </x:c>
    </x:row>
    <x:row r="142">
      <x:c r="A142" s="14" t="str">
        <x:v>SKU-0141</x:v>
      </x:c>
      <x:c r="B142" s="14" t="str">
        <x:v>Ink Item 141</x:v>
      </x:c>
      <x:c r="C142" s="14" t="str">
        <x:v>Office</x:v>
      </x:c>
      <x:c r="D142" s="14" t="str">
        <x:v>Ink</x:v>
      </x:c>
      <x:c r="E142" s="14" t="str">
        <x:v>SUP-004</x:v>
      </x:c>
      <x:c r="F142" s="40" t="n">
        <x:v>279.99</x:v>
      </x:c>
      <x:c r="G142" s="40" t="n">
        <x:v>369.37</x:v>
      </x:c>
      <x:c r="H142" s="14" t="str">
        <x:v>B</x:v>
      </x:c>
      <x:c r="I142" s="14" t="n">
        <x:v>10</x:v>
      </x:c>
      <x:c r="J142" s="14" t="n">
        <x:v>25</x:v>
      </x:c>
      <x:c r="K142" s="14" t="n">
        <x:v>56</x:v>
      </x:c>
      <x:c r="L142" s="14" t="n">
        <x:v>60</x:v>
      </x:c>
      <x:c r="M142" s="14" t="str">
        <x:v>Yes</x:v>
      </x:c>
    </x:row>
    <x:row r="143">
      <x:c r="A143" s="14" t="str">
        <x:v>SKU-0142</x:v>
      </x:c>
      <x:c r="B143" s="14" t="str">
        <x:v>Gloves Item 142</x:v>
      </x:c>
      <x:c r="C143" s="14" t="str">
        <x:v>Safety</x:v>
      </x:c>
      <x:c r="D143" s="14" t="str">
        <x:v>Gloves</x:v>
      </x:c>
      <x:c r="E143" s="14" t="str">
        <x:v>SUP-011</x:v>
      </x:c>
      <x:c r="F143" s="40" t="n">
        <x:v>95.95</x:v>
      </x:c>
      <x:c r="G143" s="40" t="n">
        <x:v>186.86</x:v>
      </x:c>
      <x:c r="H143" s="14" t="str">
        <x:v>A</x:v>
      </x:c>
      <x:c r="I143" s="14" t="n">
        <x:v>100</x:v>
      </x:c>
      <x:c r="J143" s="14" t="n">
        <x:v>5</x:v>
      </x:c>
      <x:c r="K143" s="14" t="n">
        <x:v>17</x:v>
      </x:c>
      <x:c r="L143" s="14" t="n">
        <x:v>30</x:v>
      </x:c>
      <x:c r="M143" s="14" t="str">
        <x:v>Yes</x:v>
      </x:c>
    </x:row>
    <x:row r="144">
      <x:c r="A144" s="14" t="str">
        <x:v>SKU-0143</x:v>
      </x:c>
      <x:c r="B144" s="14" t="str">
        <x:v>Eyewear Item 143</x:v>
      </x:c>
      <x:c r="C144" s="14" t="str">
        <x:v>Safety</x:v>
      </x:c>
      <x:c r="D144" s="14" t="str">
        <x:v>Eyewear</x:v>
      </x:c>
      <x:c r="E144" s="14" t="str">
        <x:v>SUP-012</x:v>
      </x:c>
      <x:c r="F144" s="40" t="n">
        <x:v>123.95</x:v>
      </x:c>
      <x:c r="G144" s="40" t="n">
        <x:v>189.05</x:v>
      </x:c>
      <x:c r="H144" s="14" t="str">
        <x:v>C</x:v>
      </x:c>
      <x:c r="I144" s="14" t="n">
        <x:v>25</x:v>
      </x:c>
      <x:c r="J144" s="14" t="n">
        <x:v>20</x:v>
      </x:c>
      <x:c r="K144" s="14" t="n">
        <x:v>46</x:v>
      </x:c>
      <x:c r="L144" s="14" t="n">
        <x:v>45</x:v>
      </x:c>
      <x:c r="M144" s="14" t="str">
        <x:v>Yes</x:v>
      </x:c>
    </x:row>
    <x:row r="145">
      <x:c r="A145" s="14" t="str">
        <x:v>SKU-0144</x:v>
      </x:c>
      <x:c r="B145" s="14" t="str">
        <x:v>Ink Item 144</x:v>
      </x:c>
      <x:c r="C145" s="14" t="str">
        <x:v>Office</x:v>
      </x:c>
      <x:c r="D145" s="14" t="str">
        <x:v>Ink</x:v>
      </x:c>
      <x:c r="E145" s="14" t="str">
        <x:v>SUP-009</x:v>
      </x:c>
      <x:c r="F145" s="40" t="n">
        <x:v>68.87</x:v>
      </x:c>
      <x:c r="G145" s="40" t="n">
        <x:v>158.77</x:v>
      </x:c>
      <x:c r="H145" s="14" t="str">
        <x:v>C</x:v>
      </x:c>
      <x:c r="I145" s="14" t="n">
        <x:v>25</x:v>
      </x:c>
      <x:c r="J145" s="14" t="n">
        <x:v>10</x:v>
      </x:c>
      <x:c r="K145" s="14" t="n">
        <x:v>50</x:v>
      </x:c>
      <x:c r="L145" s="14" t="n">
        <x:v>60</x:v>
      </x:c>
      <x:c r="M145" s="14" t="str">
        <x:v>Yes</x:v>
      </x:c>
    </x:row>
    <x:row r="146">
      <x:c r="A146" s="14" t="str">
        <x:v>SKU-0145</x:v>
      </x:c>
      <x:c r="B146" s="14" t="str">
        <x:v>Accessories Item 145</x:v>
      </x:c>
      <x:c r="C146" s="14" t="str">
        <x:v>Office</x:v>
      </x:c>
      <x:c r="D146" s="14" t="str">
        <x:v>Accessories</x:v>
      </x:c>
      <x:c r="E146" s="14" t="str">
        <x:v>SUP-007</x:v>
      </x:c>
      <x:c r="F146" s="40" t="n">
        <x:v>142.06</x:v>
      </x:c>
      <x:c r="G146" s="40" t="n">
        <x:v>217.7</x:v>
      </x:c>
      <x:c r="H146" s="14" t="str">
        <x:v>A</x:v>
      </x:c>
      <x:c r="I146" s="14" t="n">
        <x:v>25</x:v>
      </x:c>
      <x:c r="J146" s="14" t="n">
        <x:v>25</x:v>
      </x:c>
      <x:c r="K146" s="14" t="n">
        <x:v>15</x:v>
      </x:c>
      <x:c r="L146" s="14" t="n">
        <x:v>45</x:v>
      </x:c>
      <x:c r="M146" s="14" t="str">
        <x:v>Yes</x:v>
      </x:c>
    </x:row>
    <x:row r="147">
      <x:c r="A147" s="14" t="str">
        <x:v>SKU-0146</x:v>
      </x:c>
      <x:c r="B147" s="14" t="str">
        <x:v>Accessories Item 146</x:v>
      </x:c>
      <x:c r="C147" s="14" t="str">
        <x:v>Office</x:v>
      </x:c>
      <x:c r="D147" s="14" t="str">
        <x:v>Accessories</x:v>
      </x:c>
      <x:c r="E147" s="14" t="str">
        <x:v>SUP-009</x:v>
      </x:c>
      <x:c r="F147" s="40" t="n">
        <x:v>261.77</x:v>
      </x:c>
      <x:c r="G147" s="40" t="n">
        <x:v>488.89</x:v>
      </x:c>
      <x:c r="H147" s="14" t="str">
        <x:v>B</x:v>
      </x:c>
      <x:c r="I147" s="14" t="n">
        <x:v>10</x:v>
      </x:c>
      <x:c r="J147" s="14" t="n">
        <x:v>10</x:v>
      </x:c>
      <x:c r="K147" s="14" t="n">
        <x:v>12</x:v>
      </x:c>
      <x:c r="L147" s="14" t="n">
        <x:v>30</x:v>
      </x:c>
      <x:c r="M147" s="14" t="str">
        <x:v>Yes</x:v>
      </x:c>
    </x:row>
    <x:row r="148">
      <x:c r="A148" s="14" t="str">
        <x:v>SKU-0147</x:v>
      </x:c>
      <x:c r="B148" s="14" t="str">
        <x:v>Eyewear Item 147</x:v>
      </x:c>
      <x:c r="C148" s="14" t="str">
        <x:v>Safety</x:v>
      </x:c>
      <x:c r="D148" s="14" t="str">
        <x:v>Eyewear</x:v>
      </x:c>
      <x:c r="E148" s="14" t="str">
        <x:v>SUP-007</x:v>
      </x:c>
      <x:c r="F148" s="40" t="n">
        <x:v>27.95</x:v>
      </x:c>
      <x:c r="G148" s="40" t="n">
        <x:v>61.32</x:v>
      </x:c>
      <x:c r="H148" s="14" t="str">
        <x:v>C</x:v>
      </x:c>
      <x:c r="I148" s="14" t="n">
        <x:v>50</x:v>
      </x:c>
      <x:c r="J148" s="14" t="n">
        <x:v>1</x:v>
      </x:c>
      <x:c r="K148" s="14" t="n">
        <x:v>33</x:v>
      </x:c>
      <x:c r="L148" s="14" t="n">
        <x:v>30</x:v>
      </x:c>
      <x:c r="M148" s="14" t="str">
        <x:v>Yes</x:v>
      </x:c>
    </x:row>
    <x:row r="149">
      <x:c r="A149" s="14" t="str">
        <x:v>SKU-0148</x:v>
      </x:c>
      <x:c r="B149" s="14" t="str">
        <x:v>Bearings Item 148</x:v>
      </x:c>
      <x:c r="C149" s="14" t="str">
        <x:v>Mechanical</x:v>
      </x:c>
      <x:c r="D149" s="14" t="str">
        <x:v>Bearings</x:v>
      </x:c>
      <x:c r="E149" s="14" t="str">
        <x:v>SUP-007</x:v>
      </x:c>
      <x:c r="F149" s="40" t="n">
        <x:v>278.48</x:v>
      </x:c>
      <x:c r="G149" s="40" t="n">
        <x:v>415.62</x:v>
      </x:c>
      <x:c r="H149" s="14" t="str">
        <x:v>A</x:v>
      </x:c>
      <x:c r="I149" s="14" t="n">
        <x:v>10</x:v>
      </x:c>
      <x:c r="J149" s="14" t="n">
        <x:v>50</x:v>
      </x:c>
      <x:c r="K149" s="14" t="n">
        <x:v>48</x:v>
      </x:c>
      <x:c r="L149" s="14" t="n">
        <x:v>45</x:v>
      </x:c>
      <x:c r="M149" s="14" t="str">
        <x:v>Yes</x:v>
      </x:c>
    </x:row>
    <x:row r="150">
      <x:c r="A150" s="14" t="str">
        <x:v>SKU-0149</x:v>
      </x:c>
      <x:c r="B150" s="14" t="str">
        <x:v>Cartons Item 149</x:v>
      </x:c>
      <x:c r="C150" s="14" t="str">
        <x:v>Packaging</x:v>
      </x:c>
      <x:c r="D150" s="14" t="str">
        <x:v>Cartons</x:v>
      </x:c>
      <x:c r="E150" s="14" t="str">
        <x:v>SUP-005</x:v>
      </x:c>
      <x:c r="F150" s="40" t="n">
        <x:v>257.08</x:v>
      </x:c>
      <x:c r="G150" s="40" t="n">
        <x:v>407.41</x:v>
      </x:c>
      <x:c r="H150" s="14" t="str">
        <x:v>C</x:v>
      </x:c>
      <x:c r="I150" s="14" t="n">
        <x:v>500</x:v>
      </x:c>
      <x:c r="J150" s="14" t="n">
        <x:v>20</x:v>
      </x:c>
      <x:c r="K150" s="14" t="n">
        <x:v>35</x:v>
      </x:c>
      <x:c r="L150" s="14" t="n">
        <x:v>60</x:v>
      </x:c>
      <x:c r="M150" s="14" t="str">
        <x:v>No</x:v>
      </x:c>
    </x:row>
    <x:row r="151">
      <x:c r="A151" s="14" t="str">
        <x:v>SKU-0150</x:v>
      </x:c>
      <x:c r="B151" s="14" t="str">
        <x:v>Sensors Item 150</x:v>
      </x:c>
      <x:c r="C151" s="14" t="str">
        <x:v>Electronics</x:v>
      </x:c>
      <x:c r="D151" s="14" t="str">
        <x:v>Sensors</x:v>
      </x:c>
      <x:c r="E151" s="14" t="str">
        <x:v>SUP-005</x:v>
      </x:c>
      <x:c r="F151" s="40" t="n">
        <x:v>62.34</x:v>
      </x:c>
      <x:c r="G151" s="40" t="n">
        <x:v>82.01</x:v>
      </x:c>
      <x:c r="H151" s="14" t="str">
        <x:v>C</x:v>
      </x:c>
      <x:c r="I151" s="14" t="n">
        <x:v>200</x:v>
      </x:c>
      <x:c r="J151" s="14" t="n">
        <x:v>25</x:v>
      </x:c>
      <x:c r="K151" s="14" t="n">
        <x:v>34</x:v>
      </x:c>
      <x:c r="L151" s="14" t="n">
        <x:v>30</x:v>
      </x:c>
      <x:c r="M151" s="1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ab498887477c4a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20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14" hidden="0" customWidth="1"/>
    <x:col min="16" max="16" width="16" hidden="0" customWidth="1"/>
    <x:col min="17" max="17" width="18" hidden="0" customWidth="1"/>
    <x:col min="18" max="18" width="18" hidden="0" customWidth="1"/>
    <x:col min="19" max="19" width="12" hidden="0" customWidth="1"/>
    <x:col min="20" max="20" width="18" hidden="0" customWidth="1"/>
  </x:cols>
  <x:sheetData>
    <x:row r="1">
      <x:c r="A1" s="9" t="str">
        <x:v>SKU</x:v>
      </x:c>
      <x:c r="B1" s="9" t="str">
        <x:v>Description</x:v>
      </x:c>
      <x:c r="C1" s="9" t="str">
        <x:v>ABC_Class</x:v>
      </x:c>
      <x:c r="D1" s="9" t="str">
        <x:v>On_Hand_Units</x:v>
      </x:c>
      <x:c r="E1" s="9" t="str">
        <x:v>Allocated_Units</x:v>
      </x:c>
      <x:c r="F1" s="9" t="str">
        <x:v>Available_Units</x:v>
      </x:c>
      <x:c r="G1" s="9" t="str">
        <x:v>On_Order_Units</x:v>
      </x:c>
      <x:c r="H1" s="9" t="str">
        <x:v>Unit_Cost_USD</x:v>
      </x:c>
      <x:c r="I1" s="9" t="str">
        <x:v>Inventory_Value_USD</x:v>
      </x:c>
      <x:c r="J1" s="9" t="str">
        <x:v>Avg_Daily_Demand_Units</x:v>
      </x:c>
      <x:c r="K1" s="9" t="str">
        <x:v>Days_On_Hand</x:v>
      </x:c>
      <x:c r="L1" s="9" t="str">
        <x:v>Lead_Time_Days</x:v>
      </x:c>
      <x:c r="M1" s="9" t="str">
        <x:v>Safety_Stock_Units</x:v>
      </x:c>
      <x:c r="N1" s="9" t="str">
        <x:v>Reorder_Point_Units</x:v>
      </x:c>
      <x:c r="O1" s="9" t="str">
        <x:v>Stockout_Risk</x:v>
      </x:c>
      <x:c r="P1" s="9" t="str">
        <x:v>Excess_Units</x:v>
      </x:c>
      <x:c r="Q1" s="9" t="str">
        <x:v>Excess_Value_USD</x:v>
      </x:c>
      <x:c r="R1" s="9" t="str">
        <x:v>Last_Movement_Date</x:v>
      </x:c>
      <x:c r="S1" s="9" t="str">
        <x:v>Age_Days</x:v>
      </x:c>
      <x:c r="T1" s="9" t="str">
        <x:v>Obsolescence_Risk</x:v>
      </x:c>
    </x:row>
    <x:row r="2">
      <x:c r="A2" s="14" t="str">
        <x:v>SKU-0001</x:v>
      </x:c>
      <x:c r="B2" s="14" t="str">
        <x:v>Lubricants Item 001</x:v>
      </x:c>
      <x:c r="C2" s="14" t="str">
        <x:v>B</x:v>
      </x:c>
      <x:c r="D2" s="52" t="n">
        <x:v>107</x:v>
      </x:c>
      <x:c r="E2" s="52" t="n">
        <x:v>23</x:v>
      </x:c>
      <x:c r="F2" s="53" t="n">
        <x:f>D2-E2</x:f>
        <x:v>84</x:v>
      </x:c>
      <x:c r="G2" s="52" t="n">
        <x:v>12</x:v>
      </x:c>
      <x:c r="H2" s="40" t="n">
        <x:v>178.71</x:v>
      </x:c>
      <x:c r="I2" s="44" t="n">
        <x:f>D2*H2</x:f>
        <x:v>19121.97</x:v>
      </x:c>
      <x:c r="J2" s="46" t="n">
        <x:v>3.73</x:v>
      </x:c>
      <x:c r="K2" s="47" t="n">
        <x:f>IF(J2=0,999,F2/J2)</x:f>
        <x:v>22.5201072386059</x:v>
      </x:c>
      <x:c r="L2" s="53" t="n">
        <x:v>24</x:v>
      </x:c>
      <x:c r="M2" s="53" t="n">
        <x:f>ROUNDUP(J2*SQRT(L2)*1.65,0)</x:f>
        <x:v>31</x:v>
      </x:c>
      <x:c r="N2" s="53" t="n">
        <x:f>ROUNDUP(J2*L2+M2,0)</x:f>
        <x:v>121</x:v>
      </x:c>
      <x:c r="O2" s="42" t="str">
        <x:f>IF(F2&lt;=0,"Critical",IF(F2&lt;N2,"High",IF(F2&lt;N2*1.5,"Medium","Low")))</x:f>
        <x:v>High</x:v>
      </x:c>
      <x:c r="P2" s="53" t="n">
        <x:f>MAX(0,F2-(J2*90+M2))</x:f>
        <x:v>0</x:v>
      </x:c>
      <x:c r="Q2" s="44" t="n">
        <x:f>P2*H2</x:f>
        <x:v>0</x:v>
      </x:c>
      <x:c r="R2" s="50" t="n">
        <x:v>45990</x:v>
      </x:c>
      <x:c r="S2" s="53" t="n">
        <x:f>'Assumptions'!$B$13-R2</x:f>
        <x:v>255</x:v>
      </x:c>
      <x:c r="T2" s="42" t="str">
        <x:f>IF(S2&gt;=180,"High",IF(S2&gt;=120,"Medium","Low"))</x:f>
        <x:v>High</x:v>
      </x:c>
    </x:row>
    <x:row r="3">
      <x:c r="A3" s="14" t="str">
        <x:v>SKU-0002</x:v>
      </x:c>
      <x:c r="B3" s="14" t="str">
        <x:v>Foam Item 002</x:v>
      </x:c>
      <x:c r="C3" s="14" t="str">
        <x:v>B</x:v>
      </x:c>
      <x:c r="D3" s="52" t="n">
        <x:v>328</x:v>
      </x:c>
      <x:c r="E3" s="52" t="n">
        <x:v>27</x:v>
      </x:c>
      <x:c r="F3" s="53" t="n">
        <x:f>D3-E3</x:f>
        <x:v>301</x:v>
      </x:c>
      <x:c r="G3" s="52" t="n">
        <x:v>146</x:v>
      </x:c>
      <x:c r="H3" s="40" t="n">
        <x:v>66.06</x:v>
      </x:c>
      <x:c r="I3" s="44" t="n">
        <x:f>D3*H3</x:f>
        <x:v>21667.68</x:v>
      </x:c>
      <x:c r="J3" s="46" t="n">
        <x:v>6.21</x:v>
      </x:c>
      <x:c r="K3" s="47" t="n">
        <x:f>IF(J3=0,999,F3/J3)</x:f>
        <x:v>48.470209339774556</x:v>
      </x:c>
      <x:c r="L3" s="53" t="n">
        <x:v>20</x:v>
      </x:c>
      <x:c r="M3" s="53" t="n">
        <x:f>ROUNDUP(J3*SQRT(L3)*1.65,0)</x:f>
        <x:v>46</x:v>
      </x:c>
      <x:c r="N3" s="53" t="n">
        <x:f>ROUNDUP(J3*L3+M3,0)</x:f>
        <x:v>171</x:v>
      </x:c>
      <x:c r="O3" s="42" t="str">
        <x:f>IF(F3&lt;=0,"Critical",IF(F3&lt;N3,"High",IF(F3&lt;N3*1.5,"Medium","Low")))</x:f>
        <x:v>Low</x:v>
      </x:c>
      <x:c r="P3" s="53" t="n">
        <x:f>MAX(0,F3-(J3*90+M3))</x:f>
        <x:v>0</x:v>
      </x:c>
      <x:c r="Q3" s="44" t="n">
        <x:f>P3*H3</x:f>
        <x:v>0</x:v>
      </x:c>
      <x:c r="R3" s="50" t="n">
        <x:v>46065</x:v>
      </x:c>
      <x:c r="S3" s="53" t="n">
        <x:f>'Assumptions'!$B$13-R3</x:f>
        <x:v>180</x:v>
      </x:c>
      <x:c r="T3" s="42" t="str">
        <x:f>IF(S3&gt;=180,"High",IF(S3&gt;=120,"Medium","Low"))</x:f>
        <x:v>High</x:v>
      </x:c>
    </x:row>
    <x:row r="4">
      <x:c r="A4" s="14" t="str">
        <x:v>SKU-0003</x:v>
      </x:c>
      <x:c r="B4" s="14" t="str">
        <x:v>Bearings Item 003</x:v>
      </x:c>
      <x:c r="C4" s="14" t="str">
        <x:v>C</x:v>
      </x:c>
      <x:c r="D4" s="52" t="n">
        <x:v>203</x:v>
      </x:c>
      <x:c r="E4" s="52" t="n">
        <x:v>6</x:v>
      </x:c>
      <x:c r="F4" s="53" t="n">
        <x:f>D4-E4</x:f>
        <x:v>197</x:v>
      </x:c>
      <x:c r="G4" s="52" t="n">
        <x:v>0</x:v>
      </x:c>
      <x:c r="H4" s="40" t="n">
        <x:v>141.04</x:v>
      </x:c>
      <x:c r="I4" s="44" t="n">
        <x:f>D4*H4</x:f>
        <x:v>28631.12</x:v>
      </x:c>
      <x:c r="J4" s="46" t="n">
        <x:v>3.09</x:v>
      </x:c>
      <x:c r="K4" s="47" t="n">
        <x:f>IF(J4=0,999,F4/J4)</x:f>
        <x:v>63.75404530744337</x:v>
      </x:c>
      <x:c r="L4" s="53" t="n">
        <x:v>15</x:v>
      </x:c>
      <x:c r="M4" s="53" t="n">
        <x:f>ROUNDUP(J4*SQRT(L4)*1.65,0)</x:f>
        <x:v>20</x:v>
      </x:c>
      <x:c r="N4" s="53" t="n">
        <x:f>ROUNDUP(J4*L4+M4,0)</x:f>
        <x:v>67</x:v>
      </x:c>
      <x:c r="O4" s="42" t="str">
        <x:f>IF(F4&lt;=0,"Critical",IF(F4&lt;N4,"High",IF(F4&lt;N4*1.5,"Medium","Low")))</x:f>
        <x:v>Low</x:v>
      </x:c>
      <x:c r="P4" s="53" t="n">
        <x:f>MAX(0,F4-(J4*90+M4))</x:f>
        <x:v>0</x:v>
      </x:c>
      <x:c r="Q4" s="44" t="n">
        <x:f>P4*H4</x:f>
        <x:v>0</x:v>
      </x:c>
      <x:c r="R4" s="50" t="n">
        <x:v>46211</x:v>
      </x:c>
      <x:c r="S4" s="53" t="n">
        <x:f>'Assumptions'!$B$13-R4</x:f>
        <x:v>34</x:v>
      </x:c>
      <x:c r="T4" s="42" t="str">
        <x:f>IF(S4&gt;=180,"High",IF(S4&gt;=120,"Medium","Low"))</x:f>
        <x:v>Low</x:v>
      </x:c>
    </x:row>
    <x:row r="5">
      <x:c r="A5" s="14" t="str">
        <x:v>SKU-0004</x:v>
      </x:c>
      <x:c r="B5" s="14" t="str">
        <x:v>First Aid Item 004</x:v>
      </x:c>
      <x:c r="C5" s="14" t="str">
        <x:v>B</x:v>
      </x:c>
      <x:c r="D5" s="52" t="n">
        <x:v>1503</x:v>
      </x:c>
      <x:c r="E5" s="52" t="n">
        <x:v>267</x:v>
      </x:c>
      <x:c r="F5" s="53" t="n">
        <x:f>D5-E5</x:f>
        <x:v>1236</x:v>
      </x:c>
      <x:c r="G5" s="52" t="n">
        <x:v>945</x:v>
      </x:c>
      <x:c r="H5" s="40" t="n">
        <x:v>164.72</x:v>
      </x:c>
      <x:c r="I5" s="44" t="n">
        <x:f>D5*H5</x:f>
        <x:v>247574.16</x:v>
      </x:c>
      <x:c r="J5" s="46" t="n">
        <x:v>19.68</x:v>
      </x:c>
      <x:c r="K5" s="47" t="n">
        <x:f>IF(J5=0,999,F5/J5)</x:f>
        <x:v>62.80487804878049</x:v>
      </x:c>
      <x:c r="L5" s="53" t="n">
        <x:v>39</x:v>
      </x:c>
      <x:c r="M5" s="53" t="n">
        <x:f>ROUNDUP(J5*SQRT(L5)*1.65,0)</x:f>
        <x:v>203</x:v>
      </x:c>
      <x:c r="N5" s="53" t="n">
        <x:f>ROUNDUP(J5*L5+M5,0)</x:f>
        <x:v>971</x:v>
      </x:c>
      <x:c r="O5" s="42" t="str">
        <x:f>IF(F5&lt;=0,"Critical",IF(F5&lt;N5,"High",IF(F5&lt;N5*1.5,"Medium","Low")))</x:f>
        <x:v>Medium</x:v>
      </x:c>
      <x:c r="P5" s="53" t="n">
        <x:f>MAX(0,F5-(J5*90+M5))</x:f>
        <x:v>0</x:v>
      </x:c>
      <x:c r="Q5" s="44" t="n">
        <x:f>P5*H5</x:f>
        <x:v>0</x:v>
      </x:c>
      <x:c r="R5" s="50" t="n">
        <x:v>46223</x:v>
      </x:c>
      <x:c r="S5" s="53" t="n">
        <x:f>'Assumptions'!$B$13-R5</x:f>
        <x:v>22</x:v>
      </x:c>
      <x:c r="T5" s="42" t="str">
        <x:f>IF(S5&gt;=180,"High",IF(S5&gt;=120,"Medium","Low"))</x:f>
        <x:v>Low</x:v>
      </x:c>
    </x:row>
    <x:row r="6">
      <x:c r="A6" s="14" t="str">
        <x:v>SKU-0005</x:v>
      </x:c>
      <x:c r="B6" s="14" t="str">
        <x:v>Sensors Item 005</x:v>
      </x:c>
      <x:c r="C6" s="14" t="str">
        <x:v>B</x:v>
      </x:c>
      <x:c r="D6" s="52" t="n">
        <x:v>692</x:v>
      </x:c>
      <x:c r="E6" s="52" t="n">
        <x:v>152</x:v>
      </x:c>
      <x:c r="F6" s="53" t="n">
        <x:f>D6-E6</x:f>
        <x:v>540</x:v>
      </x:c>
      <x:c r="G6" s="52" t="n">
        <x:v>0</x:v>
      </x:c>
      <x:c r="H6" s="40" t="n">
        <x:v>176.62</x:v>
      </x:c>
      <x:c r="I6" s="44" t="n">
        <x:f>D6*H6</x:f>
        <x:v>122221.04000000001</x:v>
      </x:c>
      <x:c r="J6" s="46" t="n">
        <x:v>9.65</x:v>
      </x:c>
      <x:c r="K6" s="47" t="n">
        <x:f>IF(J6=0,999,F6/J6)</x:f>
        <x:v>55.95854922279793</x:v>
      </x:c>
      <x:c r="L6" s="53" t="n">
        <x:v>31</x:v>
      </x:c>
      <x:c r="M6" s="53" t="n">
        <x:f>ROUNDUP(J6*SQRT(L6)*1.65,0)</x:f>
        <x:v>89</x:v>
      </x:c>
      <x:c r="N6" s="53" t="n">
        <x:f>ROUNDUP(J6*L6+M6,0)</x:f>
        <x:v>389</x:v>
      </x:c>
      <x:c r="O6" s="42" t="str">
        <x:f>IF(F6&lt;=0,"Critical",IF(F6&lt;N6,"High",IF(F6&lt;N6*1.5,"Medium","Low")))</x:f>
        <x:v>Medium</x:v>
      </x:c>
      <x:c r="P6" s="53" t="n">
        <x:f>MAX(0,F6-(J6*90+M6))</x:f>
        <x:v>0</x:v>
      </x:c>
      <x:c r="Q6" s="44" t="n">
        <x:f>P6*H6</x:f>
        <x:v>0</x:v>
      </x:c>
      <x:c r="R6" s="50" t="n">
        <x:v>46075</x:v>
      </x:c>
      <x:c r="S6" s="53" t="n">
        <x:f>'Assumptions'!$B$13-R6</x:f>
        <x:v>170</x:v>
      </x:c>
      <x:c r="T6" s="42" t="str">
        <x:f>IF(S6&gt;=180,"High",IF(S6&gt;=120,"Medium","Low"))</x:f>
        <x:v>Medium</x:v>
      </x:c>
    </x:row>
    <x:row r="7">
      <x:c r="A7" s="14" t="str">
        <x:v>SKU-0006</x:v>
      </x:c>
      <x:c r="B7" s="14" t="str">
        <x:v>First Aid Item 006</x:v>
      </x:c>
      <x:c r="C7" s="14" t="str">
        <x:v>C</x:v>
      </x:c>
      <x:c r="D7" s="52" t="n">
        <x:v>98</x:v>
      </x:c>
      <x:c r="E7" s="52" t="n">
        <x:v>22</x:v>
      </x:c>
      <x:c r="F7" s="53" t="n">
        <x:f>D7-E7</x:f>
        <x:v>76</x:v>
      </x:c>
      <x:c r="G7" s="52" t="n">
        <x:v>0</x:v>
      </x:c>
      <x:c r="H7" s="40" t="n">
        <x:v>241.37</x:v>
      </x:c>
      <x:c r="I7" s="44" t="n">
        <x:f>D7*H7</x:f>
        <x:v>23654.260000000002</x:v>
      </x:c>
      <x:c r="J7" s="46" t="n">
        <x:v>2.64</x:v>
      </x:c>
      <x:c r="K7" s="47" t="n">
        <x:f>IF(J7=0,999,F7/J7)</x:f>
        <x:v>28.787878787878785</x:v>
      </x:c>
      <x:c r="L7" s="53" t="n">
        <x:v>55</x:v>
      </x:c>
      <x:c r="M7" s="53" t="n">
        <x:f>ROUNDUP(J7*SQRT(L7)*1.65,0)</x:f>
        <x:v>33</x:v>
      </x:c>
      <x:c r="N7" s="53" t="n">
        <x:f>ROUNDUP(J7*L7+M7,0)</x:f>
        <x:v>179</x:v>
      </x:c>
      <x:c r="O7" s="42" t="str">
        <x:f>IF(F7&lt;=0,"Critical",IF(F7&lt;N7,"High",IF(F7&lt;N7*1.5,"Medium","Low")))</x:f>
        <x:v>High</x:v>
      </x:c>
      <x:c r="P7" s="53" t="n">
        <x:f>MAX(0,F7-(J7*90+M7))</x:f>
        <x:v>0</x:v>
      </x:c>
      <x:c r="Q7" s="44" t="n">
        <x:f>P7*H7</x:f>
        <x:v>0</x:v>
      </x:c>
      <x:c r="R7" s="50" t="n">
        <x:v>46008</x:v>
      </x:c>
      <x:c r="S7" s="53" t="n">
        <x:f>'Assumptions'!$B$13-R7</x:f>
        <x:v>237</x:v>
      </x:c>
      <x:c r="T7" s="42" t="str">
        <x:f>IF(S7&gt;=180,"High",IF(S7&gt;=120,"Medium","Low"))</x:f>
        <x:v>High</x:v>
      </x:c>
    </x:row>
    <x:row r="8">
      <x:c r="A8" s="14" t="str">
        <x:v>SKU-0007</x:v>
      </x:c>
      <x:c r="B8" s="14" t="str">
        <x:v>Fasteners Item 007</x:v>
      </x:c>
      <x:c r="C8" s="14" t="str">
        <x:v>C</x:v>
      </x:c>
      <x:c r="D8" s="52" t="n">
        <x:v>427</x:v>
      </x:c>
      <x:c r="E8" s="52" t="n">
        <x:v>20</x:v>
      </x:c>
      <x:c r="F8" s="53" t="n">
        <x:f>D8-E8</x:f>
        <x:v>407</x:v>
      </x:c>
      <x:c r="G8" s="52" t="n">
        <x:v>0</x:v>
      </x:c>
      <x:c r="H8" s="40" t="n">
        <x:v>123.15</x:v>
      </x:c>
      <x:c r="I8" s="44" t="n">
        <x:f>D8*H8</x:f>
        <x:v>52585.05</x:v>
      </x:c>
      <x:c r="J8" s="46" t="n">
        <x:v>17.93</x:v>
      </x:c>
      <x:c r="K8" s="47" t="n">
        <x:f>IF(J8=0,999,F8/J8)</x:f>
        <x:v>22.699386503067483</x:v>
      </x:c>
      <x:c r="L8" s="53" t="n">
        <x:v>39</x:v>
      </x:c>
      <x:c r="M8" s="53" t="n">
        <x:f>ROUNDUP(J8*SQRT(L8)*1.65,0)</x:f>
        <x:v>185</x:v>
      </x:c>
      <x:c r="N8" s="53" t="n">
        <x:f>ROUNDUP(J8*L8+M8,0)</x:f>
        <x:v>885</x:v>
      </x:c>
      <x:c r="O8" s="42" t="str">
        <x:f>IF(F8&lt;=0,"Critical",IF(F8&lt;N8,"High",IF(F8&lt;N8*1.5,"Medium","Low")))</x:f>
        <x:v>High</x:v>
      </x:c>
      <x:c r="P8" s="53" t="n">
        <x:f>MAX(0,F8-(J8*90+M8))</x:f>
        <x:v>0</x:v>
      </x:c>
      <x:c r="Q8" s="44" t="n">
        <x:f>P8*H8</x:f>
        <x:v>0</x:v>
      </x:c>
      <x:c r="R8" s="50" t="n">
        <x:v>46011</x:v>
      </x:c>
      <x:c r="S8" s="53" t="n">
        <x:f>'Assumptions'!$B$13-R8</x:f>
        <x:v>234</x:v>
      </x:c>
      <x:c r="T8" s="42" t="str">
        <x:f>IF(S8&gt;=180,"High",IF(S8&gt;=120,"Medium","Low"))</x:f>
        <x:v>High</x:v>
      </x:c>
    </x:row>
    <x:row r="9">
      <x:c r="A9" s="14" t="str">
        <x:v>SKU-0008</x:v>
      </x:c>
      <x:c r="B9" s="14" t="str">
        <x:v>Power Item 008</x:v>
      </x:c>
      <x:c r="C9" s="14" t="str">
        <x:v>B</x:v>
      </x:c>
      <x:c r="D9" s="52" t="n">
        <x:v>165</x:v>
      </x:c>
      <x:c r="E9" s="52" t="n">
        <x:v>47</x:v>
      </x:c>
      <x:c r="F9" s="53" t="n">
        <x:f>D9-E9</x:f>
        <x:v>118</x:v>
      </x:c>
      <x:c r="G9" s="52" t="n">
        <x:v>7</x:v>
      </x:c>
      <x:c r="H9" s="40" t="n">
        <x:v>143.38</x:v>
      </x:c>
      <x:c r="I9" s="44" t="n">
        <x:f>D9*H9</x:f>
        <x:v>23657.7</x:v>
      </x:c>
      <x:c r="J9" s="46" t="n">
        <x:v>3.88</x:v>
      </x:c>
      <x:c r="K9" s="47" t="n">
        <x:f>IF(J9=0,999,F9/J9)</x:f>
        <x:v>30.41237113402062</x:v>
      </x:c>
      <x:c r="L9" s="53" t="n">
        <x:v>56</x:v>
      </x:c>
      <x:c r="M9" s="53" t="n">
        <x:f>ROUNDUP(J9*SQRT(L9)*1.65,0)</x:f>
        <x:v>48</x:v>
      </x:c>
      <x:c r="N9" s="53" t="n">
        <x:f>ROUNDUP(J9*L9+M9,0)</x:f>
        <x:v>266</x:v>
      </x:c>
      <x:c r="O9" s="42" t="str">
        <x:f>IF(F9&lt;=0,"Critical",IF(F9&lt;N9,"High",IF(F9&lt;N9*1.5,"Medium","Low")))</x:f>
        <x:v>High</x:v>
      </x:c>
      <x:c r="P9" s="53" t="n">
        <x:f>MAX(0,F9-(J9*90+M9))</x:f>
        <x:v>0</x:v>
      </x:c>
      <x:c r="Q9" s="44" t="n">
        <x:f>P9*H9</x:f>
        <x:v>0</x:v>
      </x:c>
      <x:c r="R9" s="50" t="n">
        <x:v>46148</x:v>
      </x:c>
      <x:c r="S9" s="53" t="n">
        <x:f>'Assumptions'!$B$13-R9</x:f>
        <x:v>97</x:v>
      </x:c>
      <x:c r="T9" s="42" t="str">
        <x:f>IF(S9&gt;=180,"High",IF(S9&gt;=120,"Medium","Low"))</x:f>
        <x:v>Low</x:v>
      </x:c>
    </x:row>
    <x:row r="10">
      <x:c r="A10" s="14" t="str">
        <x:v>SKU-0009</x:v>
      </x:c>
      <x:c r="B10" s="14" t="str">
        <x:v>First Aid Item 009</x:v>
      </x:c>
      <x:c r="C10" s="14" t="str">
        <x:v>C</x:v>
      </x:c>
      <x:c r="D10" s="52" t="n">
        <x:v>9</x:v>
      </x:c>
      <x:c r="E10" s="52" t="n">
        <x:v>2</x:v>
      </x:c>
      <x:c r="F10" s="53" t="n">
        <x:f>D10-E10</x:f>
        <x:v>7</x:v>
      </x:c>
      <x:c r="G10" s="52" t="n">
        <x:v>32</x:v>
      </x:c>
      <x:c r="H10" s="40" t="n">
        <x:v>7.9</x:v>
      </x:c>
      <x:c r="I10" s="44" t="n">
        <x:f>D10*H10</x:f>
        <x:v>71.10000000000001</x:v>
      </x:c>
      <x:c r="J10" s="46" t="n">
        <x:v>0.74</x:v>
      </x:c>
      <x:c r="K10" s="47" t="n">
        <x:f>IF(J10=0,999,F10/J10)</x:f>
        <x:v>9.45945945945946</x:v>
      </x:c>
      <x:c r="L10" s="53" t="n">
        <x:v>10</x:v>
      </x:c>
      <x:c r="M10" s="53" t="n">
        <x:f>ROUNDUP(J10*SQRT(L10)*1.65,0)</x:f>
        <x:v>4</x:v>
      </x:c>
      <x:c r="N10" s="53" t="n">
        <x:f>ROUNDUP(J10*L10+M10,0)</x:f>
        <x:v>12</x:v>
      </x:c>
      <x:c r="O10" s="42" t="str">
        <x:f>IF(F10&lt;=0,"Critical",IF(F10&lt;N10,"High",IF(F10&lt;N10*1.5,"Medium","Low")))</x:f>
        <x:v>High</x:v>
      </x:c>
      <x:c r="P10" s="53" t="n">
        <x:f>MAX(0,F10-(J10*90+M10))</x:f>
        <x:v>0</x:v>
      </x:c>
      <x:c r="Q10" s="44" t="n">
        <x:f>P10*H10</x:f>
        <x:v>0</x:v>
      </x:c>
      <x:c r="R10" s="50" t="n">
        <x:v>46022</x:v>
      </x:c>
      <x:c r="S10" s="53" t="n">
        <x:f>'Assumptions'!$B$13-R10</x:f>
        <x:v>223</x:v>
      </x:c>
      <x:c r="T10" s="42" t="str">
        <x:f>IF(S10&gt;=180,"High",IF(S10&gt;=120,"Medium","Low"))</x:f>
        <x:v>High</x:v>
      </x:c>
    </x:row>
    <x:row r="11">
      <x:c r="A11" s="14" t="str">
        <x:v>SKU-0010</x:v>
      </x:c>
      <x:c r="B11" s="14" t="str">
        <x:v>Sensors Item 010</x:v>
      </x:c>
      <x:c r="C11" s="14" t="str">
        <x:v>C</x:v>
      </x:c>
      <x:c r="D11" s="52" t="n">
        <x:v>1161</x:v>
      </x:c>
      <x:c r="E11" s="52" t="n">
        <x:v>201</x:v>
      </x:c>
      <x:c r="F11" s="53" t="n">
        <x:f>D11-E11</x:f>
        <x:v>960</x:v>
      </x:c>
      <x:c r="G11" s="52" t="n">
        <x:v>636</x:v>
      </x:c>
      <x:c r="H11" s="40" t="n">
        <x:v>137.36</x:v>
      </x:c>
      <x:c r="I11" s="44" t="n">
        <x:f>D11*H11</x:f>
        <x:v>159474.96000000002</x:v>
      </x:c>
      <x:c r="J11" s="46" t="n">
        <x:v>12.53</x:v>
      </x:c>
      <x:c r="K11" s="47" t="n">
        <x:f>IF(J11=0,999,F11/J11)</x:f>
        <x:v>76.61612130885874</x:v>
      </x:c>
      <x:c r="L11" s="53" t="n">
        <x:v>49</x:v>
      </x:c>
      <x:c r="M11" s="53" t="n">
        <x:f>ROUNDUP(J11*SQRT(L11)*1.65,0)</x:f>
        <x:v>145</x:v>
      </x:c>
      <x:c r="N11" s="53" t="n">
        <x:f>ROUNDUP(J11*L11+M11,0)</x:f>
        <x:v>759</x:v>
      </x:c>
      <x:c r="O11" s="42" t="str">
        <x:f>IF(F11&lt;=0,"Critical",IF(F11&lt;N11,"High",IF(F11&lt;N11*1.5,"Medium","Low")))</x:f>
        <x:v>Medium</x:v>
      </x:c>
      <x:c r="P11" s="53" t="n">
        <x:f>MAX(0,F11-(J11*90+M11))</x:f>
        <x:v>0</x:v>
      </x:c>
      <x:c r="Q11" s="44" t="n">
        <x:f>P11*H11</x:f>
        <x:v>0</x:v>
      </x:c>
      <x:c r="R11" s="50" t="n">
        <x:v>45980</x:v>
      </x:c>
      <x:c r="S11" s="53" t="n">
        <x:f>'Assumptions'!$B$13-R11</x:f>
        <x:v>265</x:v>
      </x:c>
      <x:c r="T11" s="42" t="str">
        <x:f>IF(S11&gt;=180,"High",IF(S11&gt;=120,"Medium","Low"))</x:f>
        <x:v>High</x:v>
      </x:c>
    </x:row>
    <x:row r="12">
      <x:c r="A12" s="14" t="str">
        <x:v>SKU-0011</x:v>
      </x:c>
      <x:c r="B12" s="14" t="str">
        <x:v>Foam Item 011</x:v>
      </x:c>
      <x:c r="C12" s="14" t="str">
        <x:v>B</x:v>
      </x:c>
      <x:c r="D12" s="52" t="n">
        <x:v>177</x:v>
      </x:c>
      <x:c r="E12" s="52" t="n">
        <x:v>26</x:v>
      </x:c>
      <x:c r="F12" s="53" t="n">
        <x:f>D12-E12</x:f>
        <x:v>151</x:v>
      </x:c>
      <x:c r="G12" s="52" t="n">
        <x:v>0</x:v>
      </x:c>
      <x:c r="H12" s="40" t="n">
        <x:v>244.6</x:v>
      </x:c>
      <x:c r="I12" s="44" t="n">
        <x:f>D12*H12</x:f>
        <x:v>43294.2</x:v>
      </x:c>
      <x:c r="J12" s="46" t="n">
        <x:v>3.95</x:v>
      </x:c>
      <x:c r="K12" s="47" t="n">
        <x:f>IF(J12=0,999,F12/J12)</x:f>
        <x:v>38.22784810126582</x:v>
      </x:c>
      <x:c r="L12" s="53" t="n">
        <x:v>51</x:v>
      </x:c>
      <x:c r="M12" s="53" t="n">
        <x:f>ROUNDUP(J12*SQRT(L12)*1.65,0)</x:f>
        <x:v>47</x:v>
      </x:c>
      <x:c r="N12" s="53" t="n">
        <x:f>ROUNDUP(J12*L12+M12,0)</x:f>
        <x:v>249</x:v>
      </x:c>
      <x:c r="O12" s="42" t="str">
        <x:f>IF(F12&lt;=0,"Critical",IF(F12&lt;N12,"High",IF(F12&lt;N12*1.5,"Medium","Low")))</x:f>
        <x:v>High</x:v>
      </x:c>
      <x:c r="P12" s="53" t="n">
        <x:f>MAX(0,F12-(J12*90+M12))</x:f>
        <x:v>0</x:v>
      </x:c>
      <x:c r="Q12" s="44" t="n">
        <x:f>P12*H12</x:f>
        <x:v>0</x:v>
      </x:c>
      <x:c r="R12" s="50" t="n">
        <x:v>46153</x:v>
      </x:c>
      <x:c r="S12" s="53" t="n">
        <x:f>'Assumptions'!$B$13-R12</x:f>
        <x:v>92</x:v>
      </x:c>
      <x:c r="T12" s="42" t="str">
        <x:f>IF(S12&gt;=180,"High",IF(S12&gt;=120,"Medium","Low"))</x:f>
        <x:v>Low</x:v>
      </x:c>
    </x:row>
    <x:row r="13">
      <x:c r="A13" s="14" t="str">
        <x:v>SKU-0012</x:v>
      </x:c>
      <x:c r="B13" s="14" t="str">
        <x:v>Accessories Item 012</x:v>
      </x:c>
      <x:c r="C13" s="14" t="str">
        <x:v>B</x:v>
      </x:c>
      <x:c r="D13" s="52" t="n">
        <x:v>89</x:v>
      </x:c>
      <x:c r="E13" s="52" t="n">
        <x:v>20</x:v>
      </x:c>
      <x:c r="F13" s="53" t="n">
        <x:f>D13-E13</x:f>
        <x:v>69</x:v>
      </x:c>
      <x:c r="G13" s="52" t="n">
        <x:v>197</x:v>
      </x:c>
      <x:c r="H13" s="40" t="n">
        <x:v>252.14</x:v>
      </x:c>
      <x:c r="I13" s="44" t="n">
        <x:f>D13*H13</x:f>
        <x:v>22440.46</x:v>
      </x:c>
      <x:c r="J13" s="46" t="n">
        <x:v>5.97</x:v>
      </x:c>
      <x:c r="K13" s="47" t="n">
        <x:f>IF(J13=0,999,F13/J13)</x:f>
        <x:v>11.557788944723619</x:v>
      </x:c>
      <x:c r="L13" s="53" t="n">
        <x:v>8</x:v>
      </x:c>
      <x:c r="M13" s="53" t="n">
        <x:f>ROUNDUP(J13*SQRT(L13)*1.65,0)</x:f>
        <x:v>28</x:v>
      </x:c>
      <x:c r="N13" s="53" t="n">
        <x:f>ROUNDUP(J13*L13+M13,0)</x:f>
        <x:v>76</x:v>
      </x:c>
      <x:c r="O13" s="42" t="str">
        <x:f>IF(F13&lt;=0,"Critical",IF(F13&lt;N13,"High",IF(F13&lt;N13*1.5,"Medium","Low")))</x:f>
        <x:v>High</x:v>
      </x:c>
      <x:c r="P13" s="53" t="n">
        <x:f>MAX(0,F13-(J13*90+M13))</x:f>
        <x:v>0</x:v>
      </x:c>
      <x:c r="Q13" s="44" t="n">
        <x:f>P13*H13</x:f>
        <x:v>0</x:v>
      </x:c>
      <x:c r="R13" s="50" t="n">
        <x:v>46027</x:v>
      </x:c>
      <x:c r="S13" s="53" t="n">
        <x:f>'Assumptions'!$B$13-R13</x:f>
        <x:v>218</x:v>
      </x:c>
      <x:c r="T13" s="42" t="str">
        <x:f>IF(S13&gt;=180,"High",IF(S13&gt;=120,"Medium","Low"))</x:f>
        <x:v>High</x:v>
      </x:c>
    </x:row>
    <x:row r="14">
      <x:c r="A14" s="14" t="str">
        <x:v>SKU-0013</x:v>
      </x:c>
      <x:c r="B14" s="14" t="str">
        <x:v>Eyewear Item 013</x:v>
      </x:c>
      <x:c r="C14" s="14" t="str">
        <x:v>B</x:v>
      </x:c>
      <x:c r="D14" s="52" t="n">
        <x:v>118</x:v>
      </x:c>
      <x:c r="E14" s="52" t="n">
        <x:v>30</x:v>
      </x:c>
      <x:c r="F14" s="53" t="n">
        <x:f>D14-E14</x:f>
        <x:v>88</x:v>
      </x:c>
      <x:c r="G14" s="52" t="n">
        <x:v>0</x:v>
      </x:c>
      <x:c r="H14" s="40" t="n">
        <x:v>22.2</x:v>
      </x:c>
      <x:c r="I14" s="44" t="n">
        <x:f>D14*H14</x:f>
        <x:v>2619.6</x:v>
      </x:c>
      <x:c r="J14" s="46" t="n">
        <x:v>2.53</x:v>
      </x:c>
      <x:c r="K14" s="47" t="n">
        <x:f>IF(J14=0,999,F14/J14)</x:f>
        <x:v>34.78260869565218</x:v>
      </x:c>
      <x:c r="L14" s="53" t="n">
        <x:v>11</x:v>
      </x:c>
      <x:c r="M14" s="53" t="n">
        <x:f>ROUNDUP(J14*SQRT(L14)*1.65,0)</x:f>
        <x:v>14</x:v>
      </x:c>
      <x:c r="N14" s="53" t="n">
        <x:f>ROUNDUP(J14*L14+M14,0)</x:f>
        <x:v>42</x:v>
      </x:c>
      <x:c r="O14" s="42" t="str">
        <x:f>IF(F14&lt;=0,"Critical",IF(F14&lt;N14,"High",IF(F14&lt;N14*1.5,"Medium","Low")))</x:f>
        <x:v>Low</x:v>
      </x:c>
      <x:c r="P14" s="53" t="n">
        <x:f>MAX(0,F14-(J14*90+M14))</x:f>
        <x:v>0</x:v>
      </x:c>
      <x:c r="Q14" s="44" t="n">
        <x:f>P14*H14</x:f>
        <x:v>0</x:v>
      </x:c>
      <x:c r="R14" s="50" t="n">
        <x:v>46023</x:v>
      </x:c>
      <x:c r="S14" s="53" t="n">
        <x:f>'Assumptions'!$B$13-R14</x:f>
        <x:v>222</x:v>
      </x:c>
      <x:c r="T14" s="42" t="str">
        <x:f>IF(S14&gt;=180,"High",IF(S14&gt;=120,"Medium","Low"))</x:f>
        <x:v>High</x:v>
      </x:c>
    </x:row>
    <x:row r="15">
      <x:c r="A15" s="14" t="str">
        <x:v>SKU-0014</x:v>
      </x:c>
      <x:c r="B15" s="14" t="str">
        <x:v>Tools Item 014</x:v>
      </x:c>
      <x:c r="C15" s="14" t="str">
        <x:v>C</x:v>
      </x:c>
      <x:c r="D15" s="52" t="n">
        <x:v>561</x:v>
      </x:c>
      <x:c r="E15" s="52" t="n">
        <x:v>133</x:v>
      </x:c>
      <x:c r="F15" s="53" t="n">
        <x:f>D15-E15</x:f>
        <x:v>428</x:v>
      </x:c>
      <x:c r="G15" s="52" t="n">
        <x:v>0</x:v>
      </x:c>
      <x:c r="H15" s="40" t="n">
        <x:v>152.14</x:v>
      </x:c>
      <x:c r="I15" s="44" t="n">
        <x:f>D15*H15</x:f>
        <x:v>85350.54</x:v>
      </x:c>
      <x:c r="J15" s="46" t="n">
        <x:v>7.23</x:v>
      </x:c>
      <x:c r="K15" s="47" t="n">
        <x:f>IF(J15=0,999,F15/J15)</x:f>
        <x:v>59.19778699861687</x:v>
      </x:c>
      <x:c r="L15" s="53" t="n">
        <x:v>22</x:v>
      </x:c>
      <x:c r="M15" s="53" t="n">
        <x:f>ROUNDUP(J15*SQRT(L15)*1.65,0)</x:f>
        <x:v>56</x:v>
      </x:c>
      <x:c r="N15" s="53" t="n">
        <x:f>ROUNDUP(J15*L15+M15,0)</x:f>
        <x:v>216</x:v>
      </x:c>
      <x:c r="O15" s="42" t="str">
        <x:f>IF(F15&lt;=0,"Critical",IF(F15&lt;N15,"High",IF(F15&lt;N15*1.5,"Medium","Low")))</x:f>
        <x:v>Low</x:v>
      </x:c>
      <x:c r="P15" s="53" t="n">
        <x:f>MAX(0,F15-(J15*90+M15))</x:f>
        <x:v>0</x:v>
      </x:c>
      <x:c r="Q15" s="44" t="n">
        <x:f>P15*H15</x:f>
        <x:v>0</x:v>
      </x:c>
      <x:c r="R15" s="50" t="n">
        <x:v>46172</x:v>
      </x:c>
      <x:c r="S15" s="53" t="n">
        <x:f>'Assumptions'!$B$13-R15</x:f>
        <x:v>73</x:v>
      </x:c>
      <x:c r="T15" s="42" t="str">
        <x:f>IF(S15&gt;=180,"High",IF(S15&gt;=120,"Medium","Low"))</x:f>
        <x:v>Low</x:v>
      </x:c>
    </x:row>
    <x:row r="16">
      <x:c r="A16" s="14" t="str">
        <x:v>SKU-0015</x:v>
      </x:c>
      <x:c r="B16" s="14" t="str">
        <x:v>Cartons Item 015</x:v>
      </x:c>
      <x:c r="C16" s="14" t="str">
        <x:v>B</x:v>
      </x:c>
      <x:c r="D16" s="52" t="n">
        <x:v>1017</x:v>
      </x:c>
      <x:c r="E16" s="52" t="n">
        <x:v>44</x:v>
      </x:c>
      <x:c r="F16" s="53" t="n">
        <x:f>D16-E16</x:f>
        <x:v>973</x:v>
      </x:c>
      <x:c r="G16" s="52" t="n">
        <x:v>782</x:v>
      </x:c>
      <x:c r="H16" s="40" t="n">
        <x:v>185.37</x:v>
      </x:c>
      <x:c r="I16" s="44" t="n">
        <x:f>D16*H16</x:f>
        <x:v>188521.29</x:v>
      </x:c>
      <x:c r="J16" s="46" t="n">
        <x:v>22.06</x:v>
      </x:c>
      <x:c r="K16" s="47" t="n">
        <x:f>IF(J16=0,999,F16/J16)</x:f>
        <x:v>44.10698096101542</x:v>
      </x:c>
      <x:c r="L16" s="53" t="n">
        <x:v>50</x:v>
      </x:c>
      <x:c r="M16" s="53" t="n">
        <x:f>ROUNDUP(J16*SQRT(L16)*1.65,0)</x:f>
        <x:v>258</x:v>
      </x:c>
      <x:c r="N16" s="53" t="n">
        <x:f>ROUNDUP(J16*L16+M16,0)</x:f>
        <x:v>1361</x:v>
      </x:c>
      <x:c r="O16" s="42" t="str">
        <x:f>IF(F16&lt;=0,"Critical",IF(F16&lt;N16,"High",IF(F16&lt;N16*1.5,"Medium","Low")))</x:f>
        <x:v>High</x:v>
      </x:c>
      <x:c r="P16" s="53" t="n">
        <x:f>MAX(0,F16-(J16*90+M16))</x:f>
        <x:v>0</x:v>
      </x:c>
      <x:c r="Q16" s="44" t="n">
        <x:f>P16*H16</x:f>
        <x:v>0</x:v>
      </x:c>
      <x:c r="R16" s="50" t="n">
        <x:v>46060</x:v>
      </x:c>
      <x:c r="S16" s="53" t="n">
        <x:f>'Assumptions'!$B$13-R16</x:f>
        <x:v>185</x:v>
      </x:c>
      <x:c r="T16" s="42" t="str">
        <x:f>IF(S16&gt;=180,"High",IF(S16&gt;=120,"Medium","Low"))</x:f>
        <x:v>High</x:v>
      </x:c>
    </x:row>
    <x:row r="17">
      <x:c r="A17" s="14" t="str">
        <x:v>SKU-0016</x:v>
      </x:c>
      <x:c r="B17" s="14" t="str">
        <x:v>Sensors Item 016</x:v>
      </x:c>
      <x:c r="C17" s="14" t="str">
        <x:v>A</x:v>
      </x:c>
      <x:c r="D17" s="52" t="n">
        <x:v>234</x:v>
      </x:c>
      <x:c r="E17" s="52" t="n">
        <x:v>55</x:v>
      </x:c>
      <x:c r="F17" s="53" t="n">
        <x:f>D17-E17</x:f>
        <x:v>179</x:v>
      </x:c>
      <x:c r="G17" s="52" t="n">
        <x:v>0</x:v>
      </x:c>
      <x:c r="H17" s="40" t="n">
        <x:v>204.58</x:v>
      </x:c>
      <x:c r="I17" s="44" t="n">
        <x:f>D17*H17</x:f>
        <x:v>47871.72</x:v>
      </x:c>
      <x:c r="J17" s="46" t="n">
        <x:v>3.86</x:v>
      </x:c>
      <x:c r="K17" s="47" t="n">
        <x:f>IF(J17=0,999,F17/J17)</x:f>
        <x:v>46.373056994818654</x:v>
      </x:c>
      <x:c r="L17" s="53" t="n">
        <x:v>41</x:v>
      </x:c>
      <x:c r="M17" s="53" t="n">
        <x:f>ROUNDUP(J17*SQRT(L17)*1.65,0)</x:f>
        <x:v>41</x:v>
      </x:c>
      <x:c r="N17" s="53" t="n">
        <x:f>ROUNDUP(J17*L17+M17,0)</x:f>
        <x:v>200</x:v>
      </x:c>
      <x:c r="O17" s="42" t="str">
        <x:f>IF(F17&lt;=0,"Critical",IF(F17&lt;N17,"High",IF(F17&lt;N17*1.5,"Medium","Low")))</x:f>
        <x:v>High</x:v>
      </x:c>
      <x:c r="P17" s="53" t="n">
        <x:f>MAX(0,F17-(J17*90+M17))</x:f>
        <x:v>0</x:v>
      </x:c>
      <x:c r="Q17" s="44" t="n">
        <x:f>P17*H17</x:f>
        <x:v>0</x:v>
      </x:c>
      <x:c r="R17" s="50" t="n">
        <x:v>46055</x:v>
      </x:c>
      <x:c r="S17" s="53" t="n">
        <x:f>'Assumptions'!$B$13-R17</x:f>
        <x:v>190</x:v>
      </x:c>
      <x:c r="T17" s="42" t="str">
        <x:f>IF(S17&gt;=180,"High",IF(S17&gt;=120,"Medium","Low"))</x:f>
        <x:v>High</x:v>
      </x:c>
    </x:row>
    <x:row r="18">
      <x:c r="A18" s="14" t="str">
        <x:v>SKU-0017</x:v>
      </x:c>
      <x:c r="B18" s="14" t="str">
        <x:v>Foam Item 017</x:v>
      </x:c>
      <x:c r="C18" s="14" t="str">
        <x:v>B</x:v>
      </x:c>
      <x:c r="D18" s="52" t="n">
        <x:v>101</x:v>
      </x:c>
      <x:c r="E18" s="52" t="n">
        <x:v>12</x:v>
      </x:c>
      <x:c r="F18" s="53" t="n">
        <x:f>D18-E18</x:f>
        <x:v>89</x:v>
      </x:c>
      <x:c r="G18" s="52" t="n">
        <x:v>77</x:v>
      </x:c>
      <x:c r="H18" s="40" t="n">
        <x:v>71.82</x:v>
      </x:c>
      <x:c r="I18" s="44" t="n">
        <x:f>D18*H18</x:f>
        <x:v>7253.82</x:v>
      </x:c>
      <x:c r="J18" s="46" t="n">
        <x:v>5.06</x:v>
      </x:c>
      <x:c r="K18" s="47" t="n">
        <x:f>IF(J18=0,999,F18/J18)</x:f>
        <x:v>17.588932806324113</x:v>
      </x:c>
      <x:c r="L18" s="53" t="n">
        <x:v>10</x:v>
      </x:c>
      <x:c r="M18" s="53" t="n">
        <x:f>ROUNDUP(J18*SQRT(L18)*1.65,0)</x:f>
        <x:v>27</x:v>
      </x:c>
      <x:c r="N18" s="53" t="n">
        <x:f>ROUNDUP(J18*L18+M18,0)</x:f>
        <x:v>78</x:v>
      </x:c>
      <x:c r="O18" s="42" t="str">
        <x:f>IF(F18&lt;=0,"Critical",IF(F18&lt;N18,"High",IF(F18&lt;N18*1.5,"Medium","Low")))</x:f>
        <x:v>Medium</x:v>
      </x:c>
      <x:c r="P18" s="53" t="n">
        <x:f>MAX(0,F18-(J18*90+M18))</x:f>
        <x:v>0</x:v>
      </x:c>
      <x:c r="Q18" s="44" t="n">
        <x:f>P18*H18</x:f>
        <x:v>0</x:v>
      </x:c>
      <x:c r="R18" s="50" t="n">
        <x:v>46187</x:v>
      </x:c>
      <x:c r="S18" s="53" t="n">
        <x:f>'Assumptions'!$B$13-R18</x:f>
        <x:v>58</x:v>
      </x:c>
      <x:c r="T18" s="42" t="str">
        <x:f>IF(S18&gt;=180,"High",IF(S18&gt;=120,"Medium","Low"))</x:f>
        <x:v>Low</x:v>
      </x:c>
    </x:row>
    <x:row r="19">
      <x:c r="A19" s="14" t="str">
        <x:v>SKU-0018</x:v>
      </x:c>
      <x:c r="B19" s="14" t="str">
        <x:v>Sensors Item 018</x:v>
      </x:c>
      <x:c r="C19" s="14" t="str">
        <x:v>B</x:v>
      </x:c>
      <x:c r="D19" s="52" t="n">
        <x:v>130</x:v>
      </x:c>
      <x:c r="E19" s="52" t="n">
        <x:v>35</x:v>
      </x:c>
      <x:c r="F19" s="53" t="n">
        <x:f>D19-E19</x:f>
        <x:v>95</x:v>
      </x:c>
      <x:c r="G19" s="52" t="n">
        <x:v>0</x:v>
      </x:c>
      <x:c r="H19" s="40" t="n">
        <x:v>48.65</x:v>
      </x:c>
      <x:c r="I19" s="44" t="n">
        <x:f>D19*H19</x:f>
        <x:v>6324.5</x:v>
      </x:c>
      <x:c r="J19" s="46" t="n">
        <x:v>7.13</x:v>
      </x:c>
      <x:c r="K19" s="47" t="n">
        <x:f>IF(J19=0,999,F19/J19)</x:f>
        <x:v>13.32398316970547</x:v>
      </x:c>
      <x:c r="L19" s="53" t="n">
        <x:v>17</x:v>
      </x:c>
      <x:c r="M19" s="53" t="n">
        <x:f>ROUNDUP(J19*SQRT(L19)*1.65,0)</x:f>
        <x:v>49</x:v>
      </x:c>
      <x:c r="N19" s="53" t="n">
        <x:f>ROUNDUP(J19*L19+M19,0)</x:f>
        <x:v>171</x:v>
      </x:c>
      <x:c r="O19" s="42" t="str">
        <x:f>IF(F19&lt;=0,"Critical",IF(F19&lt;N19,"High",IF(F19&lt;N19*1.5,"Medium","Low")))</x:f>
        <x:v>High</x:v>
      </x:c>
      <x:c r="P19" s="53" t="n">
        <x:f>MAX(0,F19-(J19*90+M19))</x:f>
        <x:v>0</x:v>
      </x:c>
      <x:c r="Q19" s="44" t="n">
        <x:f>P19*H19</x:f>
        <x:v>0</x:v>
      </x:c>
      <x:c r="R19" s="50" t="n">
        <x:v>46136</x:v>
      </x:c>
      <x:c r="S19" s="53" t="n">
        <x:f>'Assumptions'!$B$13-R19</x:f>
        <x:v>109</x:v>
      </x:c>
      <x:c r="T19" s="42" t="str">
        <x:f>IF(S19&gt;=180,"High",IF(S19&gt;=120,"Medium","Low"))</x:f>
        <x:v>Low</x:v>
      </x:c>
    </x:row>
    <x:row r="20">
      <x:c r="A20" s="14" t="str">
        <x:v>SKU-0019</x:v>
      </x:c>
      <x:c r="B20" s="14" t="str">
        <x:v>Accessories Item 019</x:v>
      </x:c>
      <x:c r="C20" s="14" t="str">
        <x:v>C</x:v>
      </x:c>
      <x:c r="D20" s="52" t="n">
        <x:v>292</x:v>
      </x:c>
      <x:c r="E20" s="52" t="n">
        <x:v>87</x:v>
      </x:c>
      <x:c r="F20" s="53" t="n">
        <x:f>D20-E20</x:f>
        <x:v>205</x:v>
      </x:c>
      <x:c r="G20" s="52" t="n">
        <x:v>775</x:v>
      </x:c>
      <x:c r="H20" s="40" t="n">
        <x:v>81.66</x:v>
      </x:c>
      <x:c r="I20" s="44" t="n">
        <x:f>D20*H20</x:f>
        <x:v>23844.719999999998</x:v>
      </x:c>
      <x:c r="J20" s="46" t="n">
        <x:v>15.69</x:v>
      </x:c>
      <x:c r="K20" s="47" t="n">
        <x:f>IF(J20=0,999,F20/J20)</x:f>
        <x:v>13.065646908859147</x:v>
      </x:c>
      <x:c r="L20" s="53" t="n">
        <x:v>52</x:v>
      </x:c>
      <x:c r="M20" s="53" t="n">
        <x:f>ROUNDUP(J20*SQRT(L20)*1.65,0)</x:f>
        <x:v>187</x:v>
      </x:c>
      <x:c r="N20" s="53" t="n">
        <x:f>ROUNDUP(J20*L20+M20,0)</x:f>
        <x:v>1003</x:v>
      </x:c>
      <x:c r="O20" s="42" t="str">
        <x:f>IF(F20&lt;=0,"Critical",IF(F20&lt;N20,"High",IF(F20&lt;N20*1.5,"Medium","Low")))</x:f>
        <x:v>High</x:v>
      </x:c>
      <x:c r="P20" s="53" t="n">
        <x:f>MAX(0,F20-(J20*90+M20))</x:f>
        <x:v>0</x:v>
      </x:c>
      <x:c r="Q20" s="44" t="n">
        <x:f>P20*H20</x:f>
        <x:v>0</x:v>
      </x:c>
      <x:c r="R20" s="50" t="n">
        <x:v>46018</x:v>
      </x:c>
      <x:c r="S20" s="53" t="n">
        <x:f>'Assumptions'!$B$13-R20</x:f>
        <x:v>227</x:v>
      </x:c>
      <x:c r="T20" s="42" t="str">
        <x:f>IF(S20&gt;=180,"High",IF(S20&gt;=120,"Medium","Low"))</x:f>
        <x:v>High</x:v>
      </x:c>
    </x:row>
    <x:row r="21">
      <x:c r="A21" s="14" t="str">
        <x:v>SKU-0020</x:v>
      </x:c>
      <x:c r="B21" s="14" t="str">
        <x:v>Bearings Item 020</x:v>
      </x:c>
      <x:c r="C21" s="14" t="str">
        <x:v>C</x:v>
      </x:c>
      <x:c r="D21" s="52" t="n">
        <x:v>642</x:v>
      </x:c>
      <x:c r="E21" s="52" t="n">
        <x:v>65</x:v>
      </x:c>
      <x:c r="F21" s="53" t="n">
        <x:f>D21-E21</x:f>
        <x:v>577</x:v>
      </x:c>
      <x:c r="G21" s="52" t="n">
        <x:v>99</x:v>
      </x:c>
      <x:c r="H21" s="40" t="n">
        <x:v>163.22</x:v>
      </x:c>
      <x:c r="I21" s="44" t="n">
        <x:f>D21*H21</x:f>
        <x:v>104787.24</x:v>
      </x:c>
      <x:c r="J21" s="46" t="n">
        <x:v>11.51</x:v>
      </x:c>
      <x:c r="K21" s="47" t="n">
        <x:f>IF(J21=0,999,F21/J21)</x:f>
        <x:v>50.130321459600346</x:v>
      </x:c>
      <x:c r="L21" s="53" t="n">
        <x:v>44</x:v>
      </x:c>
      <x:c r="M21" s="53" t="n">
        <x:f>ROUNDUP(J21*SQRT(L21)*1.65,0)</x:f>
        <x:v>126</x:v>
      </x:c>
      <x:c r="N21" s="53" t="n">
        <x:f>ROUNDUP(J21*L21+M21,0)</x:f>
        <x:v>633</x:v>
      </x:c>
      <x:c r="O21" s="42" t="str">
        <x:f>IF(F21&lt;=0,"Critical",IF(F21&lt;N21,"High",IF(F21&lt;N21*1.5,"Medium","Low")))</x:f>
        <x:v>High</x:v>
      </x:c>
      <x:c r="P21" s="53" t="n">
        <x:f>MAX(0,F21-(J21*90+M21))</x:f>
        <x:v>0</x:v>
      </x:c>
      <x:c r="Q21" s="44" t="n">
        <x:f>P21*H21</x:f>
        <x:v>0</x:v>
      </x:c>
      <x:c r="R21" s="50" t="n">
        <x:v>46156</x:v>
      </x:c>
      <x:c r="S21" s="53" t="n">
        <x:f>'Assumptions'!$B$13-R21</x:f>
        <x:v>89</x:v>
      </x:c>
      <x:c r="T21" s="42" t="str">
        <x:f>IF(S21&gt;=180,"High",IF(S21&gt;=120,"Medium","Low"))</x:f>
        <x:v>Low</x:v>
      </x:c>
    </x:row>
    <x:row r="22">
      <x:c r="A22" s="14" t="str">
        <x:v>SKU-0021</x:v>
      </x:c>
      <x:c r="B22" s="14" t="str">
        <x:v>Eyewear Item 021</x:v>
      </x:c>
      <x:c r="C22" s="14" t="str">
        <x:v>A</x:v>
      </x:c>
      <x:c r="D22" s="52" t="n">
        <x:v>219</x:v>
      </x:c>
      <x:c r="E22" s="52" t="n">
        <x:v>15</x:v>
      </x:c>
      <x:c r="F22" s="53" t="n">
        <x:f>D22-E22</x:f>
        <x:v>204</x:v>
      </x:c>
      <x:c r="G22" s="52" t="n">
        <x:v>513</x:v>
      </x:c>
      <x:c r="H22" s="40" t="n">
        <x:v>269.12</x:v>
      </x:c>
      <x:c r="I22" s="44" t="n">
        <x:f>D22*H22</x:f>
        <x:v>58937.28</x:v>
      </x:c>
      <x:c r="J22" s="46" t="n">
        <x:v>11.81</x:v>
      </x:c>
      <x:c r="K22" s="47" t="n">
        <x:f>IF(J22=0,999,F22/J22)</x:f>
        <x:v>17.27349703640982</x:v>
      </x:c>
      <x:c r="L22" s="53" t="n">
        <x:v>50</x:v>
      </x:c>
      <x:c r="M22" s="53" t="n">
        <x:f>ROUNDUP(J22*SQRT(L22)*1.65,0)</x:f>
        <x:v>138</x:v>
      </x:c>
      <x:c r="N22" s="53" t="n">
        <x:f>ROUNDUP(J22*L22+M22,0)</x:f>
        <x:v>729</x:v>
      </x:c>
      <x:c r="O22" s="42" t="str">
        <x:f>IF(F22&lt;=0,"Critical",IF(F22&lt;N22,"High",IF(F22&lt;N22*1.5,"Medium","Low")))</x:f>
        <x:v>High</x:v>
      </x:c>
      <x:c r="P22" s="53" t="n">
        <x:f>MAX(0,F22-(J22*90+M22))</x:f>
        <x:v>0</x:v>
      </x:c>
      <x:c r="Q22" s="44" t="n">
        <x:f>P22*H22</x:f>
        <x:v>0</x:v>
      </x:c>
      <x:c r="R22" s="50" t="n">
        <x:v>46232</x:v>
      </x:c>
      <x:c r="S22" s="53" t="n">
        <x:f>'Assumptions'!$B$13-R22</x:f>
        <x:v>13</x:v>
      </x:c>
      <x:c r="T22" s="42" t="str">
        <x:f>IF(S22&gt;=180,"High",IF(S22&gt;=120,"Medium","Low"))</x:f>
        <x:v>Low</x:v>
      </x:c>
    </x:row>
    <x:row r="23">
      <x:c r="A23" s="14" t="str">
        <x:v>SKU-0022</x:v>
      </x:c>
      <x:c r="B23" s="14" t="str">
        <x:v>Eyewear Item 022</x:v>
      </x:c>
      <x:c r="C23" s="14" t="str">
        <x:v>B</x:v>
      </x:c>
      <x:c r="D23" s="52" t="n">
        <x:v>175</x:v>
      </x:c>
      <x:c r="E23" s="52" t="n">
        <x:v>60</x:v>
      </x:c>
      <x:c r="F23" s="53" t="n">
        <x:f>D23-E23</x:f>
        <x:v>115</x:v>
      </x:c>
      <x:c r="G23" s="52" t="n">
        <x:v>175</x:v>
      </x:c>
      <x:c r="H23" s="40" t="n">
        <x:v>167.48</x:v>
      </x:c>
      <x:c r="I23" s="44" t="n">
        <x:f>D23*H23</x:f>
        <x:v>29309</x:v>
      </x:c>
      <x:c r="J23" s="46" t="n">
        <x:v>3.6</x:v>
      </x:c>
      <x:c r="K23" s="47" t="n">
        <x:f>IF(J23=0,999,F23/J23)</x:f>
        <x:v>31.944444444444443</x:v>
      </x:c>
      <x:c r="L23" s="53" t="n">
        <x:v>40</x:v>
      </x:c>
      <x:c r="M23" s="53" t="n">
        <x:f>ROUNDUP(J23*SQRT(L23)*1.65,0)</x:f>
        <x:v>38</x:v>
      </x:c>
      <x:c r="N23" s="53" t="n">
        <x:f>ROUNDUP(J23*L23+M23,0)</x:f>
        <x:v>182</x:v>
      </x:c>
      <x:c r="O23" s="42" t="str">
        <x:f>IF(F23&lt;=0,"Critical",IF(F23&lt;N23,"High",IF(F23&lt;N23*1.5,"Medium","Low")))</x:f>
        <x:v>High</x:v>
      </x:c>
      <x:c r="P23" s="53" t="n">
        <x:f>MAX(0,F23-(J23*90+M23))</x:f>
        <x:v>0</x:v>
      </x:c>
      <x:c r="Q23" s="44" t="n">
        <x:f>P23*H23</x:f>
        <x:v>0</x:v>
      </x:c>
      <x:c r="R23" s="50" t="n">
        <x:v>46212</x:v>
      </x:c>
      <x:c r="S23" s="53" t="n">
        <x:f>'Assumptions'!$B$13-R23</x:f>
        <x:v>33</x:v>
      </x:c>
      <x:c r="T23" s="42" t="str">
        <x:f>IF(S23&gt;=180,"High",IF(S23&gt;=120,"Medium","Low"))</x:f>
        <x:v>Low</x:v>
      </x:c>
    </x:row>
    <x:row r="24">
      <x:c r="A24" s="14" t="str">
        <x:v>SKU-0023</x:v>
      </x:c>
      <x:c r="B24" s="14" t="str">
        <x:v>Foam Item 023</x:v>
      </x:c>
      <x:c r="C24" s="14" t="str">
        <x:v>C</x:v>
      </x:c>
      <x:c r="D24" s="52" t="n">
        <x:v>742</x:v>
      </x:c>
      <x:c r="E24" s="52" t="n">
        <x:v>213</x:v>
      </x:c>
      <x:c r="F24" s="53" t="n">
        <x:f>D24-E24</x:f>
        <x:v>529</x:v>
      </x:c>
      <x:c r="G24" s="52" t="n">
        <x:v>530</x:v>
      </x:c>
      <x:c r="H24" s="40" t="n">
        <x:v>76.21</x:v>
      </x:c>
      <x:c r="I24" s="44" t="n">
        <x:f>D24*H24</x:f>
        <x:v>56547.81999999999</x:v>
      </x:c>
      <x:c r="J24" s="46" t="n">
        <x:v>9.91</x:v>
      </x:c>
      <x:c r="K24" s="47" t="n">
        <x:f>IF(J24=0,999,F24/J24)</x:f>
        <x:v>53.38042381432896</x:v>
      </x:c>
      <x:c r="L24" s="53" t="n">
        <x:v>55</x:v>
      </x:c>
      <x:c r="M24" s="53" t="n">
        <x:f>ROUNDUP(J24*SQRT(L24)*1.65,0)</x:f>
        <x:v>122</x:v>
      </x:c>
      <x:c r="N24" s="53" t="n">
        <x:f>ROUNDUP(J24*L24+M24,0)</x:f>
        <x:v>668</x:v>
      </x:c>
      <x:c r="O24" s="42" t="str">
        <x:f>IF(F24&lt;=0,"Critical",IF(F24&lt;N24,"High",IF(F24&lt;N24*1.5,"Medium","Low")))</x:f>
        <x:v>High</x:v>
      </x:c>
      <x:c r="P24" s="53" t="n">
        <x:f>MAX(0,F24-(J24*90+M24))</x:f>
        <x:v>0</x:v>
      </x:c>
      <x:c r="Q24" s="44" t="n">
        <x:f>P24*H24</x:f>
        <x:v>0</x:v>
      </x:c>
      <x:c r="R24" s="50" t="n">
        <x:v>46208</x:v>
      </x:c>
      <x:c r="S24" s="53" t="n">
        <x:f>'Assumptions'!$B$13-R24</x:f>
        <x:v>37</x:v>
      </x:c>
      <x:c r="T24" s="42" t="str">
        <x:f>IF(S24&gt;=180,"High",IF(S24&gt;=120,"Medium","Low"))</x:f>
        <x:v>Low</x:v>
      </x:c>
    </x:row>
    <x:row r="25">
      <x:c r="A25" s="14" t="str">
        <x:v>SKU-0024</x:v>
      </x:c>
      <x:c r="B25" s="14" t="str">
        <x:v>Gloves Item 024</x:v>
      </x:c>
      <x:c r="C25" s="14" t="str">
        <x:v>A</x:v>
      </x:c>
      <x:c r="D25" s="52" t="n">
        <x:v>169</x:v>
      </x:c>
      <x:c r="E25" s="52" t="n">
        <x:v>51</x:v>
      </x:c>
      <x:c r="F25" s="53" t="n">
        <x:f>D25-E25</x:f>
        <x:v>118</x:v>
      </x:c>
      <x:c r="G25" s="52" t="n">
        <x:v>0</x:v>
      </x:c>
      <x:c r="H25" s="40" t="n">
        <x:v>151.69</x:v>
      </x:c>
      <x:c r="I25" s="44" t="n">
        <x:f>D25*H25</x:f>
        <x:v>25635.61</x:v>
      </x:c>
      <x:c r="J25" s="46" t="n">
        <x:v>4.48</x:v>
      </x:c>
      <x:c r="K25" s="47" t="n">
        <x:f>IF(J25=0,999,F25/J25)</x:f>
        <x:v>26.33928571428571</x:v>
      </x:c>
      <x:c r="L25" s="53" t="n">
        <x:v>22</x:v>
      </x:c>
      <x:c r="M25" s="53" t="n">
        <x:f>ROUNDUP(J25*SQRT(L25)*1.65,0)</x:f>
        <x:v>35</x:v>
      </x:c>
      <x:c r="N25" s="53" t="n">
        <x:f>ROUNDUP(J25*L25+M25,0)</x:f>
        <x:v>134</x:v>
      </x:c>
      <x:c r="O25" s="42" t="str">
        <x:f>IF(F25&lt;=0,"Critical",IF(F25&lt;N25,"High",IF(F25&lt;N25*1.5,"Medium","Low")))</x:f>
        <x:v>High</x:v>
      </x:c>
      <x:c r="P25" s="53" t="n">
        <x:f>MAX(0,F25-(J25*90+M25))</x:f>
        <x:v>0</x:v>
      </x:c>
      <x:c r="Q25" s="44" t="n">
        <x:f>P25*H25</x:f>
        <x:v>0</x:v>
      </x:c>
      <x:c r="R25" s="50" t="n">
        <x:v>45945</x:v>
      </x:c>
      <x:c r="S25" s="53" t="n">
        <x:f>'Assumptions'!$B$13-R25</x:f>
        <x:v>300</x:v>
      </x:c>
      <x:c r="T25" s="42" t="str">
        <x:f>IF(S25&gt;=180,"High",IF(S25&gt;=120,"Medium","Low"))</x:f>
        <x:v>High</x:v>
      </x:c>
    </x:row>
    <x:row r="26">
      <x:c r="A26" s="14" t="str">
        <x:v>SKU-0025</x:v>
      </x:c>
      <x:c r="B26" s="14" t="str">
        <x:v>Accessories Item 025</x:v>
      </x:c>
      <x:c r="C26" s="14" t="str">
        <x:v>B</x:v>
      </x:c>
      <x:c r="D26" s="52" t="n">
        <x:v>26</x:v>
      </x:c>
      <x:c r="E26" s="52" t="n">
        <x:v>1</x:v>
      </x:c>
      <x:c r="F26" s="53" t="n">
        <x:f>D26-E26</x:f>
        <x:v>25</x:v>
      </x:c>
      <x:c r="G26" s="52" t="n">
        <x:v>18</x:v>
      </x:c>
      <x:c r="H26" s="40" t="n">
        <x:v>275.52</x:v>
      </x:c>
      <x:c r="I26" s="44" t="n">
        <x:f>D26*H26</x:f>
        <x:v>7163.5199999999995</x:v>
      </x:c>
      <x:c r="J26" s="46" t="n">
        <x:v>2.07</x:v>
      </x:c>
      <x:c r="K26" s="47" t="n">
        <x:f>IF(J26=0,999,F26/J26)</x:f>
        <x:v>12.077294685990339</x:v>
      </x:c>
      <x:c r="L26" s="53" t="n">
        <x:v>26</x:v>
      </x:c>
      <x:c r="M26" s="53" t="n">
        <x:f>ROUNDUP(J26*SQRT(L26)*1.65,0)</x:f>
        <x:v>18</x:v>
      </x:c>
      <x:c r="N26" s="53" t="n">
        <x:f>ROUNDUP(J26*L26+M26,0)</x:f>
        <x:v>72</x:v>
      </x:c>
      <x:c r="O26" s="42" t="str">
        <x:f>IF(F26&lt;=0,"Critical",IF(F26&lt;N26,"High",IF(F26&lt;N26*1.5,"Medium","Low")))</x:f>
        <x:v>High</x:v>
      </x:c>
      <x:c r="P26" s="53" t="n">
        <x:f>MAX(0,F26-(J26*90+M26))</x:f>
        <x:v>0</x:v>
      </x:c>
      <x:c r="Q26" s="44" t="n">
        <x:f>P26*H26</x:f>
        <x:v>0</x:v>
      </x:c>
      <x:c r="R26" s="50" t="n">
        <x:v>46080</x:v>
      </x:c>
      <x:c r="S26" s="53" t="n">
        <x:f>'Assumptions'!$B$13-R26</x:f>
        <x:v>165</x:v>
      </x:c>
      <x:c r="T26" s="42" t="str">
        <x:f>IF(S26&gt;=180,"High",IF(S26&gt;=120,"Medium","Low"))</x:f>
        <x:v>Medium</x:v>
      </x:c>
    </x:row>
    <x:row r="27">
      <x:c r="A27" s="14" t="str">
        <x:v>SKU-0026</x:v>
      </x:c>
      <x:c r="B27" s="14" t="str">
        <x:v>Foam Item 026</x:v>
      </x:c>
      <x:c r="C27" s="14" t="str">
        <x:v>A</x:v>
      </x:c>
      <x:c r="D27" s="52" t="n">
        <x:v>1019</x:v>
      </x:c>
      <x:c r="E27" s="52" t="n">
        <x:v>185</x:v>
      </x:c>
      <x:c r="F27" s="53" t="n">
        <x:f>D27-E27</x:f>
        <x:v>834</x:v>
      </x:c>
      <x:c r="G27" s="52" t="n">
        <x:v>48</x:v>
      </x:c>
      <x:c r="H27" s="40" t="n">
        <x:v>249.4</x:v>
      </x:c>
      <x:c r="I27" s="44" t="n">
        <x:f>D27*H27</x:f>
        <x:v>254138.6</x:v>
      </x:c>
      <x:c r="J27" s="46" t="n">
        <x:v>11.27</x:v>
      </x:c>
      <x:c r="K27" s="47" t="n">
        <x:f>IF(J27=0,999,F27/J27)</x:f>
        <x:v>74.00177462289264</x:v>
      </x:c>
      <x:c r="L27" s="53" t="n">
        <x:v>20</x:v>
      </x:c>
      <x:c r="M27" s="53" t="n">
        <x:f>ROUNDUP(J27*SQRT(L27)*1.65,0)</x:f>
        <x:v>84</x:v>
      </x:c>
      <x:c r="N27" s="53" t="n">
        <x:f>ROUNDUP(J27*L27+M27,0)</x:f>
        <x:v>310</x:v>
      </x:c>
      <x:c r="O27" s="42" t="str">
        <x:f>IF(F27&lt;=0,"Critical",IF(F27&lt;N27,"High",IF(F27&lt;N27*1.5,"Medium","Low")))</x:f>
        <x:v>Low</x:v>
      </x:c>
      <x:c r="P27" s="53" t="n">
        <x:f>MAX(0,F27-(J27*90+M27))</x:f>
        <x:v>0</x:v>
      </x:c>
      <x:c r="Q27" s="44" t="n">
        <x:f>P27*H27</x:f>
        <x:v>0</x:v>
      </x:c>
      <x:c r="R27" s="50" t="n">
        <x:v>46145</x:v>
      </x:c>
      <x:c r="S27" s="53" t="n">
        <x:f>'Assumptions'!$B$13-R27</x:f>
        <x:v>100</x:v>
      </x:c>
      <x:c r="T27" s="42" t="str">
        <x:f>IF(S27&gt;=180,"High",IF(S27&gt;=120,"Medium","Low"))</x:f>
        <x:v>Low</x:v>
      </x:c>
    </x:row>
    <x:row r="28">
      <x:c r="A28" s="14" t="str">
        <x:v>SKU-0027</x:v>
      </x:c>
      <x:c r="B28" s="14" t="str">
        <x:v>Cleaning Item 027</x:v>
      </x:c>
      <x:c r="C28" s="14" t="str">
        <x:v>C</x:v>
      </x:c>
      <x:c r="D28" s="52" t="n">
        <x:v>152</x:v>
      </x:c>
      <x:c r="E28" s="52" t="n">
        <x:v>16</x:v>
      </x:c>
      <x:c r="F28" s="53" t="n">
        <x:f>D28-E28</x:f>
        <x:v>136</x:v>
      </x:c>
      <x:c r="G28" s="52" t="n">
        <x:v>222</x:v>
      </x:c>
      <x:c r="H28" s="40" t="n">
        <x:v>138.07</x:v>
      </x:c>
      <x:c r="I28" s="44" t="n">
        <x:f>D28*H28</x:f>
        <x:v>20986.64</x:v>
      </x:c>
      <x:c r="J28" s="46" t="n">
        <x:v>8.06</x:v>
      </x:c>
      <x:c r="K28" s="47" t="n">
        <x:f>IF(J28=0,999,F28/J28)</x:f>
        <x:v>16.873449131513645</x:v>
      </x:c>
      <x:c r="L28" s="53" t="n">
        <x:v>34</x:v>
      </x:c>
      <x:c r="M28" s="53" t="n">
        <x:f>ROUNDUP(J28*SQRT(L28)*1.65,0)</x:f>
        <x:v>78</x:v>
      </x:c>
      <x:c r="N28" s="53" t="n">
        <x:f>ROUNDUP(J28*L28+M28,0)</x:f>
        <x:v>353</x:v>
      </x:c>
      <x:c r="O28" s="42" t="str">
        <x:f>IF(F28&lt;=0,"Critical",IF(F28&lt;N28,"High",IF(F28&lt;N28*1.5,"Medium","Low")))</x:f>
        <x:v>High</x:v>
      </x:c>
      <x:c r="P28" s="53" t="n">
        <x:f>MAX(0,F28-(J28*90+M28))</x:f>
        <x:v>0</x:v>
      </x:c>
      <x:c r="Q28" s="44" t="n">
        <x:f>P28*H28</x:f>
        <x:v>0</x:v>
      </x:c>
      <x:c r="R28" s="50" t="n">
        <x:v>46159</x:v>
      </x:c>
      <x:c r="S28" s="53" t="n">
        <x:f>'Assumptions'!$B$13-R28</x:f>
        <x:v>86</x:v>
      </x:c>
      <x:c r="T28" s="42" t="str">
        <x:f>IF(S28&gt;=180,"High",IF(S28&gt;=120,"Medium","Low"))</x:f>
        <x:v>Low</x:v>
      </x:c>
    </x:row>
    <x:row r="29">
      <x:c r="A29" s="14" t="str">
        <x:v>SKU-0028</x:v>
      </x:c>
      <x:c r="B29" s="14" t="str">
        <x:v>Bearings Item 028</x:v>
      </x:c>
      <x:c r="C29" s="14" t="str">
        <x:v>B</x:v>
      </x:c>
      <x:c r="D29" s="52" t="n">
        <x:v>166</x:v>
      </x:c>
      <x:c r="E29" s="52" t="n">
        <x:v>36</x:v>
      </x:c>
      <x:c r="F29" s="53" t="n">
        <x:f>D29-E29</x:f>
        <x:v>130</x:v>
      </x:c>
      <x:c r="G29" s="52" t="n">
        <x:v>0</x:v>
      </x:c>
      <x:c r="H29" s="40" t="n">
        <x:v>274.39</x:v>
      </x:c>
      <x:c r="I29" s="44" t="n">
        <x:f>D29*H29</x:f>
        <x:v>45548.74</x:v>
      </x:c>
      <x:c r="J29" s="46" t="n">
        <x:v>7.25</x:v>
      </x:c>
      <x:c r="K29" s="47" t="n">
        <x:f>IF(J29=0,999,F29/J29)</x:f>
        <x:v>17.93103448275862</x:v>
      </x:c>
      <x:c r="L29" s="53" t="n">
        <x:v>42</x:v>
      </x:c>
      <x:c r="M29" s="53" t="n">
        <x:f>ROUNDUP(J29*SQRT(L29)*1.65,0)</x:f>
        <x:v>78</x:v>
      </x:c>
      <x:c r="N29" s="53" t="n">
        <x:f>ROUNDUP(J29*L29+M29,0)</x:f>
        <x:v>383</x:v>
      </x:c>
      <x:c r="O29" s="42" t="str">
        <x:f>IF(F29&lt;=0,"Critical",IF(F29&lt;N29,"High",IF(F29&lt;N29*1.5,"Medium","Low")))</x:f>
        <x:v>High</x:v>
      </x:c>
      <x:c r="P29" s="53" t="n">
        <x:f>MAX(0,F29-(J29*90+M29))</x:f>
        <x:v>0</x:v>
      </x:c>
      <x:c r="Q29" s="44" t="n">
        <x:f>P29*H29</x:f>
        <x:v>0</x:v>
      </x:c>
      <x:c r="R29" s="50" t="n">
        <x:v>46073</x:v>
      </x:c>
      <x:c r="S29" s="53" t="n">
        <x:f>'Assumptions'!$B$13-R29</x:f>
        <x:v>172</x:v>
      </x:c>
      <x:c r="T29" s="42" t="str">
        <x:f>IF(S29&gt;=180,"High",IF(S29&gt;=120,"Medium","Low"))</x:f>
        <x:v>Medium</x:v>
      </x:c>
    </x:row>
    <x:row r="30">
      <x:c r="A30" s="14" t="str">
        <x:v>SKU-0029</x:v>
      </x:c>
      <x:c r="B30" s="14" t="str">
        <x:v>Filters Item 029</x:v>
      </x:c>
      <x:c r="C30" s="14" t="str">
        <x:v>C</x:v>
      </x:c>
      <x:c r="D30" s="52" t="n">
        <x:v>1199</x:v>
      </x:c>
      <x:c r="E30" s="52" t="n">
        <x:v>11</x:v>
      </x:c>
      <x:c r="F30" s="53" t="n">
        <x:f>D30-E30</x:f>
        <x:v>1188</x:v>
      </x:c>
      <x:c r="G30" s="52" t="n">
        <x:v>530</x:v>
      </x:c>
      <x:c r="H30" s="40" t="n">
        <x:v>12.5</x:v>
      </x:c>
      <x:c r="I30" s="44" t="n">
        <x:f>D30*H30</x:f>
        <x:v>14987.5</x:v>
      </x:c>
      <x:c r="J30" s="46" t="n">
        <x:v>15.03</x:v>
      </x:c>
      <x:c r="K30" s="47" t="n">
        <x:f>IF(J30=0,999,F30/J30)</x:f>
        <x:v>79.04191616766468</x:v>
      </x:c>
      <x:c r="L30" s="53" t="n">
        <x:v>9</x:v>
      </x:c>
      <x:c r="M30" s="53" t="n">
        <x:f>ROUNDUP(J30*SQRT(L30)*1.65,0)</x:f>
        <x:v>75</x:v>
      </x:c>
      <x:c r="N30" s="53" t="n">
        <x:f>ROUNDUP(J30*L30+M30,0)</x:f>
        <x:v>211</x:v>
      </x:c>
      <x:c r="O30" s="42" t="str">
        <x:f>IF(F30&lt;=0,"Critical",IF(F30&lt;N30,"High",IF(F30&lt;N30*1.5,"Medium","Low")))</x:f>
        <x:v>Low</x:v>
      </x:c>
      <x:c r="P30" s="53" t="n">
        <x:f>MAX(0,F30-(J30*90+M30))</x:f>
        <x:v>0</x:v>
      </x:c>
      <x:c r="Q30" s="44" t="n">
        <x:f>P30*H30</x:f>
        <x:v>0</x:v>
      </x:c>
      <x:c r="R30" s="50" t="n">
        <x:v>45950</x:v>
      </x:c>
      <x:c r="S30" s="53" t="n">
        <x:f>'Assumptions'!$B$13-R30</x:f>
        <x:v>295</x:v>
      </x:c>
      <x:c r="T30" s="42" t="str">
        <x:f>IF(S30&gt;=180,"High",IF(S30&gt;=120,"Medium","Low"))</x:f>
        <x:v>High</x:v>
      </x:c>
    </x:row>
    <x:row r="31">
      <x:c r="A31" s="14" t="str">
        <x:v>SKU-0030</x:v>
      </x:c>
      <x:c r="B31" s="14" t="str">
        <x:v>Power Item 030</x:v>
      </x:c>
      <x:c r="C31" s="14" t="str">
        <x:v>B</x:v>
      </x:c>
      <x:c r="D31" s="52" t="n">
        <x:v>215</x:v>
      </x:c>
      <x:c r="E31" s="52" t="n">
        <x:v>46</x:v>
      </x:c>
      <x:c r="F31" s="53" t="n">
        <x:f>D31-E31</x:f>
        <x:v>169</x:v>
      </x:c>
      <x:c r="G31" s="52" t="n">
        <x:v>182</x:v>
      </x:c>
      <x:c r="H31" s="40" t="n">
        <x:v>191.77</x:v>
      </x:c>
      <x:c r="I31" s="44" t="n">
        <x:f>D31*H31</x:f>
        <x:v>41230.55</x:v>
      </x:c>
      <x:c r="J31" s="46" t="n">
        <x:v>3.73</x:v>
      </x:c>
      <x:c r="K31" s="47" t="n">
        <x:f>IF(J31=0,999,F31/J31)</x:f>
        <x:v>45.30831099195711</x:v>
      </x:c>
      <x:c r="L31" s="53" t="n">
        <x:v>46</x:v>
      </x:c>
      <x:c r="M31" s="53" t="n">
        <x:f>ROUNDUP(J31*SQRT(L31)*1.65,0)</x:f>
        <x:v>42</x:v>
      </x:c>
      <x:c r="N31" s="53" t="n">
        <x:f>ROUNDUP(J31*L31+M31,0)</x:f>
        <x:v>214</x:v>
      </x:c>
      <x:c r="O31" s="42" t="str">
        <x:f>IF(F31&lt;=0,"Critical",IF(F31&lt;N31,"High",IF(F31&lt;N31*1.5,"Medium","Low")))</x:f>
        <x:v>High</x:v>
      </x:c>
      <x:c r="P31" s="53" t="n">
        <x:f>MAX(0,F31-(J31*90+M31))</x:f>
        <x:v>0</x:v>
      </x:c>
      <x:c r="Q31" s="44" t="n">
        <x:f>P31*H31</x:f>
        <x:v>0</x:v>
      </x:c>
      <x:c r="R31" s="50" t="n">
        <x:v>45966</x:v>
      </x:c>
      <x:c r="S31" s="53" t="n">
        <x:f>'Assumptions'!$B$13-R31</x:f>
        <x:v>279</x:v>
      </x:c>
      <x:c r="T31" s="42" t="str">
        <x:f>IF(S31&gt;=180,"High",IF(S31&gt;=120,"Medium","Low"))</x:f>
        <x:v>High</x:v>
      </x:c>
    </x:row>
    <x:row r="32">
      <x:c r="A32" s="14" t="str">
        <x:v>SKU-0031</x:v>
      </x:c>
      <x:c r="B32" s="14" t="str">
        <x:v>Labels Item 031</x:v>
      </x:c>
      <x:c r="C32" s="14" t="str">
        <x:v>C</x:v>
      </x:c>
      <x:c r="D32" s="52" t="n">
        <x:v>330</x:v>
      </x:c>
      <x:c r="E32" s="52" t="n">
        <x:v>34</x:v>
      </x:c>
      <x:c r="F32" s="53" t="n">
        <x:f>D32-E32</x:f>
        <x:v>296</x:v>
      </x:c>
      <x:c r="G32" s="52" t="n">
        <x:v>16</x:v>
      </x:c>
      <x:c r="H32" s="40" t="n">
        <x:v>247.09</x:v>
      </x:c>
      <x:c r="I32" s="44" t="n">
        <x:f>D32*H32</x:f>
        <x:v>81539.7</x:v>
      </x:c>
      <x:c r="J32" s="46" t="n">
        <x:v>4.89</x:v>
      </x:c>
      <x:c r="K32" s="47" t="n">
        <x:f>IF(J32=0,999,F32/J32)</x:f>
        <x:v>60.53169734151329</x:v>
      </x:c>
      <x:c r="L32" s="53" t="n">
        <x:v>58</x:v>
      </x:c>
      <x:c r="M32" s="53" t="n">
        <x:f>ROUNDUP(J32*SQRT(L32)*1.65,0)</x:f>
        <x:v>62</x:v>
      </x:c>
      <x:c r="N32" s="53" t="n">
        <x:f>ROUNDUP(J32*L32+M32,0)</x:f>
        <x:v>346</x:v>
      </x:c>
      <x:c r="O32" s="42" t="str">
        <x:f>IF(F32&lt;=0,"Critical",IF(F32&lt;N32,"High",IF(F32&lt;N32*1.5,"Medium","Low")))</x:f>
        <x:v>High</x:v>
      </x:c>
      <x:c r="P32" s="53" t="n">
        <x:f>MAX(0,F32-(J32*90+M32))</x:f>
        <x:v>0</x:v>
      </x:c>
      <x:c r="Q32" s="44" t="n">
        <x:f>P32*H32</x:f>
        <x:v>0</x:v>
      </x:c>
      <x:c r="R32" s="50" t="n">
        <x:v>46020</x:v>
      </x:c>
      <x:c r="S32" s="53" t="n">
        <x:f>'Assumptions'!$B$13-R32</x:f>
        <x:v>225</x:v>
      </x:c>
      <x:c r="T32" s="42" t="str">
        <x:f>IF(S32&gt;=180,"High",IF(S32&gt;=120,"Medium","Low"))</x:f>
        <x:v>High</x:v>
      </x:c>
    </x:row>
    <x:row r="33">
      <x:c r="A33" s="14" t="str">
        <x:v>SKU-0032</x:v>
      </x:c>
      <x:c r="B33" s="14" t="str">
        <x:v>Foam Item 032</x:v>
      </x:c>
      <x:c r="C33" s="14" t="str">
        <x:v>C</x:v>
      </x:c>
      <x:c r="D33" s="52" t="n">
        <x:v>168</x:v>
      </x:c>
      <x:c r="E33" s="52" t="n">
        <x:v>8</x:v>
      </x:c>
      <x:c r="F33" s="53" t="n">
        <x:f>D33-E33</x:f>
        <x:v>160</x:v>
      </x:c>
      <x:c r="G33" s="52" t="n">
        <x:v>0</x:v>
      </x:c>
      <x:c r="H33" s="40" t="n">
        <x:v>221</x:v>
      </x:c>
      <x:c r="I33" s="44" t="n">
        <x:f>D33*H33</x:f>
        <x:v>37128</x:v>
      </x:c>
      <x:c r="J33" s="46" t="n">
        <x:v>4.47</x:v>
      </x:c>
      <x:c r="K33" s="47" t="n">
        <x:f>IF(J33=0,999,F33/J33)</x:f>
        <x:v>35.79418344519016</x:v>
      </x:c>
      <x:c r="L33" s="53" t="n">
        <x:v>19</x:v>
      </x:c>
      <x:c r="M33" s="53" t="n">
        <x:f>ROUNDUP(J33*SQRT(L33)*1.65,0)</x:f>
        <x:v>33</x:v>
      </x:c>
      <x:c r="N33" s="53" t="n">
        <x:f>ROUNDUP(J33*L33+M33,0)</x:f>
        <x:v>118</x:v>
      </x:c>
      <x:c r="O33" s="42" t="str">
        <x:f>IF(F33&lt;=0,"Critical",IF(F33&lt;N33,"High",IF(F33&lt;N33*1.5,"Medium","Low")))</x:f>
        <x:v>Medium</x:v>
      </x:c>
      <x:c r="P33" s="53" t="n">
        <x:f>MAX(0,F33-(J33*90+M33))</x:f>
        <x:v>0</x:v>
      </x:c>
      <x:c r="Q33" s="44" t="n">
        <x:f>P33*H33</x:f>
        <x:v>0</x:v>
      </x:c>
      <x:c r="R33" s="50" t="n">
        <x:v>46082</x:v>
      </x:c>
      <x:c r="S33" s="53" t="n">
        <x:f>'Assumptions'!$B$13-R33</x:f>
        <x:v>163</x:v>
      </x:c>
      <x:c r="T33" s="42" t="str">
        <x:f>IF(S33&gt;=180,"High",IF(S33&gt;=120,"Medium","Low"))</x:f>
        <x:v>Medium</x:v>
      </x:c>
    </x:row>
    <x:row r="34">
      <x:c r="A34" s="14" t="str">
        <x:v>SKU-0033</x:v>
      </x:c>
      <x:c r="B34" s="14" t="str">
        <x:v>Labels Item 033</x:v>
      </x:c>
      <x:c r="C34" s="14" t="str">
        <x:v>B</x:v>
      </x:c>
      <x:c r="D34" s="52" t="n">
        <x:v>133</x:v>
      </x:c>
      <x:c r="E34" s="52" t="n">
        <x:v>21</x:v>
      </x:c>
      <x:c r="F34" s="53" t="n">
        <x:f>D34-E34</x:f>
        <x:v>112</x:v>
      </x:c>
      <x:c r="G34" s="52" t="n">
        <x:v>51</x:v>
      </x:c>
      <x:c r="H34" s="40" t="n">
        <x:v>185.66</x:v>
      </x:c>
      <x:c r="I34" s="44" t="n">
        <x:f>D34*H34</x:f>
        <x:v>24692.78</x:v>
      </x:c>
      <x:c r="J34" s="46" t="n">
        <x:v>3.74</x:v>
      </x:c>
      <x:c r="K34" s="47" t="n">
        <x:f>IF(J34=0,999,F34/J34)</x:f>
        <x:v>29.946524064171122</x:v>
      </x:c>
      <x:c r="L34" s="53" t="n">
        <x:v>29</x:v>
      </x:c>
      <x:c r="M34" s="53" t="n">
        <x:f>ROUNDUP(J34*SQRT(L34)*1.65,0)</x:f>
        <x:v>34</x:v>
      </x:c>
      <x:c r="N34" s="53" t="n">
        <x:f>ROUNDUP(J34*L34+M34,0)</x:f>
        <x:v>143</x:v>
      </x:c>
      <x:c r="O34" s="42" t="str">
        <x:f>IF(F34&lt;=0,"Critical",IF(F34&lt;N34,"High",IF(F34&lt;N34*1.5,"Medium","Low")))</x:f>
        <x:v>High</x:v>
      </x:c>
      <x:c r="P34" s="53" t="n">
        <x:f>MAX(0,F34-(J34*90+M34))</x:f>
        <x:v>0</x:v>
      </x:c>
      <x:c r="Q34" s="44" t="n">
        <x:f>P34*H34</x:f>
        <x:v>0</x:v>
      </x:c>
      <x:c r="R34" s="50" t="n">
        <x:v>46196</x:v>
      </x:c>
      <x:c r="S34" s="53" t="n">
        <x:f>'Assumptions'!$B$13-R34</x:f>
        <x:v>49</x:v>
      </x:c>
      <x:c r="T34" s="42" t="str">
        <x:f>IF(S34&gt;=180,"High",IF(S34&gt;=120,"Medium","Low"))</x:f>
        <x:v>Low</x:v>
      </x:c>
    </x:row>
    <x:row r="35">
      <x:c r="A35" s="14" t="str">
        <x:v>SKU-0034</x:v>
      </x:c>
      <x:c r="B35" s="14" t="str">
        <x:v>Cleaning Item 034</x:v>
      </x:c>
      <x:c r="C35" s="14" t="str">
        <x:v>A</x:v>
      </x:c>
      <x:c r="D35" s="52" t="n">
        <x:v>1123</x:v>
      </x:c>
      <x:c r="E35" s="52" t="n">
        <x:v>354</x:v>
      </x:c>
      <x:c r="F35" s="53" t="n">
        <x:f>D35-E35</x:f>
        <x:v>769</x:v>
      </x:c>
      <x:c r="G35" s="52" t="n">
        <x:v>0</x:v>
      </x:c>
      <x:c r="H35" s="40" t="n">
        <x:v>34.51</x:v>
      </x:c>
      <x:c r="I35" s="44" t="n">
        <x:f>D35*H35</x:f>
        <x:v>38754.729999999996</x:v>
      </x:c>
      <x:c r="J35" s="46" t="n">
        <x:v>12.25</x:v>
      </x:c>
      <x:c r="K35" s="47" t="n">
        <x:f>IF(J35=0,999,F35/J35)</x:f>
        <x:v>62.775510204081634</x:v>
      </x:c>
      <x:c r="L35" s="53" t="n">
        <x:v>13</x:v>
      </x:c>
      <x:c r="M35" s="53" t="n">
        <x:f>ROUNDUP(J35*SQRT(L35)*1.65,0)</x:f>
        <x:v>73</x:v>
      </x:c>
      <x:c r="N35" s="53" t="n">
        <x:f>ROUNDUP(J35*L35+M35,0)</x:f>
        <x:v>233</x:v>
      </x:c>
      <x:c r="O35" s="42" t="str">
        <x:f>IF(F35&lt;=0,"Critical",IF(F35&lt;N35,"High",IF(F35&lt;N35*1.5,"Medium","Low")))</x:f>
        <x:v>Low</x:v>
      </x:c>
      <x:c r="P35" s="53" t="n">
        <x:f>MAX(0,F35-(J35*90+M35))</x:f>
        <x:v>0</x:v>
      </x:c>
      <x:c r="Q35" s="44" t="n">
        <x:f>P35*H35</x:f>
        <x:v>0</x:v>
      </x:c>
      <x:c r="R35" s="50" t="n">
        <x:v>45950</x:v>
      </x:c>
      <x:c r="S35" s="53" t="n">
        <x:f>'Assumptions'!$B$13-R35</x:f>
        <x:v>295</x:v>
      </x:c>
      <x:c r="T35" s="42" t="str">
        <x:f>IF(S35&gt;=180,"High",IF(S35&gt;=120,"Medium","Low"))</x:f>
        <x:v>High</x:v>
      </x:c>
    </x:row>
    <x:row r="36">
      <x:c r="A36" s="14" t="str">
        <x:v>SKU-0035</x:v>
      </x:c>
      <x:c r="B36" s="14" t="str">
        <x:v>Cleaning Item 035</x:v>
      </x:c>
      <x:c r="C36" s="14" t="str">
        <x:v>B</x:v>
      </x:c>
      <x:c r="D36" s="52" t="n">
        <x:v>170</x:v>
      </x:c>
      <x:c r="E36" s="52" t="n">
        <x:v>59</x:v>
      </x:c>
      <x:c r="F36" s="53" t="n">
        <x:f>D36-E36</x:f>
        <x:v>111</x:v>
      </x:c>
      <x:c r="G36" s="52" t="n">
        <x:v>376</x:v>
      </x:c>
      <x:c r="H36" s="40" t="n">
        <x:v>170.72</x:v>
      </x:c>
      <x:c r="I36" s="44" t="n">
        <x:f>D36*H36</x:f>
        <x:v>29022.4</x:v>
      </x:c>
      <x:c r="J36" s="46" t="n">
        <x:v>7.78</x:v>
      </x:c>
      <x:c r="K36" s="47" t="n">
        <x:f>IF(J36=0,999,F36/J36)</x:f>
        <x:v>14.267352185089974</x:v>
      </x:c>
      <x:c r="L36" s="53" t="n">
        <x:v>23</x:v>
      </x:c>
      <x:c r="M36" s="53" t="n">
        <x:f>ROUNDUP(J36*SQRT(L36)*1.65,0)</x:f>
        <x:v>62</x:v>
      </x:c>
      <x:c r="N36" s="53" t="n">
        <x:f>ROUNDUP(J36*L36+M36,0)</x:f>
        <x:v>241</x:v>
      </x:c>
      <x:c r="O36" s="42" t="str">
        <x:f>IF(F36&lt;=0,"Critical",IF(F36&lt;N36,"High",IF(F36&lt;N36*1.5,"Medium","Low")))</x:f>
        <x:v>High</x:v>
      </x:c>
      <x:c r="P36" s="53" t="n">
        <x:f>MAX(0,F36-(J36*90+M36))</x:f>
        <x:v>0</x:v>
      </x:c>
      <x:c r="Q36" s="44" t="n">
        <x:f>P36*H36</x:f>
        <x:v>0</x:v>
      </x:c>
      <x:c r="R36" s="50" t="n">
        <x:v>45991</x:v>
      </x:c>
      <x:c r="S36" s="53" t="n">
        <x:f>'Assumptions'!$B$13-R36</x:f>
        <x:v>254</x:v>
      </x:c>
      <x:c r="T36" s="42" t="str">
        <x:f>IF(S36&gt;=180,"High",IF(S36&gt;=120,"Medium","Low"))</x:f>
        <x:v>High</x:v>
      </x:c>
    </x:row>
    <x:row r="37">
      <x:c r="A37" s="14" t="str">
        <x:v>SKU-0036</x:v>
      </x:c>
      <x:c r="B37" s="14" t="str">
        <x:v>Cables Item 036</x:v>
      </x:c>
      <x:c r="C37" s="14" t="str">
        <x:v>C</x:v>
      </x:c>
      <x:c r="D37" s="52" t="n">
        <x:v>180</x:v>
      </x:c>
      <x:c r="E37" s="52" t="n">
        <x:v>22</x:v>
      </x:c>
      <x:c r="F37" s="53" t="n">
        <x:f>D37-E37</x:f>
        <x:v>158</x:v>
      </x:c>
      <x:c r="G37" s="52" t="n">
        <x:v>183</x:v>
      </x:c>
      <x:c r="H37" s="40" t="n">
        <x:v>122.19</x:v>
      </x:c>
      <x:c r="I37" s="44" t="n">
        <x:f>D37*H37</x:f>
        <x:v>21994.2</x:v>
      </x:c>
      <x:c r="J37" s="46" t="n">
        <x:v>6.75</x:v>
      </x:c>
      <x:c r="K37" s="47" t="n">
        <x:f>IF(J37=0,999,F37/J37)</x:f>
        <x:v>23.40740740740741</x:v>
      </x:c>
      <x:c r="L37" s="53" t="n">
        <x:v>49</x:v>
      </x:c>
      <x:c r="M37" s="53" t="n">
        <x:f>ROUNDUP(J37*SQRT(L37)*1.65,0)</x:f>
        <x:v>78</x:v>
      </x:c>
      <x:c r="N37" s="53" t="n">
        <x:f>ROUNDUP(J37*L37+M37,0)</x:f>
        <x:v>409</x:v>
      </x:c>
      <x:c r="O37" s="42" t="str">
        <x:f>IF(F37&lt;=0,"Critical",IF(F37&lt;N37,"High",IF(F37&lt;N37*1.5,"Medium","Low")))</x:f>
        <x:v>High</x:v>
      </x:c>
      <x:c r="P37" s="53" t="n">
        <x:f>MAX(0,F37-(J37*90+M37))</x:f>
        <x:v>0</x:v>
      </x:c>
      <x:c r="Q37" s="44" t="n">
        <x:f>P37*H37</x:f>
        <x:v>0</x:v>
      </x:c>
      <x:c r="R37" s="50" t="n">
        <x:v>46005</x:v>
      </x:c>
      <x:c r="S37" s="53" t="n">
        <x:f>'Assumptions'!$B$13-R37</x:f>
        <x:v>240</x:v>
      </x:c>
      <x:c r="T37" s="42" t="str">
        <x:f>IF(S37&gt;=180,"High",IF(S37&gt;=120,"Medium","Low"))</x:f>
        <x:v>High</x:v>
      </x:c>
    </x:row>
    <x:row r="38">
      <x:c r="A38" s="14" t="str">
        <x:v>SKU-0037</x:v>
      </x:c>
      <x:c r="B38" s="14" t="str">
        <x:v>Gears Item 037</x:v>
      </x:c>
      <x:c r="C38" s="14" t="str">
        <x:v>B</x:v>
      </x:c>
      <x:c r="D38" s="52" t="n">
        <x:v>146</x:v>
      </x:c>
      <x:c r="E38" s="52" t="n">
        <x:v>2</x:v>
      </x:c>
      <x:c r="F38" s="53" t="n">
        <x:f>D38-E38</x:f>
        <x:v>144</x:v>
      </x:c>
      <x:c r="G38" s="52" t="n">
        <x:v>104</x:v>
      </x:c>
      <x:c r="H38" s="40" t="n">
        <x:v>115.83</x:v>
      </x:c>
      <x:c r="I38" s="44" t="n">
        <x:f>D38*H38</x:f>
        <x:v>16911.18</x:v>
      </x:c>
      <x:c r="J38" s="46" t="n">
        <x:v>3.39</x:v>
      </x:c>
      <x:c r="K38" s="47" t="n">
        <x:f>IF(J38=0,999,F38/J38)</x:f>
        <x:v>42.477876106194685</x:v>
      </x:c>
      <x:c r="L38" s="53" t="n">
        <x:v>33</x:v>
      </x:c>
      <x:c r="M38" s="53" t="n">
        <x:f>ROUNDUP(J38*SQRT(L38)*1.65,0)</x:f>
        <x:v>33</x:v>
      </x:c>
      <x:c r="N38" s="53" t="n">
        <x:f>ROUNDUP(J38*L38+M38,0)</x:f>
        <x:v>145</x:v>
      </x:c>
      <x:c r="O38" s="42" t="str">
        <x:f>IF(F38&lt;=0,"Critical",IF(F38&lt;N38,"High",IF(F38&lt;N38*1.5,"Medium","Low")))</x:f>
        <x:v>High</x:v>
      </x:c>
      <x:c r="P38" s="53" t="n">
        <x:f>MAX(0,F38-(J38*90+M38))</x:f>
        <x:v>0</x:v>
      </x:c>
      <x:c r="Q38" s="44" t="n">
        <x:f>P38*H38</x:f>
        <x:v>0</x:v>
      </x:c>
      <x:c r="R38" s="50" t="n">
        <x:v>46060</x:v>
      </x:c>
      <x:c r="S38" s="53" t="n">
        <x:f>'Assumptions'!$B$13-R38</x:f>
        <x:v>185</x:v>
      </x:c>
      <x:c r="T38" s="42" t="str">
        <x:f>IF(S38&gt;=180,"High",IF(S38&gt;=120,"Medium","Low"))</x:f>
        <x:v>High</x:v>
      </x:c>
    </x:row>
    <x:row r="39">
      <x:c r="A39" s="14" t="str">
        <x:v>SKU-0038</x:v>
      </x:c>
      <x:c r="B39" s="14" t="str">
        <x:v>Filters Item 038</x:v>
      </x:c>
      <x:c r="C39" s="14" t="str">
        <x:v>C</x:v>
      </x:c>
      <x:c r="D39" s="52" t="n">
        <x:v>305</x:v>
      </x:c>
      <x:c r="E39" s="52" t="n">
        <x:v>81</x:v>
      </x:c>
      <x:c r="F39" s="53" t="n">
        <x:f>D39-E39</x:f>
        <x:v>224</x:v>
      </x:c>
      <x:c r="G39" s="52" t="n">
        <x:v>320</x:v>
      </x:c>
      <x:c r="H39" s="40" t="n">
        <x:v>160.43</x:v>
      </x:c>
      <x:c r="I39" s="44" t="n">
        <x:f>D39*H39</x:f>
        <x:v>48931.15</x:v>
      </x:c>
      <x:c r="J39" s="46" t="n">
        <x:v>5.89</x:v>
      </x:c>
      <x:c r="K39" s="47" t="n">
        <x:f>IF(J39=0,999,F39/J39)</x:f>
        <x:v>38.03056027164686</x:v>
      </x:c>
      <x:c r="L39" s="53" t="n">
        <x:v>20</x:v>
      </x:c>
      <x:c r="M39" s="53" t="n">
        <x:f>ROUNDUP(J39*SQRT(L39)*1.65,0)</x:f>
        <x:v>44</x:v>
      </x:c>
      <x:c r="N39" s="53" t="n">
        <x:f>ROUNDUP(J39*L39+M39,0)</x:f>
        <x:v>162</x:v>
      </x:c>
      <x:c r="O39" s="42" t="str">
        <x:f>IF(F39&lt;=0,"Critical",IF(F39&lt;N39,"High",IF(F39&lt;N39*1.5,"Medium","Low")))</x:f>
        <x:v>Medium</x:v>
      </x:c>
      <x:c r="P39" s="53" t="n">
        <x:f>MAX(0,F39-(J39*90+M39))</x:f>
        <x:v>0</x:v>
      </x:c>
      <x:c r="Q39" s="44" t="n">
        <x:f>P39*H39</x:f>
        <x:v>0</x:v>
      </x:c>
      <x:c r="R39" s="50" t="n">
        <x:v>46185</x:v>
      </x:c>
      <x:c r="S39" s="53" t="n">
        <x:f>'Assumptions'!$B$13-R39</x:f>
        <x:v>60</x:v>
      </x:c>
      <x:c r="T39" s="42" t="str">
        <x:f>IF(S39&gt;=180,"High",IF(S39&gt;=120,"Medium","Low"))</x:f>
        <x:v>Low</x:v>
      </x:c>
    </x:row>
    <x:row r="40">
      <x:c r="A40" s="14" t="str">
        <x:v>SKU-0039</x:v>
      </x:c>
      <x:c r="B40" s="14" t="str">
        <x:v>First Aid Item 039</x:v>
      </x:c>
      <x:c r="C40" s="14" t="str">
        <x:v>B</x:v>
      </x:c>
      <x:c r="D40" s="52" t="n">
        <x:v>126</x:v>
      </x:c>
      <x:c r="E40" s="52" t="n">
        <x:v>26</x:v>
      </x:c>
      <x:c r="F40" s="53" t="n">
        <x:f>D40-E40</x:f>
        <x:v>100</x:v>
      </x:c>
      <x:c r="G40" s="52" t="n">
        <x:v>13</x:v>
      </x:c>
      <x:c r="H40" s="40" t="n">
        <x:v>125.1</x:v>
      </x:c>
      <x:c r="I40" s="44" t="n">
        <x:f>D40*H40</x:f>
        <x:v>15762.599999999999</x:v>
      </x:c>
      <x:c r="J40" s="46" t="n">
        <x:v>6.16</x:v>
      </x:c>
      <x:c r="K40" s="47" t="n">
        <x:f>IF(J40=0,999,F40/J40)</x:f>
        <x:v>16.233766233766232</x:v>
      </x:c>
      <x:c r="L40" s="53" t="n">
        <x:v>49</x:v>
      </x:c>
      <x:c r="M40" s="53" t="n">
        <x:f>ROUNDUP(J40*SQRT(L40)*1.65,0)</x:f>
        <x:v>72</x:v>
      </x:c>
      <x:c r="N40" s="53" t="n">
        <x:f>ROUNDUP(J40*L40+M40,0)</x:f>
        <x:v>374</x:v>
      </x:c>
      <x:c r="O40" s="42" t="str">
        <x:f>IF(F40&lt;=0,"Critical",IF(F40&lt;N40,"High",IF(F40&lt;N40*1.5,"Medium","Low")))</x:f>
        <x:v>High</x:v>
      </x:c>
      <x:c r="P40" s="53" t="n">
        <x:f>MAX(0,F40-(J40*90+M40))</x:f>
        <x:v>0</x:v>
      </x:c>
      <x:c r="Q40" s="44" t="n">
        <x:f>P40*H40</x:f>
        <x:v>0</x:v>
      </x:c>
      <x:c r="R40" s="50" t="n">
        <x:v>46226</x:v>
      </x:c>
      <x:c r="S40" s="53" t="n">
        <x:f>'Assumptions'!$B$13-R40</x:f>
        <x:v>19</x:v>
      </x:c>
      <x:c r="T40" s="42" t="str">
        <x:f>IF(S40&gt;=180,"High",IF(S40&gt;=120,"Medium","Low"))</x:f>
        <x:v>Low</x:v>
      </x:c>
    </x:row>
    <x:row r="41">
      <x:c r="A41" s="14" t="str">
        <x:v>SKU-0040</x:v>
      </x:c>
      <x:c r="B41" s="14" t="str">
        <x:v>Cleaning Item 040</x:v>
      </x:c>
      <x:c r="C41" s="14" t="str">
        <x:v>C</x:v>
      </x:c>
      <x:c r="D41" s="52" t="n">
        <x:v>133</x:v>
      </x:c>
      <x:c r="E41" s="52" t="n">
        <x:v>21</x:v>
      </x:c>
      <x:c r="F41" s="53" t="n">
        <x:f>D41-E41</x:f>
        <x:v>112</x:v>
      </x:c>
      <x:c r="G41" s="52" t="n">
        <x:v>77</x:v>
      </x:c>
      <x:c r="H41" s="40" t="n">
        <x:v>229.61</x:v>
      </x:c>
      <x:c r="I41" s="44" t="n">
        <x:f>D41*H41</x:f>
        <x:v>30538.13</x:v>
      </x:c>
      <x:c r="J41" s="46" t="n">
        <x:v>2.72</x:v>
      </x:c>
      <x:c r="K41" s="47" t="n">
        <x:f>IF(J41=0,999,F41/J41)</x:f>
        <x:v>41.17647058823529</x:v>
      </x:c>
      <x:c r="L41" s="53" t="n">
        <x:v>16</x:v>
      </x:c>
      <x:c r="M41" s="53" t="n">
        <x:f>ROUNDUP(J41*SQRT(L41)*1.65,0)</x:f>
        <x:v>18</x:v>
      </x:c>
      <x:c r="N41" s="53" t="n">
        <x:f>ROUNDUP(J41*L41+M41,0)</x:f>
        <x:v>62</x:v>
      </x:c>
      <x:c r="O41" s="42" t="str">
        <x:f>IF(F41&lt;=0,"Critical",IF(F41&lt;N41,"High",IF(F41&lt;N41*1.5,"Medium","Low")))</x:f>
        <x:v>Low</x:v>
      </x:c>
      <x:c r="P41" s="53" t="n">
        <x:f>MAX(0,F41-(J41*90+M41))</x:f>
        <x:v>0</x:v>
      </x:c>
      <x:c r="Q41" s="44" t="n">
        <x:f>P41*H41</x:f>
        <x:v>0</x:v>
      </x:c>
      <x:c r="R41" s="50" t="n">
        <x:v>46078</x:v>
      </x:c>
      <x:c r="S41" s="53" t="n">
        <x:f>'Assumptions'!$B$13-R41</x:f>
        <x:v>167</x:v>
      </x:c>
      <x:c r="T41" s="42" t="str">
        <x:f>IF(S41&gt;=180,"High",IF(S41&gt;=120,"Medium","Low"))</x:f>
        <x:v>Medium</x:v>
      </x:c>
    </x:row>
    <x:row r="42">
      <x:c r="A42" s="14" t="str">
        <x:v>SKU-0041</x:v>
      </x:c>
      <x:c r="B42" s="14" t="str">
        <x:v>Paper Item 041</x:v>
      </x:c>
      <x:c r="C42" s="14" t="str">
        <x:v>A</x:v>
      </x:c>
      <x:c r="D42" s="52" t="n">
        <x:v>521</x:v>
      </x:c>
      <x:c r="E42" s="52" t="n">
        <x:v>112</x:v>
      </x:c>
      <x:c r="F42" s="53" t="n">
        <x:f>D42-E42</x:f>
        <x:v>409</x:v>
      </x:c>
      <x:c r="G42" s="52" t="n">
        <x:v>0</x:v>
      </x:c>
      <x:c r="H42" s="40" t="n">
        <x:v>117.51</x:v>
      </x:c>
      <x:c r="I42" s="44" t="n">
        <x:f>D42*H42</x:f>
        <x:v>61222.71</x:v>
      </x:c>
      <x:c r="J42" s="46" t="n">
        <x:v>12.36</x:v>
      </x:c>
      <x:c r="K42" s="47" t="n">
        <x:f>IF(J42=0,999,F42/J42)</x:f>
        <x:v>33.090614886731395</x:v>
      </x:c>
      <x:c r="L42" s="53" t="n">
        <x:v>38</x:v>
      </x:c>
      <x:c r="M42" s="53" t="n">
        <x:f>ROUNDUP(J42*SQRT(L42)*1.65,0)</x:f>
        <x:v>126</x:v>
      </x:c>
      <x:c r="N42" s="53" t="n">
        <x:f>ROUNDUP(J42*L42+M42,0)</x:f>
        <x:v>596</x:v>
      </x:c>
      <x:c r="O42" s="42" t="str">
        <x:f>IF(F42&lt;=0,"Critical",IF(F42&lt;N42,"High",IF(F42&lt;N42*1.5,"Medium","Low")))</x:f>
        <x:v>High</x:v>
      </x:c>
      <x:c r="P42" s="53" t="n">
        <x:f>MAX(0,F42-(J42*90+M42))</x:f>
        <x:v>0</x:v>
      </x:c>
      <x:c r="Q42" s="44" t="n">
        <x:f>P42*H42</x:f>
        <x:v>0</x:v>
      </x:c>
      <x:c r="R42" s="50" t="n">
        <x:v>46073</x:v>
      </x:c>
      <x:c r="S42" s="53" t="n">
        <x:f>'Assumptions'!$B$13-R42</x:f>
        <x:v>172</x:v>
      </x:c>
      <x:c r="T42" s="42" t="str">
        <x:f>IF(S42&gt;=180,"High",IF(S42&gt;=120,"Medium","Low"))</x:f>
        <x:v>Medium</x:v>
      </x:c>
    </x:row>
    <x:row r="43">
      <x:c r="A43" s="14" t="str">
        <x:v>SKU-0042</x:v>
      </x:c>
      <x:c r="B43" s="14" t="str">
        <x:v>Lubricants Item 042</x:v>
      </x:c>
      <x:c r="C43" s="14" t="str">
        <x:v>C</x:v>
      </x:c>
      <x:c r="D43" s="52" t="n">
        <x:v>282</x:v>
      </x:c>
      <x:c r="E43" s="52" t="n">
        <x:v>55</x:v>
      </x:c>
      <x:c r="F43" s="53" t="n">
        <x:f>D43-E43</x:f>
        <x:v>227</x:v>
      </x:c>
      <x:c r="G43" s="52" t="n">
        <x:v>5</x:v>
      </x:c>
      <x:c r="H43" s="40" t="n">
        <x:v>218.51</x:v>
      </x:c>
      <x:c r="I43" s="44" t="n">
        <x:f>D43*H43</x:f>
        <x:v>61619.82</x:v>
      </x:c>
      <x:c r="J43" s="46" t="n">
        <x:v>5.58</x:v>
      </x:c>
      <x:c r="K43" s="47" t="n">
        <x:f>IF(J43=0,999,F43/J43)</x:f>
        <x:v>40.68100358422939</x:v>
      </x:c>
      <x:c r="L43" s="53" t="n">
        <x:v>36</x:v>
      </x:c>
      <x:c r="M43" s="53" t="n">
        <x:f>ROUNDUP(J43*SQRT(L43)*1.65,0)</x:f>
        <x:v>56</x:v>
      </x:c>
      <x:c r="N43" s="53" t="n">
        <x:f>ROUNDUP(J43*L43+M43,0)</x:f>
        <x:v>257</x:v>
      </x:c>
      <x:c r="O43" s="42" t="str">
        <x:f>IF(F43&lt;=0,"Critical",IF(F43&lt;N43,"High",IF(F43&lt;N43*1.5,"Medium","Low")))</x:f>
        <x:v>High</x:v>
      </x:c>
      <x:c r="P43" s="53" t="n">
        <x:f>MAX(0,F43-(J43*90+M43))</x:f>
        <x:v>0</x:v>
      </x:c>
      <x:c r="Q43" s="44" t="n">
        <x:f>P43*H43</x:f>
        <x:v>0</x:v>
      </x:c>
      <x:c r="R43" s="50" t="n">
        <x:v>46076</x:v>
      </x:c>
      <x:c r="S43" s="53" t="n">
        <x:f>'Assumptions'!$B$13-R43</x:f>
        <x:v>169</x:v>
      </x:c>
      <x:c r="T43" s="42" t="str">
        <x:f>IF(S43&gt;=180,"High",IF(S43&gt;=120,"Medium","Low"))</x:f>
        <x:v>Medium</x:v>
      </x:c>
    </x:row>
    <x:row r="44">
      <x:c r="A44" s="14" t="str">
        <x:v>SKU-0043</x:v>
      </x:c>
      <x:c r="B44" s="14" t="str">
        <x:v>Controllers Item 043</x:v>
      </x:c>
      <x:c r="C44" s="14" t="str">
        <x:v>C</x:v>
      </x:c>
      <x:c r="D44" s="52" t="n">
        <x:v>661</x:v>
      </x:c>
      <x:c r="E44" s="52" t="n">
        <x:v>159</x:v>
      </x:c>
      <x:c r="F44" s="53" t="n">
        <x:f>D44-E44</x:f>
        <x:v>502</x:v>
      </x:c>
      <x:c r="G44" s="52" t="n">
        <x:v>242</x:v>
      </x:c>
      <x:c r="H44" s="40" t="n">
        <x:v>224.89</x:v>
      </x:c>
      <x:c r="I44" s="44" t="n">
        <x:f>D44*H44</x:f>
        <x:v>148652.28999999998</x:v>
      </x:c>
      <x:c r="J44" s="46" t="n">
        <x:v>9.3</x:v>
      </x:c>
      <x:c r="K44" s="47" t="n">
        <x:f>IF(J44=0,999,F44/J44)</x:f>
        <x:v>53.97849462365591</x:v>
      </x:c>
      <x:c r="L44" s="53" t="n">
        <x:v>55</x:v>
      </x:c>
      <x:c r="M44" s="53" t="n">
        <x:f>ROUNDUP(J44*SQRT(L44)*1.65,0)</x:f>
        <x:v>114</x:v>
      </x:c>
      <x:c r="N44" s="53" t="n">
        <x:f>ROUNDUP(J44*L44+M44,0)</x:f>
        <x:v>626</x:v>
      </x:c>
      <x:c r="O44" s="42" t="str">
        <x:f>IF(F44&lt;=0,"Critical",IF(F44&lt;N44,"High",IF(F44&lt;N44*1.5,"Medium","Low")))</x:f>
        <x:v>High</x:v>
      </x:c>
      <x:c r="P44" s="53" t="n">
        <x:f>MAX(0,F44-(J44*90+M44))</x:f>
        <x:v>0</x:v>
      </x:c>
      <x:c r="Q44" s="44" t="n">
        <x:f>P44*H44</x:f>
        <x:v>0</x:v>
      </x:c>
      <x:c r="R44" s="50" t="n">
        <x:v>45949</x:v>
      </x:c>
      <x:c r="S44" s="53" t="n">
        <x:f>'Assumptions'!$B$13-R44</x:f>
        <x:v>296</x:v>
      </x:c>
      <x:c r="T44" s="42" t="str">
        <x:f>IF(S44&gt;=180,"High",IF(S44&gt;=120,"Medium","Low"))</x:f>
        <x:v>High</x:v>
      </x:c>
    </x:row>
    <x:row r="45">
      <x:c r="A45" s="14" t="str">
        <x:v>SKU-0044</x:v>
      </x:c>
      <x:c r="B45" s="14" t="str">
        <x:v>Tools Item 044</x:v>
      </x:c>
      <x:c r="C45" s="14" t="str">
        <x:v>C</x:v>
      </x:c>
      <x:c r="D45" s="52" t="n">
        <x:v>460</x:v>
      </x:c>
      <x:c r="E45" s="52" t="n">
        <x:v>27</x:v>
      </x:c>
      <x:c r="F45" s="53" t="n">
        <x:f>D45-E45</x:f>
        <x:v>433</x:v>
      </x:c>
      <x:c r="G45" s="52" t="n">
        <x:v>267</x:v>
      </x:c>
      <x:c r="H45" s="40" t="n">
        <x:v>126.24</x:v>
      </x:c>
      <x:c r="I45" s="44" t="n">
        <x:f>D45*H45</x:f>
        <x:v>58070.399999999994</x:v>
      </x:c>
      <x:c r="J45" s="46" t="n">
        <x:v>7.83</x:v>
      </x:c>
      <x:c r="K45" s="47" t="n">
        <x:f>IF(J45=0,999,F45/J45)</x:f>
        <x:v>55.300127713920816</x:v>
      </x:c>
      <x:c r="L45" s="53" t="n">
        <x:v>55</x:v>
      </x:c>
      <x:c r="M45" s="53" t="n">
        <x:f>ROUNDUP(J45*SQRT(L45)*1.65,0)</x:f>
        <x:v>96</x:v>
      </x:c>
      <x:c r="N45" s="53" t="n">
        <x:f>ROUNDUP(J45*L45+M45,0)</x:f>
        <x:v>527</x:v>
      </x:c>
      <x:c r="O45" s="42" t="str">
        <x:f>IF(F45&lt;=0,"Critical",IF(F45&lt;N45,"High",IF(F45&lt;N45*1.5,"Medium","Low")))</x:f>
        <x:v>High</x:v>
      </x:c>
      <x:c r="P45" s="53" t="n">
        <x:f>MAX(0,F45-(J45*90+M45))</x:f>
        <x:v>0</x:v>
      </x:c>
      <x:c r="Q45" s="44" t="n">
        <x:f>P45*H45</x:f>
        <x:v>0</x:v>
      </x:c>
      <x:c r="R45" s="50" t="n">
        <x:v>46051</x:v>
      </x:c>
      <x:c r="S45" s="53" t="n">
        <x:f>'Assumptions'!$B$13-R45</x:f>
        <x:v>194</x:v>
      </x:c>
      <x:c r="T45" s="42" t="str">
        <x:f>IF(S45&gt;=180,"High",IF(S45&gt;=120,"Medium","Low"))</x:f>
        <x:v>High</x:v>
      </x:c>
    </x:row>
    <x:row r="46">
      <x:c r="A46" s="14" t="str">
        <x:v>SKU-0045</x:v>
      </x:c>
      <x:c r="B46" s="14" t="str">
        <x:v>Brackets Item 045</x:v>
      </x:c>
      <x:c r="C46" s="14" t="str">
        <x:v>C</x:v>
      </x:c>
      <x:c r="D46" s="52" t="n">
        <x:v>14</x:v>
      </x:c>
      <x:c r="E46" s="52" t="n">
        <x:v>4</x:v>
      </x:c>
      <x:c r="F46" s="53" t="n">
        <x:f>D46-E46</x:f>
        <x:v>10</x:v>
      </x:c>
      <x:c r="G46" s="52" t="n">
        <x:v>1</x:v>
      </x:c>
      <x:c r="H46" s="40" t="n">
        <x:v>68.89</x:v>
      </x:c>
      <x:c r="I46" s="44" t="n">
        <x:f>D46*H46</x:f>
        <x:v>964.46</x:v>
      </x:c>
      <x:c r="J46" s="46" t="n">
        <x:v>1.32</x:v>
      </x:c>
      <x:c r="K46" s="47" t="n">
        <x:f>IF(J46=0,999,F46/J46)</x:f>
        <x:v>7.575757575757575</x:v>
      </x:c>
      <x:c r="L46" s="53" t="n">
        <x:v>28</x:v>
      </x:c>
      <x:c r="M46" s="53" t="n">
        <x:f>ROUNDUP(J46*SQRT(L46)*1.65,0)</x:f>
        <x:v>12</x:v>
      </x:c>
      <x:c r="N46" s="53" t="n">
        <x:f>ROUNDUP(J46*L46+M46,0)</x:f>
        <x:v>49</x:v>
      </x:c>
      <x:c r="O46" s="42" t="str">
        <x:f>IF(F46&lt;=0,"Critical",IF(F46&lt;N46,"High",IF(F46&lt;N46*1.5,"Medium","Low")))</x:f>
        <x:v>High</x:v>
      </x:c>
      <x:c r="P46" s="53" t="n">
        <x:f>MAX(0,F46-(J46*90+M46))</x:f>
        <x:v>0</x:v>
      </x:c>
      <x:c r="Q46" s="44" t="n">
        <x:f>P46*H46</x:f>
        <x:v>0</x:v>
      </x:c>
      <x:c r="R46" s="50" t="n">
        <x:v>46085</x:v>
      </x:c>
      <x:c r="S46" s="53" t="n">
        <x:f>'Assumptions'!$B$13-R46</x:f>
        <x:v>160</x:v>
      </x:c>
      <x:c r="T46" s="42" t="str">
        <x:f>IF(S46&gt;=180,"High",IF(S46&gt;=120,"Medium","Low"))</x:f>
        <x:v>Medium</x:v>
      </x:c>
    </x:row>
    <x:row r="47">
      <x:c r="A47" s="14" t="str">
        <x:v>SKU-0046</x:v>
      </x:c>
      <x:c r="B47" s="14" t="str">
        <x:v>Cables Item 046</x:v>
      </x:c>
      <x:c r="C47" s="14" t="str">
        <x:v>C</x:v>
      </x:c>
      <x:c r="D47" s="52" t="n">
        <x:v>117</x:v>
      </x:c>
      <x:c r="E47" s="52" t="n">
        <x:v>20</x:v>
      </x:c>
      <x:c r="F47" s="53" t="n">
        <x:f>D47-E47</x:f>
        <x:v>97</x:v>
      </x:c>
      <x:c r="G47" s="52" t="n">
        <x:v>118</x:v>
      </x:c>
      <x:c r="H47" s="40" t="n">
        <x:v>66.68</x:v>
      </x:c>
      <x:c r="I47" s="44" t="n">
        <x:f>D47*H47</x:f>
        <x:v>7801.56</x:v>
      </x:c>
      <x:c r="J47" s="46" t="n">
        <x:v>4.58</x:v>
      </x:c>
      <x:c r="K47" s="47" t="n">
        <x:f>IF(J47=0,999,F47/J47)</x:f>
        <x:v>21.179039301310045</x:v>
      </x:c>
      <x:c r="L47" s="53" t="n">
        <x:v>33</x:v>
      </x:c>
      <x:c r="M47" s="53" t="n">
        <x:f>ROUNDUP(J47*SQRT(L47)*1.65,0)</x:f>
        <x:v>44</x:v>
      </x:c>
      <x:c r="N47" s="53" t="n">
        <x:f>ROUNDUP(J47*L47+M47,0)</x:f>
        <x:v>196</x:v>
      </x:c>
      <x:c r="O47" s="42" t="str">
        <x:f>IF(F47&lt;=0,"Critical",IF(F47&lt;N47,"High",IF(F47&lt;N47*1.5,"Medium","Low")))</x:f>
        <x:v>High</x:v>
      </x:c>
      <x:c r="P47" s="53" t="n">
        <x:f>MAX(0,F47-(J47*90+M47))</x:f>
        <x:v>0</x:v>
      </x:c>
      <x:c r="Q47" s="44" t="n">
        <x:f>P47*H47</x:f>
        <x:v>0</x:v>
      </x:c>
      <x:c r="R47" s="50" t="n">
        <x:v>46214</x:v>
      </x:c>
      <x:c r="S47" s="53" t="n">
        <x:f>'Assumptions'!$B$13-R47</x:f>
        <x:v>31</x:v>
      </x:c>
      <x:c r="T47" s="42" t="str">
        <x:f>IF(S47&gt;=180,"High",IF(S47&gt;=120,"Medium","Low"))</x:f>
        <x:v>Low</x:v>
      </x:c>
    </x:row>
    <x:row r="48">
      <x:c r="A48" s="14" t="str">
        <x:v>SKU-0047</x:v>
      </x:c>
      <x:c r="B48" s="14" t="str">
        <x:v>Paper Item 047</x:v>
      </x:c>
      <x:c r="C48" s="14" t="str">
        <x:v>C</x:v>
      </x:c>
      <x:c r="D48" s="52" t="n">
        <x:v>538</x:v>
      </x:c>
      <x:c r="E48" s="52" t="n">
        <x:v>187</x:v>
      </x:c>
      <x:c r="F48" s="53" t="n">
        <x:f>D48-E48</x:f>
        <x:v>351</x:v>
      </x:c>
      <x:c r="G48" s="52" t="n">
        <x:v>196</x:v>
      </x:c>
      <x:c r="H48" s="40" t="n">
        <x:v>233.63</x:v>
      </x:c>
      <x:c r="I48" s="44" t="n">
        <x:f>D48*H48</x:f>
        <x:v>125692.94</x:v>
      </x:c>
      <x:c r="J48" s="46" t="n">
        <x:v>9.49</x:v>
      </x:c>
      <x:c r="K48" s="47" t="n">
        <x:f>IF(J48=0,999,F48/J48)</x:f>
        <x:v>36.986301369863014</x:v>
      </x:c>
      <x:c r="L48" s="53" t="n">
        <x:v>55</x:v>
      </x:c>
      <x:c r="M48" s="53" t="n">
        <x:f>ROUNDUP(J48*SQRT(L48)*1.65,0)</x:f>
        <x:v>117</x:v>
      </x:c>
      <x:c r="N48" s="53" t="n">
        <x:f>ROUNDUP(J48*L48+M48,0)</x:f>
        <x:v>639</x:v>
      </x:c>
      <x:c r="O48" s="42" t="str">
        <x:f>IF(F48&lt;=0,"Critical",IF(F48&lt;N48,"High",IF(F48&lt;N48*1.5,"Medium","Low")))</x:f>
        <x:v>High</x:v>
      </x:c>
      <x:c r="P48" s="53" t="n">
        <x:f>MAX(0,F48-(J48*90+M48))</x:f>
        <x:v>0</x:v>
      </x:c>
      <x:c r="Q48" s="44" t="n">
        <x:f>P48*H48</x:f>
        <x:v>0</x:v>
      </x:c>
      <x:c r="R48" s="50" t="n">
        <x:v>46157</x:v>
      </x:c>
      <x:c r="S48" s="53" t="n">
        <x:f>'Assumptions'!$B$13-R48</x:f>
        <x:v>88</x:v>
      </x:c>
      <x:c r="T48" s="42" t="str">
        <x:f>IF(S48&gt;=180,"High",IF(S48&gt;=120,"Medium","Low"))</x:f>
        <x:v>Low</x:v>
      </x:c>
    </x:row>
    <x:row r="49">
      <x:c r="A49" s="14" t="str">
        <x:v>SKU-0048</x:v>
      </x:c>
      <x:c r="B49" s="14" t="str">
        <x:v>Power Item 048</x:v>
      </x:c>
      <x:c r="C49" s="14" t="str">
        <x:v>C</x:v>
      </x:c>
      <x:c r="D49" s="52" t="n">
        <x:v>271</x:v>
      </x:c>
      <x:c r="E49" s="52" t="n">
        <x:v>64</x:v>
      </x:c>
      <x:c r="F49" s="53" t="n">
        <x:f>D49-E49</x:f>
        <x:v>207</x:v>
      </x:c>
      <x:c r="G49" s="52" t="n">
        <x:v>0</x:v>
      </x:c>
      <x:c r="H49" s="40" t="n">
        <x:v>211.59</x:v>
      </x:c>
      <x:c r="I49" s="44" t="n">
        <x:f>D49*H49</x:f>
        <x:v>57340.89</x:v>
      </x:c>
      <x:c r="J49" s="46" t="n">
        <x:v>4.9</x:v>
      </x:c>
      <x:c r="K49" s="47" t="n">
        <x:f>IF(J49=0,999,F49/J49)</x:f>
        <x:v>42.24489795918367</x:v>
      </x:c>
      <x:c r="L49" s="53" t="n">
        <x:v>54</x:v>
      </x:c>
      <x:c r="M49" s="53" t="n">
        <x:f>ROUNDUP(J49*SQRT(L49)*1.65,0)</x:f>
        <x:v>60</x:v>
      </x:c>
      <x:c r="N49" s="53" t="n">
        <x:f>ROUNDUP(J49*L49+M49,0)</x:f>
        <x:v>325</x:v>
      </x:c>
      <x:c r="O49" s="42" t="str">
        <x:f>IF(F49&lt;=0,"Critical",IF(F49&lt;N49,"High",IF(F49&lt;N49*1.5,"Medium","Low")))</x:f>
        <x:v>High</x:v>
      </x:c>
      <x:c r="P49" s="53" t="n">
        <x:f>MAX(0,F49-(J49*90+M49))</x:f>
        <x:v>0</x:v>
      </x:c>
      <x:c r="Q49" s="44" t="n">
        <x:f>P49*H49</x:f>
        <x:v>0</x:v>
      </x:c>
      <x:c r="R49" s="50" t="n">
        <x:v>46110</x:v>
      </x:c>
      <x:c r="S49" s="53" t="n">
        <x:f>'Assumptions'!$B$13-R49</x:f>
        <x:v>135</x:v>
      </x:c>
      <x:c r="T49" s="42" t="str">
        <x:f>IF(S49&gt;=180,"High",IF(S49&gt;=120,"Medium","Low"))</x:f>
        <x:v>Medium</x:v>
      </x:c>
    </x:row>
    <x:row r="50">
      <x:c r="A50" s="14" t="str">
        <x:v>SKU-0049</x:v>
      </x:c>
      <x:c r="B50" s="14" t="str">
        <x:v>Eyewear Item 049</x:v>
      </x:c>
      <x:c r="C50" s="14" t="str">
        <x:v>A</x:v>
      </x:c>
      <x:c r="D50" s="52" t="n">
        <x:v>192</x:v>
      </x:c>
      <x:c r="E50" s="52" t="n">
        <x:v>37</x:v>
      </x:c>
      <x:c r="F50" s="53" t="n">
        <x:f>D50-E50</x:f>
        <x:v>155</x:v>
      </x:c>
      <x:c r="G50" s="52" t="n">
        <x:v>349</x:v>
      </x:c>
      <x:c r="H50" s="40" t="n">
        <x:v>63.39</x:v>
      </x:c>
      <x:c r="I50" s="44" t="n">
        <x:f>D50*H50</x:f>
        <x:v>12170.880000000001</x:v>
      </x:c>
      <x:c r="J50" s="46" t="n">
        <x:v>6.52</x:v>
      </x:c>
      <x:c r="K50" s="47" t="n">
        <x:f>IF(J50=0,999,F50/J50)</x:f>
        <x:v>23.773006134969325</x:v>
      </x:c>
      <x:c r="L50" s="53" t="n">
        <x:v>50</x:v>
      </x:c>
      <x:c r="M50" s="53" t="n">
        <x:f>ROUNDUP(J50*SQRT(L50)*1.65,0)</x:f>
        <x:v>77</x:v>
      </x:c>
      <x:c r="N50" s="53" t="n">
        <x:f>ROUNDUP(J50*L50+M50,0)</x:f>
        <x:v>403</x:v>
      </x:c>
      <x:c r="O50" s="42" t="str">
        <x:f>IF(F50&lt;=0,"Critical",IF(F50&lt;N50,"High",IF(F50&lt;N50*1.5,"Medium","Low")))</x:f>
        <x:v>High</x:v>
      </x:c>
      <x:c r="P50" s="53" t="n">
        <x:f>MAX(0,F50-(J50*90+M50))</x:f>
        <x:v>0</x:v>
      </x:c>
      <x:c r="Q50" s="44" t="n">
        <x:f>P50*H50</x:f>
        <x:v>0</x:v>
      </x:c>
      <x:c r="R50" s="50" t="n">
        <x:v>46093</x:v>
      </x:c>
      <x:c r="S50" s="53" t="n">
        <x:f>'Assumptions'!$B$13-R50</x:f>
        <x:v>152</x:v>
      </x:c>
      <x:c r="T50" s="42" t="str">
        <x:f>IF(S50&gt;=180,"High",IF(S50&gt;=120,"Medium","Low"))</x:f>
        <x:v>Medium</x:v>
      </x:c>
    </x:row>
    <x:row r="51">
      <x:c r="A51" s="14" t="str">
        <x:v>SKU-0050</x:v>
      </x:c>
      <x:c r="B51" s="14" t="str">
        <x:v>Ink Item 050</x:v>
      </x:c>
      <x:c r="C51" s="14" t="str">
        <x:v>C</x:v>
      </x:c>
      <x:c r="D51" s="52" t="n">
        <x:v>1215</x:v>
      </x:c>
      <x:c r="E51" s="52" t="n">
        <x:v>207</x:v>
      </x:c>
      <x:c r="F51" s="53" t="n">
        <x:f>D51-E51</x:f>
        <x:v>1008</x:v>
      </x:c>
      <x:c r="G51" s="52" t="n">
        <x:v>550</x:v>
      </x:c>
      <x:c r="H51" s="40" t="n">
        <x:v>150.72</x:v>
      </x:c>
      <x:c r="I51" s="44" t="n">
        <x:f>D51*H51</x:f>
        <x:v>183124.8</x:v>
      </x:c>
      <x:c r="J51" s="46" t="n">
        <x:v>17.86</x:v>
      </x:c>
      <x:c r="K51" s="47" t="n">
        <x:f>IF(J51=0,999,F51/J51)</x:f>
        <x:v>56.43896976483763</x:v>
      </x:c>
      <x:c r="L51" s="53" t="n">
        <x:v>12</x:v>
      </x:c>
      <x:c r="M51" s="53" t="n">
        <x:f>ROUNDUP(J51*SQRT(L51)*1.65,0)</x:f>
        <x:v>103</x:v>
      </x:c>
      <x:c r="N51" s="53" t="n">
        <x:f>ROUNDUP(J51*L51+M51,0)</x:f>
        <x:v>318</x:v>
      </x:c>
      <x:c r="O51" s="42" t="str">
        <x:f>IF(F51&lt;=0,"Critical",IF(F51&lt;N51,"High",IF(F51&lt;N51*1.5,"Medium","Low")))</x:f>
        <x:v>Low</x:v>
      </x:c>
      <x:c r="P51" s="53" t="n">
        <x:f>MAX(0,F51-(J51*90+M51))</x:f>
        <x:v>0</x:v>
      </x:c>
      <x:c r="Q51" s="44" t="n">
        <x:f>P51*H51</x:f>
        <x:v>0</x:v>
      </x:c>
      <x:c r="R51" s="50" t="n">
        <x:v>46105</x:v>
      </x:c>
      <x:c r="S51" s="53" t="n">
        <x:f>'Assumptions'!$B$13-R51</x:f>
        <x:v>140</x:v>
      </x:c>
      <x:c r="T51" s="42" t="str">
        <x:f>IF(S51&gt;=180,"High",IF(S51&gt;=120,"Medium","Low"))</x:f>
        <x:v>Medium</x:v>
      </x:c>
    </x:row>
    <x:row r="52">
      <x:c r="A52" s="14" t="str">
        <x:v>SKU-0051</x:v>
      </x:c>
      <x:c r="B52" s="14" t="str">
        <x:v>Ink Item 051</x:v>
      </x:c>
      <x:c r="C52" s="14" t="str">
        <x:v>B</x:v>
      </x:c>
      <x:c r="D52" s="52" t="n">
        <x:v>159</x:v>
      </x:c>
      <x:c r="E52" s="52" t="n">
        <x:v>49</x:v>
      </x:c>
      <x:c r="F52" s="53" t="n">
        <x:f>D52-E52</x:f>
        <x:v>110</x:v>
      </x:c>
      <x:c r="G52" s="52" t="n">
        <x:v>54</x:v>
      </x:c>
      <x:c r="H52" s="40" t="n">
        <x:v>74.69</x:v>
      </x:c>
      <x:c r="I52" s="44" t="n">
        <x:f>D52*H52</x:f>
        <x:v>11875.71</x:v>
      </x:c>
      <x:c r="J52" s="46" t="n">
        <x:v>2.89</x:v>
      </x:c>
      <x:c r="K52" s="47" t="n">
        <x:f>IF(J52=0,999,F52/J52)</x:f>
        <x:v>38.06228373702422</x:v>
      </x:c>
      <x:c r="L52" s="53" t="n">
        <x:v>24</x:v>
      </x:c>
      <x:c r="M52" s="53" t="n">
        <x:f>ROUNDUP(J52*SQRT(L52)*1.65,0)</x:f>
        <x:v>24</x:v>
      </x:c>
      <x:c r="N52" s="53" t="n">
        <x:f>ROUNDUP(J52*L52+M52,0)</x:f>
        <x:v>94</x:v>
      </x:c>
      <x:c r="O52" s="42" t="str">
        <x:f>IF(F52&lt;=0,"Critical",IF(F52&lt;N52,"High",IF(F52&lt;N52*1.5,"Medium","Low")))</x:f>
        <x:v>Medium</x:v>
      </x:c>
      <x:c r="P52" s="53" t="n">
        <x:f>MAX(0,F52-(J52*90+M52))</x:f>
        <x:v>0</x:v>
      </x:c>
      <x:c r="Q52" s="44" t="n">
        <x:f>P52*H52</x:f>
        <x:v>0</x:v>
      </x:c>
      <x:c r="R52" s="50" t="n">
        <x:v>46171</x:v>
      </x:c>
      <x:c r="S52" s="53" t="n">
        <x:f>'Assumptions'!$B$13-R52</x:f>
        <x:v>74</x:v>
      </x:c>
      <x:c r="T52" s="42" t="str">
        <x:f>IF(S52&gt;=180,"High",IF(S52&gt;=120,"Medium","Low"))</x:f>
        <x:v>Low</x:v>
      </x:c>
    </x:row>
    <x:row r="53">
      <x:c r="A53" s="14" t="str">
        <x:v>SKU-0052</x:v>
      </x:c>
      <x:c r="B53" s="14" t="str">
        <x:v>Controllers Item 052</x:v>
      </x:c>
      <x:c r="C53" s="14" t="str">
        <x:v>C</x:v>
      </x:c>
      <x:c r="D53" s="52" t="n">
        <x:v>262</x:v>
      </x:c>
      <x:c r="E53" s="52" t="n">
        <x:v>31</x:v>
      </x:c>
      <x:c r="F53" s="53" t="n">
        <x:f>D53-E53</x:f>
        <x:v>231</x:v>
      </x:c>
      <x:c r="G53" s="52" t="n">
        <x:v>52</x:v>
      </x:c>
      <x:c r="H53" s="40" t="n">
        <x:v>210.35</x:v>
      </x:c>
      <x:c r="I53" s="44" t="n">
        <x:f>D53*H53</x:f>
        <x:v>55111.7</x:v>
      </x:c>
      <x:c r="J53" s="46" t="n">
        <x:v>3.75</x:v>
      </x:c>
      <x:c r="K53" s="47" t="n">
        <x:f>IF(J53=0,999,F53/J53)</x:f>
        <x:v>61.6</x:v>
      </x:c>
      <x:c r="L53" s="53" t="n">
        <x:v>11</x:v>
      </x:c>
      <x:c r="M53" s="53" t="n">
        <x:f>ROUNDUP(J53*SQRT(L53)*1.65,0)</x:f>
        <x:v>21</x:v>
      </x:c>
      <x:c r="N53" s="53" t="n">
        <x:f>ROUNDUP(J53*L53+M53,0)</x:f>
        <x:v>63</x:v>
      </x:c>
      <x:c r="O53" s="42" t="str">
        <x:f>IF(F53&lt;=0,"Critical",IF(F53&lt;N53,"High",IF(F53&lt;N53*1.5,"Medium","Low")))</x:f>
        <x:v>Low</x:v>
      </x:c>
      <x:c r="P53" s="53" t="n">
        <x:f>MAX(0,F53-(J53*90+M53))</x:f>
        <x:v>0</x:v>
      </x:c>
      <x:c r="Q53" s="44" t="n">
        <x:f>P53*H53</x:f>
        <x:v>0</x:v>
      </x:c>
      <x:c r="R53" s="50" t="n">
        <x:v>46000</x:v>
      </x:c>
      <x:c r="S53" s="53" t="n">
        <x:f>'Assumptions'!$B$13-R53</x:f>
        <x:v>245</x:v>
      </x:c>
      <x:c r="T53" s="42" t="str">
        <x:f>IF(S53&gt;=180,"High",IF(S53&gt;=120,"Medium","Low"))</x:f>
        <x:v>High</x:v>
      </x:c>
    </x:row>
    <x:row r="54">
      <x:c r="A54" s="14" t="str">
        <x:v>SKU-0053</x:v>
      </x:c>
      <x:c r="B54" s="14" t="str">
        <x:v>Cables Item 053</x:v>
      </x:c>
      <x:c r="C54" s="14" t="str">
        <x:v>B</x:v>
      </x:c>
      <x:c r="D54" s="52" t="n">
        <x:v>88</x:v>
      </x:c>
      <x:c r="E54" s="52" t="n">
        <x:v>3</x:v>
      </x:c>
      <x:c r="F54" s="53" t="n">
        <x:f>D54-E54</x:f>
        <x:v>85</x:v>
      </x:c>
      <x:c r="G54" s="52" t="n">
        <x:v>0</x:v>
      </x:c>
      <x:c r="H54" s="40" t="n">
        <x:v>235.39</x:v>
      </x:c>
      <x:c r="I54" s="44" t="n">
        <x:f>D54*H54</x:f>
        <x:v>20714.32</x:v>
      </x:c>
      <x:c r="J54" s="46" t="n">
        <x:v>2.79</x:v>
      </x:c>
      <x:c r="K54" s="47" t="n">
        <x:f>IF(J54=0,999,F54/J54)</x:f>
        <x:v>30.46594982078853</x:v>
      </x:c>
      <x:c r="L54" s="53" t="n">
        <x:v>14</x:v>
      </x:c>
      <x:c r="M54" s="53" t="n">
        <x:f>ROUNDUP(J54*SQRT(L54)*1.65,0)</x:f>
        <x:v>18</x:v>
      </x:c>
      <x:c r="N54" s="53" t="n">
        <x:f>ROUNDUP(J54*L54+M54,0)</x:f>
        <x:v>58</x:v>
      </x:c>
      <x:c r="O54" s="42" t="str">
        <x:f>IF(F54&lt;=0,"Critical",IF(F54&lt;N54,"High",IF(F54&lt;N54*1.5,"Medium","Low")))</x:f>
        <x:v>Medium</x:v>
      </x:c>
      <x:c r="P54" s="53" t="n">
        <x:f>MAX(0,F54-(J54*90+M54))</x:f>
        <x:v>0</x:v>
      </x:c>
      <x:c r="Q54" s="44" t="n">
        <x:f>P54*H54</x:f>
        <x:v>0</x:v>
      </x:c>
      <x:c r="R54" s="50" t="n">
        <x:v>46123</x:v>
      </x:c>
      <x:c r="S54" s="53" t="n">
        <x:f>'Assumptions'!$B$13-R54</x:f>
        <x:v>122</x:v>
      </x:c>
      <x:c r="T54" s="42" t="str">
        <x:f>IF(S54&gt;=180,"High",IF(S54&gt;=120,"Medium","Low"))</x:f>
        <x:v>Medium</x:v>
      </x:c>
    </x:row>
    <x:row r="55">
      <x:c r="A55" s="14" t="str">
        <x:v>SKU-0054</x:v>
      </x:c>
      <x:c r="B55" s="14" t="str">
        <x:v>Accessories Item 054</x:v>
      </x:c>
      <x:c r="C55" s="14" t="str">
        <x:v>C</x:v>
      </x:c>
      <x:c r="D55" s="52" t="n">
        <x:v>108</x:v>
      </x:c>
      <x:c r="E55" s="52" t="n">
        <x:v>24</x:v>
      </x:c>
      <x:c r="F55" s="53" t="n">
        <x:f>D55-E55</x:f>
        <x:v>84</x:v>
      </x:c>
      <x:c r="G55" s="52" t="n">
        <x:v>45</x:v>
      </x:c>
      <x:c r="H55" s="40" t="n">
        <x:v>49.06</x:v>
      </x:c>
      <x:c r="I55" s="44" t="n">
        <x:f>D55*H55</x:f>
        <x:v>5298.4800000000005</x:v>
      </x:c>
      <x:c r="J55" s="46" t="n">
        <x:v>2.01</x:v>
      </x:c>
      <x:c r="K55" s="47" t="n">
        <x:f>IF(J55=0,999,F55/J55)</x:f>
        <x:v>41.791044776119406</x:v>
      </x:c>
      <x:c r="L55" s="53" t="n">
        <x:v>26</x:v>
      </x:c>
      <x:c r="M55" s="53" t="n">
        <x:f>ROUNDUP(J55*SQRT(L55)*1.65,0)</x:f>
        <x:v>17</x:v>
      </x:c>
      <x:c r="N55" s="53" t="n">
        <x:f>ROUNDUP(J55*L55+M55,0)</x:f>
        <x:v>70</x:v>
      </x:c>
      <x:c r="O55" s="42" t="str">
        <x:f>IF(F55&lt;=0,"Critical",IF(F55&lt;N55,"High",IF(F55&lt;N55*1.5,"Medium","Low")))</x:f>
        <x:v>Medium</x:v>
      </x:c>
      <x:c r="P55" s="53" t="n">
        <x:f>MAX(0,F55-(J55*90+M55))</x:f>
        <x:v>0</x:v>
      </x:c>
      <x:c r="Q55" s="44" t="n">
        <x:f>P55*H55</x:f>
        <x:v>0</x:v>
      </x:c>
      <x:c r="R55" s="50" t="n">
        <x:v>46004</x:v>
      </x:c>
      <x:c r="S55" s="53" t="n">
        <x:f>'Assumptions'!$B$13-R55</x:f>
        <x:v>241</x:v>
      </x:c>
      <x:c r="T55" s="42" t="str">
        <x:f>IF(S55&gt;=180,"High",IF(S55&gt;=120,"Medium","Low"))</x:f>
        <x:v>High</x:v>
      </x:c>
    </x:row>
    <x:row r="56">
      <x:c r="A56" s="14" t="str">
        <x:v>SKU-0055</x:v>
      </x:c>
      <x:c r="B56" s="14" t="str">
        <x:v>Brackets Item 055</x:v>
      </x:c>
      <x:c r="C56" s="14" t="str">
        <x:v>C</x:v>
      </x:c>
      <x:c r="D56" s="52" t="n">
        <x:v>1240</x:v>
      </x:c>
      <x:c r="E56" s="52" t="n">
        <x:v>381</x:v>
      </x:c>
      <x:c r="F56" s="53" t="n">
        <x:f>D56-E56</x:f>
        <x:v>859</x:v>
      </x:c>
      <x:c r="G56" s="52" t="n">
        <x:v>152</x:v>
      </x:c>
      <x:c r="H56" s="40" t="n">
        <x:v>263.76</x:v>
      </x:c>
      <x:c r="I56" s="44" t="n">
        <x:f>D56*H56</x:f>
        <x:v>327062.39999999997</x:v>
      </x:c>
      <x:c r="J56" s="46" t="n">
        <x:v>13.89</x:v>
      </x:c>
      <x:c r="K56" s="47" t="n">
        <x:f>IF(J56=0,999,F56/J56)</x:f>
        <x:v>61.84305255579553</x:v>
      </x:c>
      <x:c r="L56" s="53" t="n">
        <x:v>13</x:v>
      </x:c>
      <x:c r="M56" s="53" t="n">
        <x:f>ROUNDUP(J56*SQRT(L56)*1.65,0)</x:f>
        <x:v>83</x:v>
      </x:c>
      <x:c r="N56" s="53" t="n">
        <x:f>ROUNDUP(J56*L56+M56,0)</x:f>
        <x:v>264</x:v>
      </x:c>
      <x:c r="O56" s="42" t="str">
        <x:f>IF(F56&lt;=0,"Critical",IF(F56&lt;N56,"High",IF(F56&lt;N56*1.5,"Medium","Low")))</x:f>
        <x:v>Low</x:v>
      </x:c>
      <x:c r="P56" s="53" t="n">
        <x:f>MAX(0,F56-(J56*90+M56))</x:f>
        <x:v>0</x:v>
      </x:c>
      <x:c r="Q56" s="44" t="n">
        <x:f>P56*H56</x:f>
        <x:v>0</x:v>
      </x:c>
      <x:c r="R56" s="50" t="n">
        <x:v>46098</x:v>
      </x:c>
      <x:c r="S56" s="53" t="n">
        <x:f>'Assumptions'!$B$13-R56</x:f>
        <x:v>147</x:v>
      </x:c>
      <x:c r="T56" s="42" t="str">
        <x:f>IF(S56&gt;=180,"High",IF(S56&gt;=120,"Medium","Low"))</x:f>
        <x:v>Medium</x:v>
      </x:c>
    </x:row>
    <x:row r="57">
      <x:c r="A57" s="14" t="str">
        <x:v>SKU-0056</x:v>
      </x:c>
      <x:c r="B57" s="14" t="str">
        <x:v>Lubricants Item 056</x:v>
      </x:c>
      <x:c r="C57" s="14" t="str">
        <x:v>B</x:v>
      </x:c>
      <x:c r="D57" s="52" t="n">
        <x:v>248</x:v>
      </x:c>
      <x:c r="E57" s="52" t="n">
        <x:v>7</x:v>
      </x:c>
      <x:c r="F57" s="53" t="n">
        <x:f>D57-E57</x:f>
        <x:v>241</x:v>
      </x:c>
      <x:c r="G57" s="52" t="n">
        <x:v>84</x:v>
      </x:c>
      <x:c r="H57" s="40" t="n">
        <x:v>219.68</x:v>
      </x:c>
      <x:c r="I57" s="44" t="n">
        <x:f>D57*H57</x:f>
        <x:v>54480.64</x:v>
      </x:c>
      <x:c r="J57" s="46" t="n">
        <x:v>2.86</x:v>
      </x:c>
      <x:c r="K57" s="47" t="n">
        <x:f>IF(J57=0,999,F57/J57)</x:f>
        <x:v>84.26573426573427</x:v>
      </x:c>
      <x:c r="L57" s="53" t="n">
        <x:v>39</x:v>
      </x:c>
      <x:c r="M57" s="53" t="n">
        <x:f>ROUNDUP(J57*SQRT(L57)*1.65,0)</x:f>
        <x:v>30</x:v>
      </x:c>
      <x:c r="N57" s="53" t="n">
        <x:f>ROUNDUP(J57*L57+M57,0)</x:f>
        <x:v>142</x:v>
      </x:c>
      <x:c r="O57" s="42" t="str">
        <x:f>IF(F57&lt;=0,"Critical",IF(F57&lt;N57,"High",IF(F57&lt;N57*1.5,"Medium","Low")))</x:f>
        <x:v>Low</x:v>
      </x:c>
      <x:c r="P57" s="53" t="n">
        <x:f>MAX(0,F57-(J57*90+M57))</x:f>
        <x:v>0</x:v>
      </x:c>
      <x:c r="Q57" s="44" t="n">
        <x:f>P57*H57</x:f>
        <x:v>0</x:v>
      </x:c>
      <x:c r="R57" s="50" t="n">
        <x:v>46226</x:v>
      </x:c>
      <x:c r="S57" s="53" t="n">
        <x:f>'Assumptions'!$B$13-R57</x:f>
        <x:v>19</x:v>
      </x:c>
      <x:c r="T57" s="42" t="str">
        <x:f>IF(S57&gt;=180,"High",IF(S57&gt;=120,"Medium","Low"))</x:f>
        <x:v>Low</x:v>
      </x:c>
    </x:row>
    <x:row r="58">
      <x:c r="A58" s="14" t="str">
        <x:v>SKU-0057</x:v>
      </x:c>
      <x:c r="B58" s="14" t="str">
        <x:v>Storage Item 057</x:v>
      </x:c>
      <x:c r="C58" s="14" t="str">
        <x:v>C</x:v>
      </x:c>
      <x:c r="D58" s="52" t="n">
        <x:v>883</x:v>
      </x:c>
      <x:c r="E58" s="52" t="n">
        <x:v>54</x:v>
      </x:c>
      <x:c r="F58" s="53" t="n">
        <x:f>D58-E58</x:f>
        <x:v>829</x:v>
      </x:c>
      <x:c r="G58" s="52" t="n">
        <x:v>0</x:v>
      </x:c>
      <x:c r="H58" s="40" t="n">
        <x:v>122.8</x:v>
      </x:c>
      <x:c r="I58" s="44" t="n">
        <x:f>D58*H58</x:f>
        <x:v>108432.4</x:v>
      </x:c>
      <x:c r="J58" s="46" t="n">
        <x:v>10.43</x:v>
      </x:c>
      <x:c r="K58" s="47" t="n">
        <x:f>IF(J58=0,999,F58/J58)</x:f>
        <x:v>79.48226270373921</x:v>
      </x:c>
      <x:c r="L58" s="53" t="n">
        <x:v>16</x:v>
      </x:c>
      <x:c r="M58" s="53" t="n">
        <x:f>ROUNDUP(J58*SQRT(L58)*1.65,0)</x:f>
        <x:v>69</x:v>
      </x:c>
      <x:c r="N58" s="53" t="n">
        <x:f>ROUNDUP(J58*L58+M58,0)</x:f>
        <x:v>236</x:v>
      </x:c>
      <x:c r="O58" s="42" t="str">
        <x:f>IF(F58&lt;=0,"Critical",IF(F58&lt;N58,"High",IF(F58&lt;N58*1.5,"Medium","Low")))</x:f>
        <x:v>Low</x:v>
      </x:c>
      <x:c r="P58" s="53" t="n">
        <x:f>MAX(0,F58-(J58*90+M58))</x:f>
        <x:v>0</x:v>
      </x:c>
      <x:c r="Q58" s="44" t="n">
        <x:f>P58*H58</x:f>
        <x:v>0</x:v>
      </x:c>
      <x:c r="R58" s="50" t="n">
        <x:v>46042</x:v>
      </x:c>
      <x:c r="S58" s="53" t="n">
        <x:f>'Assumptions'!$B$13-R58</x:f>
        <x:v>203</x:v>
      </x:c>
      <x:c r="T58" s="42" t="str">
        <x:f>IF(S58&gt;=180,"High",IF(S58&gt;=120,"Medium","Low"))</x:f>
        <x:v>High</x:v>
      </x:c>
    </x:row>
    <x:row r="59">
      <x:c r="A59" s="14" t="str">
        <x:v>SKU-0058</x:v>
      </x:c>
      <x:c r="B59" s="14" t="str">
        <x:v>First Aid Item 058</x:v>
      </x:c>
      <x:c r="C59" s="14" t="str">
        <x:v>B</x:v>
      </x:c>
      <x:c r="D59" s="52" t="n">
        <x:v>631</x:v>
      </x:c>
      <x:c r="E59" s="52" t="n">
        <x:v>192</x:v>
      </x:c>
      <x:c r="F59" s="53" t="n">
        <x:f>D59-E59</x:f>
        <x:v>439</x:v>
      </x:c>
      <x:c r="G59" s="52" t="n">
        <x:v>17</x:v>
      </x:c>
      <x:c r="H59" s="40" t="n">
        <x:v>226.78</x:v>
      </x:c>
      <x:c r="I59" s="44" t="n">
        <x:f>D59*H59</x:f>
        <x:v>143098.18</x:v>
      </x:c>
      <x:c r="J59" s="46" t="n">
        <x:v>8.63</x:v>
      </x:c>
      <x:c r="K59" s="47" t="n">
        <x:f>IF(J59=0,999,F59/J59)</x:f>
        <x:v>50.86906141367323</x:v>
      </x:c>
      <x:c r="L59" s="53" t="n">
        <x:v>44</x:v>
      </x:c>
      <x:c r="M59" s="53" t="n">
        <x:f>ROUNDUP(J59*SQRT(L59)*1.65,0)</x:f>
        <x:v>95</x:v>
      </x:c>
      <x:c r="N59" s="53" t="n">
        <x:f>ROUNDUP(J59*L59+M59,0)</x:f>
        <x:v>475</x:v>
      </x:c>
      <x:c r="O59" s="42" t="str">
        <x:f>IF(F59&lt;=0,"Critical",IF(F59&lt;N59,"High",IF(F59&lt;N59*1.5,"Medium","Low")))</x:f>
        <x:v>High</x:v>
      </x:c>
      <x:c r="P59" s="53" t="n">
        <x:f>MAX(0,F59-(J59*90+M59))</x:f>
        <x:v>0</x:v>
      </x:c>
      <x:c r="Q59" s="44" t="n">
        <x:f>P59*H59</x:f>
        <x:v>0</x:v>
      </x:c>
      <x:c r="R59" s="50" t="n">
        <x:v>46093</x:v>
      </x:c>
      <x:c r="S59" s="53" t="n">
        <x:f>'Assumptions'!$B$13-R59</x:f>
        <x:v>152</x:v>
      </x:c>
      <x:c r="T59" s="42" t="str">
        <x:f>IF(S59&gt;=180,"High",IF(S59&gt;=120,"Medium","Low"))</x:f>
        <x:v>Medium</x:v>
      </x:c>
    </x:row>
    <x:row r="60">
      <x:c r="A60" s="14" t="str">
        <x:v>SKU-0059</x:v>
      </x:c>
      <x:c r="B60" s="14" t="str">
        <x:v>Cartons Item 059</x:v>
      </x:c>
      <x:c r="C60" s="14" t="str">
        <x:v>B</x:v>
      </x:c>
      <x:c r="D60" s="52" t="n">
        <x:v>564</x:v>
      </x:c>
      <x:c r="E60" s="52" t="n">
        <x:v>56</x:v>
      </x:c>
      <x:c r="F60" s="53" t="n">
        <x:f>D60-E60</x:f>
        <x:v>508</x:v>
      </x:c>
      <x:c r="G60" s="52" t="n">
        <x:v>0</x:v>
      </x:c>
      <x:c r="H60" s="40" t="n">
        <x:v>247.15</x:v>
      </x:c>
      <x:c r="I60" s="44" t="n">
        <x:f>D60*H60</x:f>
        <x:v>139392.6</x:v>
      </x:c>
      <x:c r="J60" s="46" t="n">
        <x:v>6.04</x:v>
      </x:c>
      <x:c r="K60" s="47" t="n">
        <x:f>IF(J60=0,999,F60/J60)</x:f>
        <x:v>84.10596026490066</x:v>
      </x:c>
      <x:c r="L60" s="53" t="n">
        <x:v>31</x:v>
      </x:c>
      <x:c r="M60" s="53" t="n">
        <x:f>ROUNDUP(J60*SQRT(L60)*1.65,0)</x:f>
        <x:v>56</x:v>
      </x:c>
      <x:c r="N60" s="53" t="n">
        <x:f>ROUNDUP(J60*L60+M60,0)</x:f>
        <x:v>244</x:v>
      </x:c>
      <x:c r="O60" s="42" t="str">
        <x:f>IF(F60&lt;=0,"Critical",IF(F60&lt;N60,"High",IF(F60&lt;N60*1.5,"Medium","Low")))</x:f>
        <x:v>Low</x:v>
      </x:c>
      <x:c r="P60" s="53" t="n">
        <x:f>MAX(0,F60-(J60*90+M60))</x:f>
        <x:v>0</x:v>
      </x:c>
      <x:c r="Q60" s="44" t="n">
        <x:f>P60*H60</x:f>
        <x:v>0</x:v>
      </x:c>
      <x:c r="R60" s="50" t="n">
        <x:v>45967</x:v>
      </x:c>
      <x:c r="S60" s="53" t="n">
        <x:f>'Assumptions'!$B$13-R60</x:f>
        <x:v>278</x:v>
      </x:c>
      <x:c r="T60" s="42" t="str">
        <x:f>IF(S60&gt;=180,"High",IF(S60&gt;=120,"Medium","Low"))</x:f>
        <x:v>High</x:v>
      </x:c>
    </x:row>
    <x:row r="61">
      <x:c r="A61" s="14" t="str">
        <x:v>SKU-0060</x:v>
      </x:c>
      <x:c r="B61" s="14" t="str">
        <x:v>Bearings Item 060</x:v>
      </x:c>
      <x:c r="C61" s="14" t="str">
        <x:v>B</x:v>
      </x:c>
      <x:c r="D61" s="52" t="n">
        <x:v>142</x:v>
      </x:c>
      <x:c r="E61" s="52" t="n">
        <x:v>25</x:v>
      </x:c>
      <x:c r="F61" s="53" t="n">
        <x:f>D61-E61</x:f>
        <x:v>117</x:v>
      </x:c>
      <x:c r="G61" s="52" t="n">
        <x:v>323</x:v>
      </x:c>
      <x:c r="H61" s="40" t="n">
        <x:v>61.36</x:v>
      </x:c>
      <x:c r="I61" s="44" t="n">
        <x:f>D61*H61</x:f>
        <x:v>8713.12</x:v>
      </x:c>
      <x:c r="J61" s="46" t="n">
        <x:v>7.26</x:v>
      </x:c>
      <x:c r="K61" s="47" t="n">
        <x:f>IF(J61=0,999,F61/J61)</x:f>
        <x:v>16.115702479338843</x:v>
      </x:c>
      <x:c r="L61" s="53" t="n">
        <x:v>24</x:v>
      </x:c>
      <x:c r="M61" s="53" t="n">
        <x:f>ROUNDUP(J61*SQRT(L61)*1.65,0)</x:f>
        <x:v>59</x:v>
      </x:c>
      <x:c r="N61" s="53" t="n">
        <x:f>ROUNDUP(J61*L61+M61,0)</x:f>
        <x:v>234</x:v>
      </x:c>
      <x:c r="O61" s="42" t="str">
        <x:f>IF(F61&lt;=0,"Critical",IF(F61&lt;N61,"High",IF(F61&lt;N61*1.5,"Medium","Low")))</x:f>
        <x:v>High</x:v>
      </x:c>
      <x:c r="P61" s="53" t="n">
        <x:f>MAX(0,F61-(J61*90+M61))</x:f>
        <x:v>0</x:v>
      </x:c>
      <x:c r="Q61" s="44" t="n">
        <x:f>P61*H61</x:f>
        <x:v>0</x:v>
      </x:c>
      <x:c r="R61" s="50" t="n">
        <x:v>46076</x:v>
      </x:c>
      <x:c r="S61" s="53" t="n">
        <x:f>'Assumptions'!$B$13-R61</x:f>
        <x:v>169</x:v>
      </x:c>
      <x:c r="T61" s="42" t="str">
        <x:f>IF(S61&gt;=180,"High",IF(S61&gt;=120,"Medium","Low"))</x:f>
        <x:v>Medium</x:v>
      </x:c>
    </x:row>
    <x:row r="62">
      <x:c r="A62" s="14" t="str">
        <x:v>SKU-0061</x:v>
      </x:c>
      <x:c r="B62" s="14" t="str">
        <x:v>Cartons Item 061</x:v>
      </x:c>
      <x:c r="C62" s="14" t="str">
        <x:v>C</x:v>
      </x:c>
      <x:c r="D62" s="52" t="n">
        <x:v>74</x:v>
      </x:c>
      <x:c r="E62" s="52" t="n">
        <x:v>4</x:v>
      </x:c>
      <x:c r="F62" s="53" t="n">
        <x:f>D62-E62</x:f>
        <x:v>70</x:v>
      </x:c>
      <x:c r="G62" s="52" t="n">
        <x:v>0</x:v>
      </x:c>
      <x:c r="H62" s="40" t="n">
        <x:v>202.32</x:v>
      </x:c>
      <x:c r="I62" s="44" t="n">
        <x:f>D62*H62</x:f>
        <x:v>14971.68</x:v>
      </x:c>
      <x:c r="J62" s="46" t="n">
        <x:v>2.45</x:v>
      </x:c>
      <x:c r="K62" s="47" t="n">
        <x:f>IF(J62=0,999,F62/J62)</x:f>
        <x:v>28.57142857142857</x:v>
      </x:c>
      <x:c r="L62" s="53" t="n">
        <x:v>48</x:v>
      </x:c>
      <x:c r="M62" s="53" t="n">
        <x:f>ROUNDUP(J62*SQRT(L62)*1.65,0)</x:f>
        <x:v>29</x:v>
      </x:c>
      <x:c r="N62" s="53" t="n">
        <x:f>ROUNDUP(J62*L62+M62,0)</x:f>
        <x:v>147</x:v>
      </x:c>
      <x:c r="O62" s="42" t="str">
        <x:f>IF(F62&lt;=0,"Critical",IF(F62&lt;N62,"High",IF(F62&lt;N62*1.5,"Medium","Low")))</x:f>
        <x:v>High</x:v>
      </x:c>
      <x:c r="P62" s="53" t="n">
        <x:f>MAX(0,F62-(J62*90+M62))</x:f>
        <x:v>0</x:v>
      </x:c>
      <x:c r="Q62" s="44" t="n">
        <x:f>P62*H62</x:f>
        <x:v>0</x:v>
      </x:c>
      <x:c r="R62" s="50" t="n">
        <x:v>46094</x:v>
      </x:c>
      <x:c r="S62" s="53" t="n">
        <x:f>'Assumptions'!$B$13-R62</x:f>
        <x:v>151</x:v>
      </x:c>
      <x:c r="T62" s="42" t="str">
        <x:f>IF(S62&gt;=180,"High",IF(S62&gt;=120,"Medium","Low"))</x:f>
        <x:v>Medium</x:v>
      </x:c>
    </x:row>
    <x:row r="63">
      <x:c r="A63" s="14" t="str">
        <x:v>SKU-0062</x:v>
      </x:c>
      <x:c r="B63" s="14" t="str">
        <x:v>Sensors Item 062</x:v>
      </x:c>
      <x:c r="C63" s="14" t="str">
        <x:v>B</x:v>
      </x:c>
      <x:c r="D63" s="52" t="n">
        <x:v>182</x:v>
      </x:c>
      <x:c r="E63" s="52" t="n">
        <x:v>54</x:v>
      </x:c>
      <x:c r="F63" s="53" t="n">
        <x:f>D63-E63</x:f>
        <x:v>128</x:v>
      </x:c>
      <x:c r="G63" s="52" t="n">
        <x:v>0</x:v>
      </x:c>
      <x:c r="H63" s="40" t="n">
        <x:v>63.99</x:v>
      </x:c>
      <x:c r="I63" s="44" t="n">
        <x:f>D63*H63</x:f>
        <x:v>11646.18</x:v>
      </x:c>
      <x:c r="J63" s="46" t="n">
        <x:v>7.84</x:v>
      </x:c>
      <x:c r="K63" s="47" t="n">
        <x:f>IF(J63=0,999,F63/J63)</x:f>
        <x:v>16.3265306122449</x:v>
      </x:c>
      <x:c r="L63" s="53" t="n">
        <x:v>37</x:v>
      </x:c>
      <x:c r="M63" s="53" t="n">
        <x:f>ROUNDUP(J63*SQRT(L63)*1.65,0)</x:f>
        <x:v>79</x:v>
      </x:c>
      <x:c r="N63" s="53" t="n">
        <x:f>ROUNDUP(J63*L63+M63,0)</x:f>
        <x:v>370</x:v>
      </x:c>
      <x:c r="O63" s="42" t="str">
        <x:f>IF(F63&lt;=0,"Critical",IF(F63&lt;N63,"High",IF(F63&lt;N63*1.5,"Medium","Low")))</x:f>
        <x:v>High</x:v>
      </x:c>
      <x:c r="P63" s="53" t="n">
        <x:f>MAX(0,F63-(J63*90+M63))</x:f>
        <x:v>0</x:v>
      </x:c>
      <x:c r="Q63" s="44" t="n">
        <x:f>P63*H63</x:f>
        <x:v>0</x:v>
      </x:c>
      <x:c r="R63" s="50" t="n">
        <x:v>46027</x:v>
      </x:c>
      <x:c r="S63" s="53" t="n">
        <x:f>'Assumptions'!$B$13-R63</x:f>
        <x:v>218</x:v>
      </x:c>
      <x:c r="T63" s="42" t="str">
        <x:f>IF(S63&gt;=180,"High",IF(S63&gt;=120,"Medium","Low"))</x:f>
        <x:v>High</x:v>
      </x:c>
    </x:row>
    <x:row r="64">
      <x:c r="A64" s="14" t="str">
        <x:v>SKU-0063</x:v>
      </x:c>
      <x:c r="B64" s="14" t="str">
        <x:v>Accessories Item 063</x:v>
      </x:c>
      <x:c r="C64" s="14" t="str">
        <x:v>B</x:v>
      </x:c>
      <x:c r="D64" s="52" t="n">
        <x:v>370</x:v>
      </x:c>
      <x:c r="E64" s="52" t="n">
        <x:v>23</x:v>
      </x:c>
      <x:c r="F64" s="53" t="n">
        <x:f>D64-E64</x:f>
        <x:v>347</x:v>
      </x:c>
      <x:c r="G64" s="52" t="n">
        <x:v>99</x:v>
      </x:c>
      <x:c r="H64" s="40" t="n">
        <x:v>197.54</x:v>
      </x:c>
      <x:c r="I64" s="44" t="n">
        <x:f>D64*H64</x:f>
        <x:v>73089.8</x:v>
      </x:c>
      <x:c r="J64" s="46" t="n">
        <x:v>5.59</x:v>
      </x:c>
      <x:c r="K64" s="47" t="n">
        <x:f>IF(J64=0,999,F64/J64)</x:f>
        <x:v>62.075134168157426</x:v>
      </x:c>
      <x:c r="L64" s="53" t="n">
        <x:v>19</x:v>
      </x:c>
      <x:c r="M64" s="53" t="n">
        <x:f>ROUNDUP(J64*SQRT(L64)*1.65,0)</x:f>
        <x:v>41</x:v>
      </x:c>
      <x:c r="N64" s="53" t="n">
        <x:f>ROUNDUP(J64*L64+M64,0)</x:f>
        <x:v>148</x:v>
      </x:c>
      <x:c r="O64" s="42" t="str">
        <x:f>IF(F64&lt;=0,"Critical",IF(F64&lt;N64,"High",IF(F64&lt;N64*1.5,"Medium","Low")))</x:f>
        <x:v>Low</x:v>
      </x:c>
      <x:c r="P64" s="53" t="n">
        <x:f>MAX(0,F64-(J64*90+M64))</x:f>
        <x:v>0</x:v>
      </x:c>
      <x:c r="Q64" s="44" t="n">
        <x:f>P64*H64</x:f>
        <x:v>0</x:v>
      </x:c>
      <x:c r="R64" s="50" t="n">
        <x:v>46118</x:v>
      </x:c>
      <x:c r="S64" s="53" t="n">
        <x:f>'Assumptions'!$B$13-R64</x:f>
        <x:v>127</x:v>
      </x:c>
      <x:c r="T64" s="42" t="str">
        <x:f>IF(S64&gt;=180,"High",IF(S64&gt;=120,"Medium","Low"))</x:f>
        <x:v>Medium</x:v>
      </x:c>
    </x:row>
    <x:row r="65">
      <x:c r="A65" s="14" t="str">
        <x:v>SKU-0064</x:v>
      </x:c>
      <x:c r="B65" s="14" t="str">
        <x:v>Eyewear Item 064</x:v>
      </x:c>
      <x:c r="C65" s="14" t="str">
        <x:v>C</x:v>
      </x:c>
      <x:c r="D65" s="52" t="n">
        <x:v>91</x:v>
      </x:c>
      <x:c r="E65" s="52" t="n">
        <x:v>8</x:v>
      </x:c>
      <x:c r="F65" s="53" t="n">
        <x:f>D65-E65</x:f>
        <x:v>83</x:v>
      </x:c>
      <x:c r="G65" s="52" t="n">
        <x:v>62</x:v>
      </x:c>
      <x:c r="H65" s="40" t="n">
        <x:v>62.55</x:v>
      </x:c>
      <x:c r="I65" s="44" t="n">
        <x:f>D65*H65</x:f>
        <x:v>5692.05</x:v>
      </x:c>
      <x:c r="J65" s="46" t="n">
        <x:v>1.96</x:v>
      </x:c>
      <x:c r="K65" s="47" t="n">
        <x:f>IF(J65=0,999,F65/J65)</x:f>
        <x:v>42.3469387755102</x:v>
      </x:c>
      <x:c r="L65" s="53" t="n">
        <x:v>25</x:v>
      </x:c>
      <x:c r="M65" s="53" t="n">
        <x:f>ROUNDUP(J65*SQRT(L65)*1.65,0)</x:f>
        <x:v>17</x:v>
      </x:c>
      <x:c r="N65" s="53" t="n">
        <x:f>ROUNDUP(J65*L65+M65,0)</x:f>
        <x:v>66</x:v>
      </x:c>
      <x:c r="O65" s="42" t="str">
        <x:f>IF(F65&lt;=0,"Critical",IF(F65&lt;N65,"High",IF(F65&lt;N65*1.5,"Medium","Low")))</x:f>
        <x:v>Medium</x:v>
      </x:c>
      <x:c r="P65" s="53" t="n">
        <x:f>MAX(0,F65-(J65*90+M65))</x:f>
        <x:v>0</x:v>
      </x:c>
      <x:c r="Q65" s="44" t="n">
        <x:f>P65*H65</x:f>
        <x:v>0</x:v>
      </x:c>
      <x:c r="R65" s="50" t="n">
        <x:v>45952</x:v>
      </x:c>
      <x:c r="S65" s="53" t="n">
        <x:f>'Assumptions'!$B$13-R65</x:f>
        <x:v>293</x:v>
      </x:c>
      <x:c r="T65" s="42" t="str">
        <x:f>IF(S65&gt;=180,"High",IF(S65&gt;=120,"Medium","Low"))</x:f>
        <x:v>High</x:v>
      </x:c>
    </x:row>
    <x:row r="66">
      <x:c r="A66" s="14" t="str">
        <x:v>SKU-0065</x:v>
      </x:c>
      <x:c r="B66" s="14" t="str">
        <x:v>Bearings Item 065</x:v>
      </x:c>
      <x:c r="C66" s="14" t="str">
        <x:v>B</x:v>
      </x:c>
      <x:c r="D66" s="52" t="n">
        <x:v>130</x:v>
      </x:c>
      <x:c r="E66" s="52" t="n">
        <x:v>13</x:v>
      </x:c>
      <x:c r="F66" s="53" t="n">
        <x:f>D66-E66</x:f>
        <x:v>117</x:v>
      </x:c>
      <x:c r="G66" s="52" t="n">
        <x:v>197</x:v>
      </x:c>
      <x:c r="H66" s="40" t="n">
        <x:v>52.3</x:v>
      </x:c>
      <x:c r="I66" s="44" t="n">
        <x:f>D66*H66</x:f>
        <x:v>6799</x:v>
      </x:c>
      <x:c r="J66" s="46" t="n">
        <x:v>7.13</x:v>
      </x:c>
      <x:c r="K66" s="47" t="n">
        <x:f>IF(J66=0,999,F66/J66)</x:f>
        <x:v>16.40953716690042</x:v>
      </x:c>
      <x:c r="L66" s="53" t="n">
        <x:v>10</x:v>
      </x:c>
      <x:c r="M66" s="53" t="n">
        <x:f>ROUNDUP(J66*SQRT(L66)*1.65,0)</x:f>
        <x:v>38</x:v>
      </x:c>
      <x:c r="N66" s="53" t="n">
        <x:f>ROUNDUP(J66*L66+M66,0)</x:f>
        <x:v>110</x:v>
      </x:c>
      <x:c r="O66" s="42" t="str">
        <x:f>IF(F66&lt;=0,"Critical",IF(F66&lt;N66,"High",IF(F66&lt;N66*1.5,"Medium","Low")))</x:f>
        <x:v>Medium</x:v>
      </x:c>
      <x:c r="P66" s="53" t="n">
        <x:f>MAX(0,F66-(J66*90+M66))</x:f>
        <x:v>0</x:v>
      </x:c>
      <x:c r="Q66" s="44" t="n">
        <x:f>P66*H66</x:f>
        <x:v>0</x:v>
      </x:c>
      <x:c r="R66" s="50" t="n">
        <x:v>46086</x:v>
      </x:c>
      <x:c r="S66" s="53" t="n">
        <x:f>'Assumptions'!$B$13-R66</x:f>
        <x:v>159</x:v>
      </x:c>
      <x:c r="T66" s="42" t="str">
        <x:f>IF(S66&gt;=180,"High",IF(S66&gt;=120,"Medium","Low"))</x:f>
        <x:v>Medium</x:v>
      </x:c>
    </x:row>
    <x:row r="67">
      <x:c r="A67" s="14" t="str">
        <x:v>SKU-0066</x:v>
      </x:c>
      <x:c r="B67" s="14" t="str">
        <x:v>Tape Item 066</x:v>
      </x:c>
      <x:c r="C67" s="14" t="str">
        <x:v>B</x:v>
      </x:c>
      <x:c r="D67" s="52" t="n">
        <x:v>968</x:v>
      </x:c>
      <x:c r="E67" s="52" t="n">
        <x:v>124</x:v>
      </x:c>
      <x:c r="F67" s="53" t="n">
        <x:f>D67-E67</x:f>
        <x:v>844</x:v>
      </x:c>
      <x:c r="G67" s="52" t="n">
        <x:v>567</x:v>
      </x:c>
      <x:c r="H67" s="40" t="n">
        <x:v>244.68</x:v>
      </x:c>
      <x:c r="I67" s="44" t="n">
        <x:f>D67*H67</x:f>
        <x:v>236850.24000000002</x:v>
      </x:c>
      <x:c r="J67" s="46" t="n">
        <x:v>10.78</x:v>
      </x:c>
      <x:c r="K67" s="47" t="n">
        <x:f>IF(J67=0,999,F67/J67)</x:f>
        <x:v>78.29313543599258</x:v>
      </x:c>
      <x:c r="L67" s="53" t="n">
        <x:v>18</x:v>
      </x:c>
      <x:c r="M67" s="53" t="n">
        <x:f>ROUNDUP(J67*SQRT(L67)*1.65,0)</x:f>
        <x:v>76</x:v>
      </x:c>
      <x:c r="N67" s="53" t="n">
        <x:f>ROUNDUP(J67*L67+M67,0)</x:f>
        <x:v>271</x:v>
      </x:c>
      <x:c r="O67" s="42" t="str">
        <x:f>IF(F67&lt;=0,"Critical",IF(F67&lt;N67,"High",IF(F67&lt;N67*1.5,"Medium","Low")))</x:f>
        <x:v>Low</x:v>
      </x:c>
      <x:c r="P67" s="53" t="n">
        <x:f>MAX(0,F67-(J67*90+M67))</x:f>
        <x:v>0</x:v>
      </x:c>
      <x:c r="Q67" s="44" t="n">
        <x:f>P67*H67</x:f>
        <x:v>0</x:v>
      </x:c>
      <x:c r="R67" s="50" t="n">
        <x:v>46001</x:v>
      </x:c>
      <x:c r="S67" s="53" t="n">
        <x:f>'Assumptions'!$B$13-R67</x:f>
        <x:v>244</x:v>
      </x:c>
      <x:c r="T67" s="42" t="str">
        <x:f>IF(S67&gt;=180,"High",IF(S67&gt;=120,"Medium","Low"))</x:f>
        <x:v>High</x:v>
      </x:c>
    </x:row>
    <x:row r="68">
      <x:c r="A68" s="14" t="str">
        <x:v>SKU-0067</x:v>
      </x:c>
      <x:c r="B68" s="14" t="str">
        <x:v>Paper Item 067</x:v>
      </x:c>
      <x:c r="C68" s="14" t="str">
        <x:v>C</x:v>
      </x:c>
      <x:c r="D68" s="52" t="n">
        <x:v>385</x:v>
      </x:c>
      <x:c r="E68" s="52" t="n">
        <x:v>63</x:v>
      </x:c>
      <x:c r="F68" s="53" t="n">
        <x:f>D68-E68</x:f>
        <x:v>322</x:v>
      </x:c>
      <x:c r="G68" s="52" t="n">
        <x:v>252</x:v>
      </x:c>
      <x:c r="H68" s="40" t="n">
        <x:v>113.7</x:v>
      </x:c>
      <x:c r="I68" s="44" t="n">
        <x:f>D68*H68</x:f>
        <x:v>43774.5</x:v>
      </x:c>
      <x:c r="J68" s="46" t="n">
        <x:v>6.91</x:v>
      </x:c>
      <x:c r="K68" s="47" t="n">
        <x:f>IF(J68=0,999,F68/J68)</x:f>
        <x:v>46.59913169319826</x:v>
      </x:c>
      <x:c r="L68" s="53" t="n">
        <x:v>16</x:v>
      </x:c>
      <x:c r="M68" s="53" t="n">
        <x:f>ROUNDUP(J68*SQRT(L68)*1.65,0)</x:f>
        <x:v>46</x:v>
      </x:c>
      <x:c r="N68" s="53" t="n">
        <x:f>ROUNDUP(J68*L68+M68,0)</x:f>
        <x:v>157</x:v>
      </x:c>
      <x:c r="O68" s="42" t="str">
        <x:f>IF(F68&lt;=0,"Critical",IF(F68&lt;N68,"High",IF(F68&lt;N68*1.5,"Medium","Low")))</x:f>
        <x:v>Low</x:v>
      </x:c>
      <x:c r="P68" s="53" t="n">
        <x:f>MAX(0,F68-(J68*90+M68))</x:f>
        <x:v>0</x:v>
      </x:c>
      <x:c r="Q68" s="44" t="n">
        <x:f>P68*H68</x:f>
        <x:v>0</x:v>
      </x:c>
      <x:c r="R68" s="50" t="n">
        <x:v>46134</x:v>
      </x:c>
      <x:c r="S68" s="53" t="n">
        <x:f>'Assumptions'!$B$13-R68</x:f>
        <x:v>111</x:v>
      </x:c>
      <x:c r="T68" s="42" t="str">
        <x:f>IF(S68&gt;=180,"High",IF(S68&gt;=120,"Medium","Low"))</x:f>
        <x:v>Low</x:v>
      </x:c>
    </x:row>
    <x:row r="69">
      <x:c r="A69" s="14" t="str">
        <x:v>SKU-0068</x:v>
      </x:c>
      <x:c r="B69" s="14" t="str">
        <x:v>Cables Item 068</x:v>
      </x:c>
      <x:c r="C69" s="14" t="str">
        <x:v>C</x:v>
      </x:c>
      <x:c r="D69" s="52" t="n">
        <x:v>939</x:v>
      </x:c>
      <x:c r="E69" s="52" t="n">
        <x:v>258</x:v>
      </x:c>
      <x:c r="F69" s="53" t="n">
        <x:f>D69-E69</x:f>
        <x:v>681</x:v>
      </x:c>
      <x:c r="G69" s="52" t="n">
        <x:v>456</x:v>
      </x:c>
      <x:c r="H69" s="40" t="n">
        <x:v>157.37</x:v>
      </x:c>
      <x:c r="I69" s="44" t="n">
        <x:f>D69*H69</x:f>
        <x:v>147770.43</x:v>
      </x:c>
      <x:c r="J69" s="46" t="n">
        <x:v>15.71</x:v>
      </x:c>
      <x:c r="K69" s="47" t="n">
        <x:f>IF(J69=0,999,F69/J69)</x:f>
        <x:v>43.34818586887333</x:v>
      </x:c>
      <x:c r="L69" s="53" t="n">
        <x:v>56</x:v>
      </x:c>
      <x:c r="M69" s="53" t="n">
        <x:f>ROUNDUP(J69*SQRT(L69)*1.65,0)</x:f>
        <x:v>194</x:v>
      </x:c>
      <x:c r="N69" s="53" t="n">
        <x:f>ROUNDUP(J69*L69+M69,0)</x:f>
        <x:v>1074</x:v>
      </x:c>
      <x:c r="O69" s="42" t="str">
        <x:f>IF(F69&lt;=0,"Critical",IF(F69&lt;N69,"High",IF(F69&lt;N69*1.5,"Medium","Low")))</x:f>
        <x:v>High</x:v>
      </x:c>
      <x:c r="P69" s="53" t="n">
        <x:f>MAX(0,F69-(J69*90+M69))</x:f>
        <x:v>0</x:v>
      </x:c>
      <x:c r="Q69" s="44" t="n">
        <x:f>P69*H69</x:f>
        <x:v>0</x:v>
      </x:c>
      <x:c r="R69" s="50" t="n">
        <x:v>46060</x:v>
      </x:c>
      <x:c r="S69" s="53" t="n">
        <x:f>'Assumptions'!$B$13-R69</x:f>
        <x:v>185</x:v>
      </x:c>
      <x:c r="T69" s="42" t="str">
        <x:f>IF(S69&gt;=180,"High",IF(S69&gt;=120,"Medium","Low"))</x:f>
        <x:v>High</x:v>
      </x:c>
    </x:row>
    <x:row r="70">
      <x:c r="A70" s="14" t="str">
        <x:v>SKU-0069</x:v>
      </x:c>
      <x:c r="B70" s="14" t="str">
        <x:v>Accessories Item 069</x:v>
      </x:c>
      <x:c r="C70" s="14" t="str">
        <x:v>C</x:v>
      </x:c>
      <x:c r="D70" s="52" t="n">
        <x:v>21</x:v>
      </x:c>
      <x:c r="E70" s="52" t="n">
        <x:v>4</x:v>
      </x:c>
      <x:c r="F70" s="53" t="n">
        <x:f>D70-E70</x:f>
        <x:v>17</x:v>
      </x:c>
      <x:c r="G70" s="52" t="n">
        <x:v>49</x:v>
      </x:c>
      <x:c r="H70" s="40" t="n">
        <x:v>277.23</x:v>
      </x:c>
      <x:c r="I70" s="44" t="n">
        <x:f>D70*H70</x:f>
        <x:v>5821.83</x:v>
      </x:c>
      <x:c r="J70" s="46" t="n">
        <x:v>1.58</x:v>
      </x:c>
      <x:c r="K70" s="47" t="n">
        <x:f>IF(J70=0,999,F70/J70)</x:f>
        <x:v>10.759493670886075</x:v>
      </x:c>
      <x:c r="L70" s="53" t="n">
        <x:v>13</x:v>
      </x:c>
      <x:c r="M70" s="53" t="n">
        <x:f>ROUNDUP(J70*SQRT(L70)*1.65,0)</x:f>
        <x:v>10</x:v>
      </x:c>
      <x:c r="N70" s="53" t="n">
        <x:f>ROUNDUP(J70*L70+M70,0)</x:f>
        <x:v>31</x:v>
      </x:c>
      <x:c r="O70" s="42" t="str">
        <x:f>IF(F70&lt;=0,"Critical",IF(F70&lt;N70,"High",IF(F70&lt;N70*1.5,"Medium","Low")))</x:f>
        <x:v>High</x:v>
      </x:c>
      <x:c r="P70" s="53" t="n">
        <x:f>MAX(0,F70-(J70*90+M70))</x:f>
        <x:v>0</x:v>
      </x:c>
      <x:c r="Q70" s="44" t="n">
        <x:f>P70*H70</x:f>
        <x:v>0</x:v>
      </x:c>
      <x:c r="R70" s="50" t="n">
        <x:v>46169</x:v>
      </x:c>
      <x:c r="S70" s="53" t="n">
        <x:f>'Assumptions'!$B$13-R70</x:f>
        <x:v>76</x:v>
      </x:c>
      <x:c r="T70" s="42" t="str">
        <x:f>IF(S70&gt;=180,"High",IF(S70&gt;=120,"Medium","Low"))</x:f>
        <x:v>Low</x:v>
      </x:c>
    </x:row>
    <x:row r="71">
      <x:c r="A71" s="14" t="str">
        <x:v>SKU-0070</x:v>
      </x:c>
      <x:c r="B71" s="14" t="str">
        <x:v>Fasteners Item 070</x:v>
      </x:c>
      <x:c r="C71" s="14" t="str">
        <x:v>A</x:v>
      </x:c>
      <x:c r="D71" s="52" t="n">
        <x:v>304</x:v>
      </x:c>
      <x:c r="E71" s="52" t="n">
        <x:v>52</x:v>
      </x:c>
      <x:c r="F71" s="53" t="n">
        <x:f>D71-E71</x:f>
        <x:v>252</x:v>
      </x:c>
      <x:c r="G71" s="52" t="n">
        <x:v>0</x:v>
      </x:c>
      <x:c r="H71" s="40" t="n">
        <x:v>69.06</x:v>
      </x:c>
      <x:c r="I71" s="44" t="n">
        <x:f>D71*H71</x:f>
        <x:v>20994.24</x:v>
      </x:c>
      <x:c r="J71" s="46" t="n">
        <x:v>4.33</x:v>
      </x:c>
      <x:c r="K71" s="47" t="n">
        <x:f>IF(J71=0,999,F71/J71)</x:f>
        <x:v>58.198614318706696</x:v>
      </x:c>
      <x:c r="L71" s="53" t="n">
        <x:v>51</x:v>
      </x:c>
      <x:c r="M71" s="53" t="n">
        <x:f>ROUNDUP(J71*SQRT(L71)*1.65,0)</x:f>
        <x:v>52</x:v>
      </x:c>
      <x:c r="N71" s="53" t="n">
        <x:f>ROUNDUP(J71*L71+M71,0)</x:f>
        <x:v>273</x:v>
      </x:c>
      <x:c r="O71" s="42" t="str">
        <x:f>IF(F71&lt;=0,"Critical",IF(F71&lt;N71,"High",IF(F71&lt;N71*1.5,"Medium","Low")))</x:f>
        <x:v>High</x:v>
      </x:c>
      <x:c r="P71" s="53" t="n">
        <x:f>MAX(0,F71-(J71*90+M71))</x:f>
        <x:v>0</x:v>
      </x:c>
      <x:c r="Q71" s="44" t="n">
        <x:f>P71*H71</x:f>
        <x:v>0</x:v>
      </x:c>
      <x:c r="R71" s="50" t="n">
        <x:v>46017</x:v>
      </x:c>
      <x:c r="S71" s="53" t="n">
        <x:f>'Assumptions'!$B$13-R71</x:f>
        <x:v>228</x:v>
      </x:c>
      <x:c r="T71" s="42" t="str">
        <x:f>IF(S71&gt;=180,"High",IF(S71&gt;=120,"Medium","Low"))</x:f>
        <x:v>High</x:v>
      </x:c>
    </x:row>
    <x:row r="72">
      <x:c r="A72" s="14" t="str">
        <x:v>SKU-0071</x:v>
      </x:c>
      <x:c r="B72" s="14" t="str">
        <x:v>Cables Item 071</x:v>
      </x:c>
      <x:c r="C72" s="14" t="str">
        <x:v>B</x:v>
      </x:c>
      <x:c r="D72" s="52" t="n">
        <x:v>596</x:v>
      </x:c>
      <x:c r="E72" s="52" t="n">
        <x:v>95</x:v>
      </x:c>
      <x:c r="F72" s="53" t="n">
        <x:f>D72-E72</x:f>
        <x:v>501</x:v>
      </x:c>
      <x:c r="G72" s="52" t="n">
        <x:v>287</x:v>
      </x:c>
      <x:c r="H72" s="40" t="n">
        <x:v>198.68</x:v>
      </x:c>
      <x:c r="I72" s="44" t="n">
        <x:f>D72*H72</x:f>
        <x:v>118413.28</x:v>
      </x:c>
      <x:c r="J72" s="46" t="n">
        <x:v>11.32</x:v>
      </x:c>
      <x:c r="K72" s="47" t="n">
        <x:f>IF(J72=0,999,F72/J72)</x:f>
        <x:v>44.25795053003534</x:v>
      </x:c>
      <x:c r="L72" s="53" t="n">
        <x:v>23</x:v>
      </x:c>
      <x:c r="M72" s="53" t="n">
        <x:f>ROUNDUP(J72*SQRT(L72)*1.65,0)</x:f>
        <x:v>90</x:v>
      </x:c>
      <x:c r="N72" s="53" t="n">
        <x:f>ROUNDUP(J72*L72+M72,0)</x:f>
        <x:v>351</x:v>
      </x:c>
      <x:c r="O72" s="42" t="str">
        <x:f>IF(F72&lt;=0,"Critical",IF(F72&lt;N72,"High",IF(F72&lt;N72*1.5,"Medium","Low")))</x:f>
        <x:v>Medium</x:v>
      </x:c>
      <x:c r="P72" s="53" t="n">
        <x:f>MAX(0,F72-(J72*90+M72))</x:f>
        <x:v>0</x:v>
      </x:c>
      <x:c r="Q72" s="44" t="n">
        <x:f>P72*H72</x:f>
        <x:v>0</x:v>
      </x:c>
      <x:c r="R72" s="50" t="n">
        <x:v>46088</x:v>
      </x:c>
      <x:c r="S72" s="53" t="n">
        <x:f>'Assumptions'!$B$13-R72</x:f>
        <x:v>157</x:v>
      </x:c>
      <x:c r="T72" s="42" t="str">
        <x:f>IF(S72&gt;=180,"High",IF(S72&gt;=120,"Medium","Low"))</x:f>
        <x:v>Medium</x:v>
      </x:c>
    </x:row>
    <x:row r="73">
      <x:c r="A73" s="14" t="str">
        <x:v>SKU-0072</x:v>
      </x:c>
      <x:c r="B73" s="14" t="str">
        <x:v>Tape Item 072</x:v>
      </x:c>
      <x:c r="C73" s="14" t="str">
        <x:v>C</x:v>
      </x:c>
      <x:c r="D73" s="52" t="n">
        <x:v>696</x:v>
      </x:c>
      <x:c r="E73" s="52" t="n">
        <x:v>181</x:v>
      </x:c>
      <x:c r="F73" s="53" t="n">
        <x:f>D73-E73</x:f>
        <x:v>515</x:v>
      </x:c>
      <x:c r="G73" s="52" t="n">
        <x:v>21</x:v>
      </x:c>
      <x:c r="H73" s="40" t="n">
        <x:v>153.62</x:v>
      </x:c>
      <x:c r="I73" s="44" t="n">
        <x:f>D73*H73</x:f>
        <x:v>106919.52</x:v>
      </x:c>
      <x:c r="J73" s="46" t="n">
        <x:v>8.81</x:v>
      </x:c>
      <x:c r="K73" s="47" t="n">
        <x:f>IF(J73=0,999,F73/J73)</x:f>
        <x:v>58.456299659477864</x:v>
      </x:c>
      <x:c r="L73" s="53" t="n">
        <x:v>10</x:v>
      </x:c>
      <x:c r="M73" s="53" t="n">
        <x:f>ROUNDUP(J73*SQRT(L73)*1.65,0)</x:f>
        <x:v>46</x:v>
      </x:c>
      <x:c r="N73" s="53" t="n">
        <x:f>ROUNDUP(J73*L73+M73,0)</x:f>
        <x:v>135</x:v>
      </x:c>
      <x:c r="O73" s="42" t="str">
        <x:f>IF(F73&lt;=0,"Critical",IF(F73&lt;N73,"High",IF(F73&lt;N73*1.5,"Medium","Low")))</x:f>
        <x:v>Low</x:v>
      </x:c>
      <x:c r="P73" s="53" t="n">
        <x:f>MAX(0,F73-(J73*90+M73))</x:f>
        <x:v>0</x:v>
      </x:c>
      <x:c r="Q73" s="44" t="n">
        <x:f>P73*H73</x:f>
        <x:v>0</x:v>
      </x:c>
      <x:c r="R73" s="50" t="n">
        <x:v>46069</x:v>
      </x:c>
      <x:c r="S73" s="53" t="n">
        <x:f>'Assumptions'!$B$13-R73</x:f>
        <x:v>176</x:v>
      </x:c>
      <x:c r="T73" s="42" t="str">
        <x:f>IF(S73&gt;=180,"High",IF(S73&gt;=120,"Medium","Low"))</x:f>
        <x:v>Medium</x:v>
      </x:c>
    </x:row>
    <x:row r="74">
      <x:c r="A74" s="14" t="str">
        <x:v>SKU-0073</x:v>
      </x:c>
      <x:c r="B74" s="14" t="str">
        <x:v>First Aid Item 073</x:v>
      </x:c>
      <x:c r="C74" s="14" t="str">
        <x:v>C</x:v>
      </x:c>
      <x:c r="D74" s="52" t="n">
        <x:v>127</x:v>
      </x:c>
      <x:c r="E74" s="52" t="n">
        <x:v>39</x:v>
      </x:c>
      <x:c r="F74" s="53" t="n">
        <x:f>D74-E74</x:f>
        <x:v>88</x:v>
      </x:c>
      <x:c r="G74" s="52" t="n">
        <x:v>0</x:v>
      </x:c>
      <x:c r="H74" s="40" t="n">
        <x:v>37.01</x:v>
      </x:c>
      <x:c r="I74" s="44" t="n">
        <x:f>D74*H74</x:f>
        <x:v>4700.2699999999995</x:v>
      </x:c>
      <x:c r="J74" s="46" t="n">
        <x:v>9.6</x:v>
      </x:c>
      <x:c r="K74" s="47" t="n">
        <x:f>IF(J74=0,999,F74/J74)</x:f>
        <x:v>9.166666666666668</x:v>
      </x:c>
      <x:c r="L74" s="53" t="n">
        <x:v>41</x:v>
      </x:c>
      <x:c r="M74" s="53" t="n">
        <x:f>ROUNDUP(J74*SQRT(L74)*1.65,0)</x:f>
        <x:v>102</x:v>
      </x:c>
      <x:c r="N74" s="53" t="n">
        <x:f>ROUNDUP(J74*L74+M74,0)</x:f>
        <x:v>496</x:v>
      </x:c>
      <x:c r="O74" s="42" t="str">
        <x:f>IF(F74&lt;=0,"Critical",IF(F74&lt;N74,"High",IF(F74&lt;N74*1.5,"Medium","Low")))</x:f>
        <x:v>High</x:v>
      </x:c>
      <x:c r="P74" s="53" t="n">
        <x:f>MAX(0,F74-(J74*90+M74))</x:f>
        <x:v>0</x:v>
      </x:c>
      <x:c r="Q74" s="44" t="n">
        <x:f>P74*H74</x:f>
        <x:v>0</x:v>
      </x:c>
      <x:c r="R74" s="50" t="n">
        <x:v>46004</x:v>
      </x:c>
      <x:c r="S74" s="53" t="n">
        <x:f>'Assumptions'!$B$13-R74</x:f>
        <x:v>241</x:v>
      </x:c>
      <x:c r="T74" s="42" t="str">
        <x:f>IF(S74&gt;=180,"High",IF(S74&gt;=120,"Medium","Low"))</x:f>
        <x:v>High</x:v>
      </x:c>
    </x:row>
    <x:row r="75">
      <x:c r="A75" s="14" t="str">
        <x:v>SKU-0074</x:v>
      </x:c>
      <x:c r="B75" s="14" t="str">
        <x:v>Gloves Item 074</x:v>
      </x:c>
      <x:c r="C75" s="14" t="str">
        <x:v>A</x:v>
      </x:c>
      <x:c r="D75" s="52" t="n">
        <x:v>147</x:v>
      </x:c>
      <x:c r="E75" s="52" t="n">
        <x:v>39</x:v>
      </x:c>
      <x:c r="F75" s="53" t="n">
        <x:f>D75-E75</x:f>
        <x:v>108</x:v>
      </x:c>
      <x:c r="G75" s="52" t="n">
        <x:v>0</x:v>
      </x:c>
      <x:c r="H75" s="40" t="n">
        <x:v>206.33</x:v>
      </x:c>
      <x:c r="I75" s="44" t="n">
        <x:f>D75*H75</x:f>
        <x:v>30330.510000000002</x:v>
      </x:c>
      <x:c r="J75" s="46" t="n">
        <x:v>1.98</x:v>
      </x:c>
      <x:c r="K75" s="47" t="n">
        <x:f>IF(J75=0,999,F75/J75)</x:f>
        <x:v>54.54545454545455</x:v>
      </x:c>
      <x:c r="L75" s="53" t="n">
        <x:v>60</x:v>
      </x:c>
      <x:c r="M75" s="53" t="n">
        <x:f>ROUNDUP(J75*SQRT(L75)*1.65,0)</x:f>
        <x:v>26</x:v>
      </x:c>
      <x:c r="N75" s="53" t="n">
        <x:f>ROUNDUP(J75*L75+M75,0)</x:f>
        <x:v>145</x:v>
      </x:c>
      <x:c r="O75" s="42" t="str">
        <x:f>IF(F75&lt;=0,"Critical",IF(F75&lt;N75,"High",IF(F75&lt;N75*1.5,"Medium","Low")))</x:f>
        <x:v>High</x:v>
      </x:c>
      <x:c r="P75" s="53" t="n">
        <x:f>MAX(0,F75-(J75*90+M75))</x:f>
        <x:v>0</x:v>
      </x:c>
      <x:c r="Q75" s="44" t="n">
        <x:f>P75*H75</x:f>
        <x:v>0</x:v>
      </x:c>
      <x:c r="R75" s="50" t="n">
        <x:v>46030</x:v>
      </x:c>
      <x:c r="S75" s="53" t="n">
        <x:f>'Assumptions'!$B$13-R75</x:f>
        <x:v>215</x:v>
      </x:c>
      <x:c r="T75" s="42" t="str">
        <x:f>IF(S75&gt;=180,"High",IF(S75&gt;=120,"Medium","Low"))</x:f>
        <x:v>High</x:v>
      </x:c>
    </x:row>
    <x:row r="76">
      <x:c r="A76" s="14" t="str">
        <x:v>SKU-0075</x:v>
      </x:c>
      <x:c r="B76" s="14" t="str">
        <x:v>Power Item 075</x:v>
      </x:c>
      <x:c r="C76" s="14" t="str">
        <x:v>B</x:v>
      </x:c>
      <x:c r="D76" s="52" t="n">
        <x:v>58</x:v>
      </x:c>
      <x:c r="E76" s="52" t="n">
        <x:v>18</x:v>
      </x:c>
      <x:c r="F76" s="53" t="n">
        <x:f>D76-E76</x:f>
        <x:v>40</x:v>
      </x:c>
      <x:c r="G76" s="52" t="n">
        <x:v>5</x:v>
      </x:c>
      <x:c r="H76" s="40" t="n">
        <x:v>13.66</x:v>
      </x:c>
      <x:c r="I76" s="44" t="n">
        <x:f>D76*H76</x:f>
        <x:v>792.28</x:v>
      </x:c>
      <x:c r="J76" s="46" t="n">
        <x:v>1.24</x:v>
      </x:c>
      <x:c r="K76" s="47" t="n">
        <x:f>IF(J76=0,999,F76/J76)</x:f>
        <x:v>32.25806451612903</x:v>
      </x:c>
      <x:c r="L76" s="53" t="n">
        <x:v>24</x:v>
      </x:c>
      <x:c r="M76" s="53" t="n">
        <x:f>ROUNDUP(J76*SQRT(L76)*1.65,0)</x:f>
        <x:v>11</x:v>
      </x:c>
      <x:c r="N76" s="53" t="n">
        <x:f>ROUNDUP(J76*L76+M76,0)</x:f>
        <x:v>41</x:v>
      </x:c>
      <x:c r="O76" s="42" t="str">
        <x:f>IF(F76&lt;=0,"Critical",IF(F76&lt;N76,"High",IF(F76&lt;N76*1.5,"Medium","Low")))</x:f>
        <x:v>High</x:v>
      </x:c>
      <x:c r="P76" s="53" t="n">
        <x:f>MAX(0,F76-(J76*90+M76))</x:f>
        <x:v>0</x:v>
      </x:c>
      <x:c r="Q76" s="44" t="n">
        <x:f>P76*H76</x:f>
        <x:v>0</x:v>
      </x:c>
      <x:c r="R76" s="50" t="n">
        <x:v>45969</x:v>
      </x:c>
      <x:c r="S76" s="53" t="n">
        <x:f>'Assumptions'!$B$13-R76</x:f>
        <x:v>276</x:v>
      </x:c>
      <x:c r="T76" s="42" t="str">
        <x:f>IF(S76&gt;=180,"High",IF(S76&gt;=120,"Medium","Low"))</x:f>
        <x:v>High</x:v>
      </x:c>
    </x:row>
    <x:row r="77">
      <x:c r="A77" s="14" t="str">
        <x:v>SKU-0076</x:v>
      </x:c>
      <x:c r="B77" s="14" t="str">
        <x:v>Storage Item 076</x:v>
      </x:c>
      <x:c r="C77" s="14" t="str">
        <x:v>B</x:v>
      </x:c>
      <x:c r="D77" s="52" t="n">
        <x:v>435</x:v>
      </x:c>
      <x:c r="E77" s="52" t="n">
        <x:v>127</x:v>
      </x:c>
      <x:c r="F77" s="53" t="n">
        <x:f>D77-E77</x:f>
        <x:v>308</x:v>
      </x:c>
      <x:c r="G77" s="52" t="n">
        <x:v>0</x:v>
      </x:c>
      <x:c r="H77" s="40" t="n">
        <x:v>132.93</x:v>
      </x:c>
      <x:c r="I77" s="44" t="n">
        <x:f>D77*H77</x:f>
        <x:v>57824.55</x:v>
      </x:c>
      <x:c r="J77" s="46" t="n">
        <x:v>4.68</x:v>
      </x:c>
      <x:c r="K77" s="47" t="n">
        <x:f>IF(J77=0,999,F77/J77)</x:f>
        <x:v>65.81196581196582</x:v>
      </x:c>
      <x:c r="L77" s="53" t="n">
        <x:v>28</x:v>
      </x:c>
      <x:c r="M77" s="53" t="n">
        <x:f>ROUNDUP(J77*SQRT(L77)*1.65,0)</x:f>
        <x:v>41</x:v>
      </x:c>
      <x:c r="N77" s="53" t="n">
        <x:f>ROUNDUP(J77*L77+M77,0)</x:f>
        <x:v>173</x:v>
      </x:c>
      <x:c r="O77" s="42" t="str">
        <x:f>IF(F77&lt;=0,"Critical",IF(F77&lt;N77,"High",IF(F77&lt;N77*1.5,"Medium","Low")))</x:f>
        <x:v>Low</x:v>
      </x:c>
      <x:c r="P77" s="53" t="n">
        <x:f>MAX(0,F77-(J77*90+M77))</x:f>
        <x:v>0</x:v>
      </x:c>
      <x:c r="Q77" s="44" t="n">
        <x:f>P77*H77</x:f>
        <x:v>0</x:v>
      </x:c>
      <x:c r="R77" s="50" t="n">
        <x:v>46093</x:v>
      </x:c>
      <x:c r="S77" s="53" t="n">
        <x:f>'Assumptions'!$B$13-R77</x:f>
        <x:v>152</x:v>
      </x:c>
      <x:c r="T77" s="42" t="str">
        <x:f>IF(S77&gt;=180,"High",IF(S77&gt;=120,"Medium","Low"))</x:f>
        <x:v>Medium</x:v>
      </x:c>
    </x:row>
    <x:row r="78">
      <x:c r="A78" s="14" t="str">
        <x:v>SKU-0077</x:v>
      </x:c>
      <x:c r="B78" s="14" t="str">
        <x:v>Brackets Item 077</x:v>
      </x:c>
      <x:c r="C78" s="14" t="str">
        <x:v>B</x:v>
      </x:c>
      <x:c r="D78" s="52" t="n">
        <x:v>207</x:v>
      </x:c>
      <x:c r="E78" s="52" t="n">
        <x:v>27</x:v>
      </x:c>
      <x:c r="F78" s="53" t="n">
        <x:f>D78-E78</x:f>
        <x:v>180</x:v>
      </x:c>
      <x:c r="G78" s="52" t="n">
        <x:v>117</x:v>
      </x:c>
      <x:c r="H78" s="40" t="n">
        <x:v>12.68</x:v>
      </x:c>
      <x:c r="I78" s="44" t="n">
        <x:f>D78*H78</x:f>
        <x:v>2624.7599999999998</x:v>
      </x:c>
      <x:c r="J78" s="46" t="n">
        <x:v>4.62</x:v>
      </x:c>
      <x:c r="K78" s="47" t="n">
        <x:f>IF(J78=0,999,F78/J78)</x:f>
        <x:v>38.96103896103896</x:v>
      </x:c>
      <x:c r="L78" s="53" t="n">
        <x:v>39</x:v>
      </x:c>
      <x:c r="M78" s="53" t="n">
        <x:f>ROUNDUP(J78*SQRT(L78)*1.65,0)</x:f>
        <x:v>48</x:v>
      </x:c>
      <x:c r="N78" s="53" t="n">
        <x:f>ROUNDUP(J78*L78+M78,0)</x:f>
        <x:v>229</x:v>
      </x:c>
      <x:c r="O78" s="42" t="str">
        <x:f>IF(F78&lt;=0,"Critical",IF(F78&lt;N78,"High",IF(F78&lt;N78*1.5,"Medium","Low")))</x:f>
        <x:v>High</x:v>
      </x:c>
      <x:c r="P78" s="53" t="n">
        <x:f>MAX(0,F78-(J78*90+M78))</x:f>
        <x:v>0</x:v>
      </x:c>
      <x:c r="Q78" s="44" t="n">
        <x:f>P78*H78</x:f>
        <x:v>0</x:v>
      </x:c>
      <x:c r="R78" s="50" t="n">
        <x:v>46166</x:v>
      </x:c>
      <x:c r="S78" s="53" t="n">
        <x:f>'Assumptions'!$B$13-R78</x:f>
        <x:v>79</x:v>
      </x:c>
      <x:c r="T78" s="42" t="str">
        <x:f>IF(S78&gt;=180,"High",IF(S78&gt;=120,"Medium","Low"))</x:f>
        <x:v>Low</x:v>
      </x:c>
    </x:row>
    <x:row r="79">
      <x:c r="A79" s="14" t="str">
        <x:v>SKU-0078</x:v>
      </x:c>
      <x:c r="B79" s="14" t="str">
        <x:v>PPE Item 078</x:v>
      </x:c>
      <x:c r="C79" s="14" t="str">
        <x:v>C</x:v>
      </x:c>
      <x:c r="D79" s="52" t="n">
        <x:v>594</x:v>
      </x:c>
      <x:c r="E79" s="52" t="n">
        <x:v>87</x:v>
      </x:c>
      <x:c r="F79" s="53" t="n">
        <x:f>D79-E79</x:f>
        <x:v>507</x:v>
      </x:c>
      <x:c r="G79" s="52" t="n">
        <x:v>0</x:v>
      </x:c>
      <x:c r="H79" s="40" t="n">
        <x:v>17.54</x:v>
      </x:c>
      <x:c r="I79" s="44" t="n">
        <x:f>D79*H79</x:f>
        <x:v>10418.76</x:v>
      </x:c>
      <x:c r="J79" s="46" t="n">
        <x:v>7.59</x:v>
      </x:c>
      <x:c r="K79" s="47" t="n">
        <x:f>IF(J79=0,999,F79/J79)</x:f>
        <x:v>66.79841897233202</x:v>
      </x:c>
      <x:c r="L79" s="53" t="n">
        <x:v>35</x:v>
      </x:c>
      <x:c r="M79" s="53" t="n">
        <x:f>ROUNDUP(J79*SQRT(L79)*1.65,0)</x:f>
        <x:v>75</x:v>
      </x:c>
      <x:c r="N79" s="53" t="n">
        <x:f>ROUNDUP(J79*L79+M79,0)</x:f>
        <x:v>341</x:v>
      </x:c>
      <x:c r="O79" s="42" t="str">
        <x:f>IF(F79&lt;=0,"Critical",IF(F79&lt;N79,"High",IF(F79&lt;N79*1.5,"Medium","Low")))</x:f>
        <x:v>Medium</x:v>
      </x:c>
      <x:c r="P79" s="53" t="n">
        <x:f>MAX(0,F79-(J79*90+M79))</x:f>
        <x:v>0</x:v>
      </x:c>
      <x:c r="Q79" s="44" t="n">
        <x:f>P79*H79</x:f>
        <x:v>0</x:v>
      </x:c>
      <x:c r="R79" s="50" t="n">
        <x:v>46237</x:v>
      </x:c>
      <x:c r="S79" s="53" t="n">
        <x:f>'Assumptions'!$B$13-R79</x:f>
        <x:v>8</x:v>
      </x:c>
      <x:c r="T79" s="42" t="str">
        <x:f>IF(S79&gt;=180,"High",IF(S79&gt;=120,"Medium","Low"))</x:f>
        <x:v>Low</x:v>
      </x:c>
    </x:row>
    <x:row r="80">
      <x:c r="A80" s="14" t="str">
        <x:v>SKU-0079</x:v>
      </x:c>
      <x:c r="B80" s="14" t="str">
        <x:v>Eyewear Item 079</x:v>
      </x:c>
      <x:c r="C80" s="14" t="str">
        <x:v>A</x:v>
      </x:c>
      <x:c r="D80" s="52" t="n">
        <x:v>228</x:v>
      </x:c>
      <x:c r="E80" s="52" t="n">
        <x:v>35</x:v>
      </x:c>
      <x:c r="F80" s="53" t="n">
        <x:f>D80-E80</x:f>
        <x:v>193</x:v>
      </x:c>
      <x:c r="G80" s="52" t="n">
        <x:v>0</x:v>
      </x:c>
      <x:c r="H80" s="40" t="n">
        <x:v>124.08</x:v>
      </x:c>
      <x:c r="I80" s="44" t="n">
        <x:f>D80*H80</x:f>
        <x:v>28290.239999999998</x:v>
      </x:c>
      <x:c r="J80" s="46" t="n">
        <x:v>3.83</x:v>
      </x:c>
      <x:c r="K80" s="47" t="n">
        <x:f>IF(J80=0,999,F80/J80)</x:f>
        <x:v>50.391644908616186</x:v>
      </x:c>
      <x:c r="L80" s="53" t="n">
        <x:v>58</x:v>
      </x:c>
      <x:c r="M80" s="53" t="n">
        <x:f>ROUNDUP(J80*SQRT(L80)*1.65,0)</x:f>
        <x:v>49</x:v>
      </x:c>
      <x:c r="N80" s="53" t="n">
        <x:f>ROUNDUP(J80*L80+M80,0)</x:f>
        <x:v>272</x:v>
      </x:c>
      <x:c r="O80" s="42" t="str">
        <x:f>IF(F80&lt;=0,"Critical",IF(F80&lt;N80,"High",IF(F80&lt;N80*1.5,"Medium","Low")))</x:f>
        <x:v>High</x:v>
      </x:c>
      <x:c r="P80" s="53" t="n">
        <x:f>MAX(0,F80-(J80*90+M80))</x:f>
        <x:v>0</x:v>
      </x:c>
      <x:c r="Q80" s="44" t="n">
        <x:f>P80*H80</x:f>
        <x:v>0</x:v>
      </x:c>
      <x:c r="R80" s="50" t="n">
        <x:v>46221</x:v>
      </x:c>
      <x:c r="S80" s="53" t="n">
        <x:f>'Assumptions'!$B$13-R80</x:f>
        <x:v>24</x:v>
      </x:c>
      <x:c r="T80" s="42" t="str">
        <x:f>IF(S80&gt;=180,"High",IF(S80&gt;=120,"Medium","Low"))</x:f>
        <x:v>Low</x:v>
      </x:c>
    </x:row>
    <x:row r="81">
      <x:c r="A81" s="14" t="str">
        <x:v>SKU-0080</x:v>
      </x:c>
      <x:c r="B81" s="14" t="str">
        <x:v>Fasteners Item 080</x:v>
      </x:c>
      <x:c r="C81" s="14" t="str">
        <x:v>C</x:v>
      </x:c>
      <x:c r="D81" s="52" t="n">
        <x:v>339</x:v>
      </x:c>
      <x:c r="E81" s="52" t="n">
        <x:v>92</x:v>
      </x:c>
      <x:c r="F81" s="53" t="n">
        <x:f>D81-E81</x:f>
        <x:v>247</x:v>
      </x:c>
      <x:c r="G81" s="52" t="n">
        <x:v>252</x:v>
      </x:c>
      <x:c r="H81" s="40" t="n">
        <x:v>115.72</x:v>
      </x:c>
      <x:c r="I81" s="44" t="n">
        <x:f>D81*H81</x:f>
        <x:v>39229.08</x:v>
      </x:c>
      <x:c r="J81" s="46" t="n">
        <x:v>4.62</x:v>
      </x:c>
      <x:c r="K81" s="47" t="n">
        <x:f>IF(J81=0,999,F81/J81)</x:f>
        <x:v>53.46320346320346</x:v>
      </x:c>
      <x:c r="L81" s="53" t="n">
        <x:v>14</x:v>
      </x:c>
      <x:c r="M81" s="53" t="n">
        <x:f>ROUNDUP(J81*SQRT(L81)*1.65,0)</x:f>
        <x:v>29</x:v>
      </x:c>
      <x:c r="N81" s="53" t="n">
        <x:f>ROUNDUP(J81*L81+M81,0)</x:f>
        <x:v>94</x:v>
      </x:c>
      <x:c r="O81" s="42" t="str">
        <x:f>IF(F81&lt;=0,"Critical",IF(F81&lt;N81,"High",IF(F81&lt;N81*1.5,"Medium","Low")))</x:f>
        <x:v>Low</x:v>
      </x:c>
      <x:c r="P81" s="53" t="n">
        <x:f>MAX(0,F81-(J81*90+M81))</x:f>
        <x:v>0</x:v>
      </x:c>
      <x:c r="Q81" s="44" t="n">
        <x:f>P81*H81</x:f>
        <x:v>0</x:v>
      </x:c>
      <x:c r="R81" s="50" t="n">
        <x:v>46126</x:v>
      </x:c>
      <x:c r="S81" s="53" t="n">
        <x:f>'Assumptions'!$B$13-R81</x:f>
        <x:v>119</x:v>
      </x:c>
      <x:c r="T81" s="42" t="str">
        <x:f>IF(S81&gt;=180,"High",IF(S81&gt;=120,"Medium","Low"))</x:f>
        <x:v>Low</x:v>
      </x:c>
    </x:row>
    <x:row r="82">
      <x:c r="A82" s="14" t="str">
        <x:v>SKU-0081</x:v>
      </x:c>
      <x:c r="B82" s="14" t="str">
        <x:v>Accessories Item 081</x:v>
      </x:c>
      <x:c r="C82" s="14" t="str">
        <x:v>B</x:v>
      </x:c>
      <x:c r="D82" s="52" t="n">
        <x:v>888</x:v>
      </x:c>
      <x:c r="E82" s="52" t="n">
        <x:v>185</x:v>
      </x:c>
      <x:c r="F82" s="53" t="n">
        <x:f>D82-E82</x:f>
        <x:v>703</x:v>
      </x:c>
      <x:c r="G82" s="52" t="n">
        <x:v>0</x:v>
      </x:c>
      <x:c r="H82" s="40" t="n">
        <x:v>198.25</x:v>
      </x:c>
      <x:c r="I82" s="44" t="n">
        <x:f>D82*H82</x:f>
        <x:v>176046</x:v>
      </x:c>
      <x:c r="J82" s="46" t="n">
        <x:v>24.86</x:v>
      </x:c>
      <x:c r="K82" s="47" t="n">
        <x:f>IF(J82=0,999,F82/J82)</x:f>
        <x:v>28.27835880933226</x:v>
      </x:c>
      <x:c r="L82" s="53" t="n">
        <x:v>36</x:v>
      </x:c>
      <x:c r="M82" s="53" t="n">
        <x:f>ROUNDUP(J82*SQRT(L82)*1.65,0)</x:f>
        <x:v>247</x:v>
      </x:c>
      <x:c r="N82" s="53" t="n">
        <x:f>ROUNDUP(J82*L82+M82,0)</x:f>
        <x:v>1142</x:v>
      </x:c>
      <x:c r="O82" s="42" t="str">
        <x:f>IF(F82&lt;=0,"Critical",IF(F82&lt;N82,"High",IF(F82&lt;N82*1.5,"Medium","Low")))</x:f>
        <x:v>High</x:v>
      </x:c>
      <x:c r="P82" s="53" t="n">
        <x:f>MAX(0,F82-(J82*90+M82))</x:f>
        <x:v>0</x:v>
      </x:c>
      <x:c r="Q82" s="44" t="n">
        <x:f>P82*H82</x:f>
        <x:v>0</x:v>
      </x:c>
      <x:c r="R82" s="50" t="n">
        <x:v>46081</x:v>
      </x:c>
      <x:c r="S82" s="53" t="n">
        <x:f>'Assumptions'!$B$13-R82</x:f>
        <x:v>164</x:v>
      </x:c>
      <x:c r="T82" s="42" t="str">
        <x:f>IF(S82&gt;=180,"High",IF(S82&gt;=120,"Medium","Low"))</x:f>
        <x:v>Medium</x:v>
      </x:c>
    </x:row>
    <x:row r="83">
      <x:c r="A83" s="14" t="str">
        <x:v>SKU-0082</x:v>
      </x:c>
      <x:c r="B83" s="14" t="str">
        <x:v>Labels Item 082</x:v>
      </x:c>
      <x:c r="C83" s="14" t="str">
        <x:v>B</x:v>
      </x:c>
      <x:c r="D83" s="52" t="n">
        <x:v>264</x:v>
      </x:c>
      <x:c r="E83" s="52" t="n">
        <x:v>54</x:v>
      </x:c>
      <x:c r="F83" s="53" t="n">
        <x:f>D83-E83</x:f>
        <x:v>210</x:v>
      </x:c>
      <x:c r="G83" s="52" t="n">
        <x:v>0</x:v>
      </x:c>
      <x:c r="H83" s="40" t="n">
        <x:v>79.16</x:v>
      </x:c>
      <x:c r="I83" s="44" t="n">
        <x:f>D83*H83</x:f>
        <x:v>20898.239999999998</x:v>
      </x:c>
      <x:c r="J83" s="46" t="n">
        <x:v>4.7</x:v>
      </x:c>
      <x:c r="K83" s="47" t="n">
        <x:f>IF(J83=0,999,F83/J83)</x:f>
        <x:v>44.680851063829785</x:v>
      </x:c>
      <x:c r="L83" s="53" t="n">
        <x:v>59</x:v>
      </x:c>
      <x:c r="M83" s="53" t="n">
        <x:f>ROUNDUP(J83*SQRT(L83)*1.65,0)</x:f>
        <x:v>60</x:v>
      </x:c>
      <x:c r="N83" s="53" t="n">
        <x:f>ROUNDUP(J83*L83+M83,0)</x:f>
        <x:v>338</x:v>
      </x:c>
      <x:c r="O83" s="42" t="str">
        <x:f>IF(F83&lt;=0,"Critical",IF(F83&lt;N83,"High",IF(F83&lt;N83*1.5,"Medium","Low")))</x:f>
        <x:v>High</x:v>
      </x:c>
      <x:c r="P83" s="53" t="n">
        <x:f>MAX(0,F83-(J83*90+M83))</x:f>
        <x:v>0</x:v>
      </x:c>
      <x:c r="Q83" s="44" t="n">
        <x:f>P83*H83</x:f>
        <x:v>0</x:v>
      </x:c>
      <x:c r="R83" s="50" t="n">
        <x:v>46156</x:v>
      </x:c>
      <x:c r="S83" s="53" t="n">
        <x:f>'Assumptions'!$B$13-R83</x:f>
        <x:v>89</x:v>
      </x:c>
      <x:c r="T83" s="42" t="str">
        <x:f>IF(S83&gt;=180,"High",IF(S83&gt;=120,"Medium","Low"))</x:f>
        <x:v>Low</x:v>
      </x:c>
    </x:row>
    <x:row r="84">
      <x:c r="A84" s="14" t="str">
        <x:v>SKU-0083</x:v>
      </x:c>
      <x:c r="B84" s="14" t="str">
        <x:v>Brackets Item 083</x:v>
      </x:c>
      <x:c r="C84" s="14" t="str">
        <x:v>B</x:v>
      </x:c>
      <x:c r="D84" s="52" t="n">
        <x:v>371</x:v>
      </x:c>
      <x:c r="E84" s="52" t="n">
        <x:v>126</x:v>
      </x:c>
      <x:c r="F84" s="53" t="n">
        <x:f>D84-E84</x:f>
        <x:v>245</x:v>
      </x:c>
      <x:c r="G84" s="52" t="n">
        <x:v>0</x:v>
      </x:c>
      <x:c r="H84" s="40" t="n">
        <x:v>126.42</x:v>
      </x:c>
      <x:c r="I84" s="44" t="n">
        <x:f>D84*H84</x:f>
        <x:v>46901.82</x:v>
      </x:c>
      <x:c r="J84" s="46" t="n">
        <x:v>7.26</x:v>
      </x:c>
      <x:c r="K84" s="47" t="n">
        <x:f>IF(J84=0,999,F84/J84)</x:f>
        <x:v>33.7465564738292</x:v>
      </x:c>
      <x:c r="L84" s="53" t="n">
        <x:v>36</x:v>
      </x:c>
      <x:c r="M84" s="53" t="n">
        <x:f>ROUNDUP(J84*SQRT(L84)*1.65,0)</x:f>
        <x:v>72</x:v>
      </x:c>
      <x:c r="N84" s="53" t="n">
        <x:f>ROUNDUP(J84*L84+M84,0)</x:f>
        <x:v>334</x:v>
      </x:c>
      <x:c r="O84" s="42" t="str">
        <x:f>IF(F84&lt;=0,"Critical",IF(F84&lt;N84,"High",IF(F84&lt;N84*1.5,"Medium","Low")))</x:f>
        <x:v>High</x:v>
      </x:c>
      <x:c r="P84" s="53" t="n">
        <x:f>MAX(0,F84-(J84*90+M84))</x:f>
        <x:v>0</x:v>
      </x:c>
      <x:c r="Q84" s="44" t="n">
        <x:f>P84*H84</x:f>
        <x:v>0</x:v>
      </x:c>
      <x:c r="R84" s="50" t="n">
        <x:v>46050</x:v>
      </x:c>
      <x:c r="S84" s="53" t="n">
        <x:f>'Assumptions'!$B$13-R84</x:f>
        <x:v>195</x:v>
      </x:c>
      <x:c r="T84" s="42" t="str">
        <x:f>IF(S84&gt;=180,"High",IF(S84&gt;=120,"Medium","Low"))</x:f>
        <x:v>High</x:v>
      </x:c>
    </x:row>
    <x:row r="85">
      <x:c r="A85" s="14" t="str">
        <x:v>SKU-0084</x:v>
      </x:c>
      <x:c r="B85" s="14" t="str">
        <x:v>Filters Item 084</x:v>
      </x:c>
      <x:c r="C85" s="14" t="str">
        <x:v>B</x:v>
      </x:c>
      <x:c r="D85" s="52" t="n">
        <x:v>415</x:v>
      </x:c>
      <x:c r="E85" s="52" t="n">
        <x:v>21</x:v>
      </x:c>
      <x:c r="F85" s="53" t="n">
        <x:f>D85-E85</x:f>
        <x:v>394</x:v>
      </x:c>
      <x:c r="G85" s="52" t="n">
        <x:v>389</x:v>
      </x:c>
      <x:c r="H85" s="40" t="n">
        <x:v>108.77</x:v>
      </x:c>
      <x:c r="I85" s="44" t="n">
        <x:f>D85*H85</x:f>
        <x:v>45139.549999999996</x:v>
      </x:c>
      <x:c r="J85" s="46" t="n">
        <x:v>9.39</x:v>
      </x:c>
      <x:c r="K85" s="47" t="n">
        <x:f>IF(J85=0,999,F85/J85)</x:f>
        <x:v>41.959531416400424</x:v>
      </x:c>
      <x:c r="L85" s="53" t="n">
        <x:v>37</x:v>
      </x:c>
      <x:c r="M85" s="53" t="n">
        <x:f>ROUNDUP(J85*SQRT(L85)*1.65,0)</x:f>
        <x:v>95</x:v>
      </x:c>
      <x:c r="N85" s="53" t="n">
        <x:f>ROUNDUP(J85*L85+M85,0)</x:f>
        <x:v>443</x:v>
      </x:c>
      <x:c r="O85" s="42" t="str">
        <x:f>IF(F85&lt;=0,"Critical",IF(F85&lt;N85,"High",IF(F85&lt;N85*1.5,"Medium","Low")))</x:f>
        <x:v>High</x:v>
      </x:c>
      <x:c r="P85" s="53" t="n">
        <x:f>MAX(0,F85-(J85*90+M85))</x:f>
        <x:v>0</x:v>
      </x:c>
      <x:c r="Q85" s="44" t="n">
        <x:f>P85*H85</x:f>
        <x:v>0</x:v>
      </x:c>
      <x:c r="R85" s="50" t="n">
        <x:v>46003</x:v>
      </x:c>
      <x:c r="S85" s="53" t="n">
        <x:f>'Assumptions'!$B$13-R85</x:f>
        <x:v>242</x:v>
      </x:c>
      <x:c r="T85" s="42" t="str">
        <x:f>IF(S85&gt;=180,"High",IF(S85&gt;=120,"Medium","Low"))</x:f>
        <x:v>High</x:v>
      </x:c>
    </x:row>
    <x:row r="86">
      <x:c r="A86" s="14" t="str">
        <x:v>SKU-0085</x:v>
      </x:c>
      <x:c r="B86" s="14" t="str">
        <x:v>Storage Item 085</x:v>
      </x:c>
      <x:c r="C86" s="14" t="str">
        <x:v>A</x:v>
      </x:c>
      <x:c r="D86" s="52" t="n">
        <x:v>294</x:v>
      </x:c>
      <x:c r="E86" s="52" t="n">
        <x:v>14</x:v>
      </x:c>
      <x:c r="F86" s="53" t="n">
        <x:f>D86-E86</x:f>
        <x:v>280</x:v>
      </x:c>
      <x:c r="G86" s="52" t="n">
        <x:v>11</x:v>
      </x:c>
      <x:c r="H86" s="40" t="n">
        <x:v>222.39</x:v>
      </x:c>
      <x:c r="I86" s="44" t="n">
        <x:f>D86*H86</x:f>
        <x:v>65382.659999999996</x:v>
      </x:c>
      <x:c r="J86" s="46" t="n">
        <x:v>3.56</x:v>
      </x:c>
      <x:c r="K86" s="47" t="n">
        <x:f>IF(J86=0,999,F86/J86)</x:f>
        <x:v>78.65168539325843</x:v>
      </x:c>
      <x:c r="L86" s="53" t="n">
        <x:v>39</x:v>
      </x:c>
      <x:c r="M86" s="53" t="n">
        <x:f>ROUNDUP(J86*SQRT(L86)*1.65,0)</x:f>
        <x:v>37</x:v>
      </x:c>
      <x:c r="N86" s="53" t="n">
        <x:f>ROUNDUP(J86*L86+M86,0)</x:f>
        <x:v>176</x:v>
      </x:c>
      <x:c r="O86" s="42" t="str">
        <x:f>IF(F86&lt;=0,"Critical",IF(F86&lt;N86,"High",IF(F86&lt;N86*1.5,"Medium","Low")))</x:f>
        <x:v>Low</x:v>
      </x:c>
      <x:c r="P86" s="53" t="n">
        <x:f>MAX(0,F86-(J86*90+M86))</x:f>
        <x:v>0</x:v>
      </x:c>
      <x:c r="Q86" s="44" t="n">
        <x:f>P86*H86</x:f>
        <x:v>0</x:v>
      </x:c>
      <x:c r="R86" s="50" t="n">
        <x:v>46034</x:v>
      </x:c>
      <x:c r="S86" s="53" t="n">
        <x:f>'Assumptions'!$B$13-R86</x:f>
        <x:v>211</x:v>
      </x:c>
      <x:c r="T86" s="42" t="str">
        <x:f>IF(S86&gt;=180,"High",IF(S86&gt;=120,"Medium","Low"))</x:f>
        <x:v>High</x:v>
      </x:c>
    </x:row>
    <x:row r="87">
      <x:c r="A87" s="14" t="str">
        <x:v>SKU-0086</x:v>
      </x:c>
      <x:c r="B87" s="14" t="str">
        <x:v>Controllers Item 086</x:v>
      </x:c>
      <x:c r="C87" s="14" t="str">
        <x:v>C</x:v>
      </x:c>
      <x:c r="D87" s="52" t="n">
        <x:v>75</x:v>
      </x:c>
      <x:c r="E87" s="52" t="n">
        <x:v>16</x:v>
      </x:c>
      <x:c r="F87" s="53" t="n">
        <x:f>D87-E87</x:f>
        <x:v>59</x:v>
      </x:c>
      <x:c r="G87" s="52" t="n">
        <x:v>0</x:v>
      </x:c>
      <x:c r="H87" s="40" t="n">
        <x:v>148.45</x:v>
      </x:c>
      <x:c r="I87" s="44" t="n">
        <x:f>D87*H87</x:f>
        <x:v>11133.75</x:v>
      </x:c>
      <x:c r="J87" s="46" t="n">
        <x:v>2.94</x:v>
      </x:c>
      <x:c r="K87" s="47" t="n">
        <x:f>IF(J87=0,999,F87/J87)</x:f>
        <x:v>20.068027210884352</x:v>
      </x:c>
      <x:c r="L87" s="53" t="n">
        <x:v>16</x:v>
      </x:c>
      <x:c r="M87" s="53" t="n">
        <x:f>ROUNDUP(J87*SQRT(L87)*1.65,0)</x:f>
        <x:v>20</x:v>
      </x:c>
      <x:c r="N87" s="53" t="n">
        <x:f>ROUNDUP(J87*L87+M87,0)</x:f>
        <x:v>68</x:v>
      </x:c>
      <x:c r="O87" s="42" t="str">
        <x:f>IF(F87&lt;=0,"Critical",IF(F87&lt;N87,"High",IF(F87&lt;N87*1.5,"Medium","Low")))</x:f>
        <x:v>High</x:v>
      </x:c>
      <x:c r="P87" s="53" t="n">
        <x:f>MAX(0,F87-(J87*90+M87))</x:f>
        <x:v>0</x:v>
      </x:c>
      <x:c r="Q87" s="44" t="n">
        <x:f>P87*H87</x:f>
        <x:v>0</x:v>
      </x:c>
      <x:c r="R87" s="50" t="n">
        <x:v>46056</x:v>
      </x:c>
      <x:c r="S87" s="53" t="n">
        <x:f>'Assumptions'!$B$13-R87</x:f>
        <x:v>189</x:v>
      </x:c>
      <x:c r="T87" s="42" t="str">
        <x:f>IF(S87&gt;=180,"High",IF(S87&gt;=120,"Medium","Low"))</x:f>
        <x:v>High</x:v>
      </x:c>
    </x:row>
    <x:row r="88">
      <x:c r="A88" s="14" t="str">
        <x:v>SKU-0087</x:v>
      </x:c>
      <x:c r="B88" s="14" t="str">
        <x:v>Gears Item 087</x:v>
      </x:c>
      <x:c r="C88" s="14" t="str">
        <x:v>C</x:v>
      </x:c>
      <x:c r="D88" s="52" t="n">
        <x:v>211</x:v>
      </x:c>
      <x:c r="E88" s="52" t="n">
        <x:v>44</x:v>
      </x:c>
      <x:c r="F88" s="53" t="n">
        <x:f>D88-E88</x:f>
        <x:v>167</x:v>
      </x:c>
      <x:c r="G88" s="52" t="n">
        <x:v>0</x:v>
      </x:c>
      <x:c r="H88" s="40" t="n">
        <x:v>194.73</x:v>
      </x:c>
      <x:c r="I88" s="44" t="n">
        <x:f>D88*H88</x:f>
        <x:v>41088.03</x:v>
      </x:c>
      <x:c r="J88" s="46" t="n">
        <x:v>3.18</x:v>
      </x:c>
      <x:c r="K88" s="47" t="n">
        <x:f>IF(J88=0,999,F88/J88)</x:f>
        <x:v>52.51572327044025</x:v>
      </x:c>
      <x:c r="L88" s="53" t="n">
        <x:v>31</x:v>
      </x:c>
      <x:c r="M88" s="53" t="n">
        <x:f>ROUNDUP(J88*SQRT(L88)*1.65,0)</x:f>
        <x:v>30</x:v>
      </x:c>
      <x:c r="N88" s="53" t="n">
        <x:f>ROUNDUP(J88*L88+M88,0)</x:f>
        <x:v>129</x:v>
      </x:c>
      <x:c r="O88" s="42" t="str">
        <x:f>IF(F88&lt;=0,"Critical",IF(F88&lt;N88,"High",IF(F88&lt;N88*1.5,"Medium","Low")))</x:f>
        <x:v>Medium</x:v>
      </x:c>
      <x:c r="P88" s="53" t="n">
        <x:f>MAX(0,F88-(J88*90+M88))</x:f>
        <x:v>0</x:v>
      </x:c>
      <x:c r="Q88" s="44" t="n">
        <x:f>P88*H88</x:f>
        <x:v>0</x:v>
      </x:c>
      <x:c r="R88" s="50" t="n">
        <x:v>46149</x:v>
      </x:c>
      <x:c r="S88" s="53" t="n">
        <x:f>'Assumptions'!$B$13-R88</x:f>
        <x:v>96</x:v>
      </x:c>
      <x:c r="T88" s="42" t="str">
        <x:f>IF(S88&gt;=180,"High",IF(S88&gt;=120,"Medium","Low"))</x:f>
        <x:v>Low</x:v>
      </x:c>
    </x:row>
    <x:row r="89">
      <x:c r="A89" s="14" t="str">
        <x:v>SKU-0088</x:v>
      </x:c>
      <x:c r="B89" s="14" t="str">
        <x:v>Paper Item 088</x:v>
      </x:c>
      <x:c r="C89" s="14" t="str">
        <x:v>C</x:v>
      </x:c>
      <x:c r="D89" s="52" t="n">
        <x:v>940</x:v>
      </x:c>
      <x:c r="E89" s="52" t="n">
        <x:v>71</x:v>
      </x:c>
      <x:c r="F89" s="53" t="n">
        <x:f>D89-E89</x:f>
        <x:v>869</x:v>
      </x:c>
      <x:c r="G89" s="52" t="n">
        <x:v>706</x:v>
      </x:c>
      <x:c r="H89" s="40" t="n">
        <x:v>21.49</x:v>
      </x:c>
      <x:c r="I89" s="44" t="n">
        <x:f>D89*H89</x:f>
        <x:v>20200.6</x:v>
      </x:c>
      <x:c r="J89" s="46" t="n">
        <x:v>14.16</x:v>
      </x:c>
      <x:c r="K89" s="47" t="n">
        <x:f>IF(J89=0,999,F89/J89)</x:f>
        <x:v>61.37005649717514</x:v>
      </x:c>
      <x:c r="L89" s="53" t="n">
        <x:v>12</x:v>
      </x:c>
      <x:c r="M89" s="53" t="n">
        <x:f>ROUNDUP(J89*SQRT(L89)*1.65,0)</x:f>
        <x:v>81</x:v>
      </x:c>
      <x:c r="N89" s="53" t="n">
        <x:f>ROUNDUP(J89*L89+M89,0)</x:f>
        <x:v>251</x:v>
      </x:c>
      <x:c r="O89" s="42" t="str">
        <x:f>IF(F89&lt;=0,"Critical",IF(F89&lt;N89,"High",IF(F89&lt;N89*1.5,"Medium","Low")))</x:f>
        <x:v>Low</x:v>
      </x:c>
      <x:c r="P89" s="53" t="n">
        <x:f>MAX(0,F89-(J89*90+M89))</x:f>
        <x:v>0</x:v>
      </x:c>
      <x:c r="Q89" s="44" t="n">
        <x:f>P89*H89</x:f>
        <x:v>0</x:v>
      </x:c>
      <x:c r="R89" s="50" t="n">
        <x:v>46090</x:v>
      </x:c>
      <x:c r="S89" s="53" t="n">
        <x:f>'Assumptions'!$B$13-R89</x:f>
        <x:v>155</x:v>
      </x:c>
      <x:c r="T89" s="42" t="str">
        <x:f>IF(S89&gt;=180,"High",IF(S89&gt;=120,"Medium","Low"))</x:f>
        <x:v>Medium</x:v>
      </x:c>
    </x:row>
    <x:row r="90">
      <x:c r="A90" s="14" t="str">
        <x:v>SKU-0089</x:v>
      </x:c>
      <x:c r="B90" s="14" t="str">
        <x:v>Lubricants Item 089</x:v>
      </x:c>
      <x:c r="C90" s="14" t="str">
        <x:v>A</x:v>
      </x:c>
      <x:c r="D90" s="52" t="n">
        <x:v>319</x:v>
      </x:c>
      <x:c r="E90" s="52" t="n">
        <x:v>22</x:v>
      </x:c>
      <x:c r="F90" s="53" t="n">
        <x:f>D90-E90</x:f>
        <x:v>297</x:v>
      </x:c>
      <x:c r="G90" s="52" t="n">
        <x:v>0</x:v>
      </x:c>
      <x:c r="H90" s="40" t="n">
        <x:v>48.67</x:v>
      </x:c>
      <x:c r="I90" s="44" t="n">
        <x:f>D90*H90</x:f>
        <x:v>15525.730000000001</x:v>
      </x:c>
      <x:c r="J90" s="46" t="n">
        <x:v>5.28</x:v>
      </x:c>
      <x:c r="K90" s="47" t="n">
        <x:f>IF(J90=0,999,F90/J90)</x:f>
        <x:v>56.25</x:v>
      </x:c>
      <x:c r="L90" s="53" t="n">
        <x:v>25</x:v>
      </x:c>
      <x:c r="M90" s="53" t="n">
        <x:f>ROUNDUP(J90*SQRT(L90)*1.65,0)</x:f>
        <x:v>44</x:v>
      </x:c>
      <x:c r="N90" s="53" t="n">
        <x:f>ROUNDUP(J90*L90+M90,0)</x:f>
        <x:v>176</x:v>
      </x:c>
      <x:c r="O90" s="42" t="str">
        <x:f>IF(F90&lt;=0,"Critical",IF(F90&lt;N90,"High",IF(F90&lt;N90*1.5,"Medium","Low")))</x:f>
        <x:v>Low</x:v>
      </x:c>
      <x:c r="P90" s="53" t="n">
        <x:f>MAX(0,F90-(J90*90+M90))</x:f>
        <x:v>0</x:v>
      </x:c>
      <x:c r="Q90" s="44" t="n">
        <x:f>P90*H90</x:f>
        <x:v>0</x:v>
      </x:c>
      <x:c r="R90" s="50" t="n">
        <x:v>45963</x:v>
      </x:c>
      <x:c r="S90" s="53" t="n">
        <x:f>'Assumptions'!$B$13-R90</x:f>
        <x:v>282</x:v>
      </x:c>
      <x:c r="T90" s="42" t="str">
        <x:f>IF(S90&gt;=180,"High",IF(S90&gt;=120,"Medium","Low"))</x:f>
        <x:v>High</x:v>
      </x:c>
    </x:row>
    <x:row r="91">
      <x:c r="A91" s="14" t="str">
        <x:v>SKU-0090</x:v>
      </x:c>
      <x:c r="B91" s="14" t="str">
        <x:v>Labels Item 090</x:v>
      </x:c>
      <x:c r="C91" s="14" t="str">
        <x:v>A</x:v>
      </x:c>
      <x:c r="D91" s="52" t="n">
        <x:v>193</x:v>
      </x:c>
      <x:c r="E91" s="52" t="n">
        <x:v>43</x:v>
      </x:c>
      <x:c r="F91" s="53" t="n">
        <x:f>D91-E91</x:f>
        <x:v>150</x:v>
      </x:c>
      <x:c r="G91" s="52" t="n">
        <x:v>78</x:v>
      </x:c>
      <x:c r="H91" s="40" t="n">
        <x:v>116.84</x:v>
      </x:c>
      <x:c r="I91" s="44" t="n">
        <x:f>D91*H91</x:f>
        <x:v>22550.12</x:v>
      </x:c>
      <x:c r="J91" s="46" t="n">
        <x:v>3.97</x:v>
      </x:c>
      <x:c r="K91" s="47" t="n">
        <x:f>IF(J91=0,999,F91/J91)</x:f>
        <x:v>37.78337531486146</x:v>
      </x:c>
      <x:c r="L91" s="53" t="n">
        <x:v>46</x:v>
      </x:c>
      <x:c r="M91" s="53" t="n">
        <x:f>ROUNDUP(J91*SQRT(L91)*1.65,0)</x:f>
        <x:v>45</x:v>
      </x:c>
      <x:c r="N91" s="53" t="n">
        <x:f>ROUNDUP(J91*L91+M91,0)</x:f>
        <x:v>228</x:v>
      </x:c>
      <x:c r="O91" s="42" t="str">
        <x:f>IF(F91&lt;=0,"Critical",IF(F91&lt;N91,"High",IF(F91&lt;N91*1.5,"Medium","Low")))</x:f>
        <x:v>High</x:v>
      </x:c>
      <x:c r="P91" s="53" t="n">
        <x:f>MAX(0,F91-(J91*90+M91))</x:f>
        <x:v>0</x:v>
      </x:c>
      <x:c r="Q91" s="44" t="n">
        <x:f>P91*H91</x:f>
        <x:v>0</x:v>
      </x:c>
      <x:c r="R91" s="50" t="n">
        <x:v>45991</x:v>
      </x:c>
      <x:c r="S91" s="53" t="n">
        <x:f>'Assumptions'!$B$13-R91</x:f>
        <x:v>254</x:v>
      </x:c>
      <x:c r="T91" s="42" t="str">
        <x:f>IF(S91&gt;=180,"High",IF(S91&gt;=120,"Medium","Low"))</x:f>
        <x:v>High</x:v>
      </x:c>
    </x:row>
    <x:row r="92">
      <x:c r="A92" s="14" t="str">
        <x:v>SKU-0091</x:v>
      </x:c>
      <x:c r="B92" s="14" t="str">
        <x:v>Tape Item 091</x:v>
      </x:c>
      <x:c r="C92" s="14" t="str">
        <x:v>B</x:v>
      </x:c>
      <x:c r="D92" s="52" t="n">
        <x:v>310</x:v>
      </x:c>
      <x:c r="E92" s="52" t="n">
        <x:v>82</x:v>
      </x:c>
      <x:c r="F92" s="53" t="n">
        <x:f>D92-E92</x:f>
        <x:v>228</x:v>
      </x:c>
      <x:c r="G92" s="52" t="n">
        <x:v>48</x:v>
      </x:c>
      <x:c r="H92" s="40" t="n">
        <x:v>42.22</x:v>
      </x:c>
      <x:c r="I92" s="44" t="n">
        <x:f>D92*H92</x:f>
        <x:v>13088.199999999999</x:v>
      </x:c>
      <x:c r="J92" s="46" t="n">
        <x:v>4.38</x:v>
      </x:c>
      <x:c r="K92" s="47" t="n">
        <x:f>IF(J92=0,999,F92/J92)</x:f>
        <x:v>52.054794520547944</x:v>
      </x:c>
      <x:c r="L92" s="53" t="n">
        <x:v>7</x:v>
      </x:c>
      <x:c r="M92" s="53" t="n">
        <x:f>ROUNDUP(J92*SQRT(L92)*1.65,0)</x:f>
        <x:v>20</x:v>
      </x:c>
      <x:c r="N92" s="53" t="n">
        <x:f>ROUNDUP(J92*L92+M92,0)</x:f>
        <x:v>51</x:v>
      </x:c>
      <x:c r="O92" s="42" t="str">
        <x:f>IF(F92&lt;=0,"Critical",IF(F92&lt;N92,"High",IF(F92&lt;N92*1.5,"Medium","Low")))</x:f>
        <x:v>Low</x:v>
      </x:c>
      <x:c r="P92" s="53" t="n">
        <x:f>MAX(0,F92-(J92*90+M92))</x:f>
        <x:v>0</x:v>
      </x:c>
      <x:c r="Q92" s="44" t="n">
        <x:f>P92*H92</x:f>
        <x:v>0</x:v>
      </x:c>
      <x:c r="R92" s="50" t="n">
        <x:v>46085</x:v>
      </x:c>
      <x:c r="S92" s="53" t="n">
        <x:f>'Assumptions'!$B$13-R92</x:f>
        <x:v>160</x:v>
      </x:c>
      <x:c r="T92" s="42" t="str">
        <x:f>IF(S92&gt;=180,"High",IF(S92&gt;=120,"Medium","Low"))</x:f>
        <x:v>Medium</x:v>
      </x:c>
    </x:row>
    <x:row r="93">
      <x:c r="A93" s="14" t="str">
        <x:v>SKU-0092</x:v>
      </x:c>
      <x:c r="B93" s="14" t="str">
        <x:v>Filters Item 092</x:v>
      </x:c>
      <x:c r="C93" s="14" t="str">
        <x:v>C</x:v>
      </x:c>
      <x:c r="D93" s="52" t="n">
        <x:v>115</x:v>
      </x:c>
      <x:c r="E93" s="52" t="n">
        <x:v>5</x:v>
      </x:c>
      <x:c r="F93" s="53" t="n">
        <x:f>D93-E93</x:f>
        <x:v>110</x:v>
      </x:c>
      <x:c r="G93" s="52" t="n">
        <x:v>218</x:v>
      </x:c>
      <x:c r="H93" s="40" t="n">
        <x:v>125.08</x:v>
      </x:c>
      <x:c r="I93" s="44" t="n">
        <x:f>D93*H93</x:f>
        <x:v>14384.199999999999</x:v>
      </x:c>
      <x:c r="J93" s="46" t="n">
        <x:v>4.25</x:v>
      </x:c>
      <x:c r="K93" s="47" t="n">
        <x:f>IF(J93=0,999,F93/J93)</x:f>
        <x:v>25.88235294117647</x:v>
      </x:c>
      <x:c r="L93" s="53" t="n">
        <x:v>51</x:v>
      </x:c>
      <x:c r="M93" s="53" t="n">
        <x:f>ROUNDUP(J93*SQRT(L93)*1.65,0)</x:f>
        <x:v>51</x:v>
      </x:c>
      <x:c r="N93" s="53" t="n">
        <x:f>ROUNDUP(J93*L93+M93,0)</x:f>
        <x:v>268</x:v>
      </x:c>
      <x:c r="O93" s="42" t="str">
        <x:f>IF(F93&lt;=0,"Critical",IF(F93&lt;N93,"High",IF(F93&lt;N93*1.5,"Medium","Low")))</x:f>
        <x:v>High</x:v>
      </x:c>
      <x:c r="P93" s="53" t="n">
        <x:f>MAX(0,F93-(J93*90+M93))</x:f>
        <x:v>0</x:v>
      </x:c>
      <x:c r="Q93" s="44" t="n">
        <x:f>P93*H93</x:f>
        <x:v>0</x:v>
      </x:c>
      <x:c r="R93" s="50" t="n">
        <x:v>45949</x:v>
      </x:c>
      <x:c r="S93" s="53" t="n">
        <x:f>'Assumptions'!$B$13-R93</x:f>
        <x:v>296</x:v>
      </x:c>
      <x:c r="T93" s="42" t="str">
        <x:f>IF(S93&gt;=180,"High",IF(S93&gt;=120,"Medium","Low"))</x:f>
        <x:v>High</x:v>
      </x:c>
    </x:row>
    <x:row r="94">
      <x:c r="A94" s="14" t="str">
        <x:v>SKU-0093</x:v>
      </x:c>
      <x:c r="B94" s="14" t="str">
        <x:v>Bearings Item 093</x:v>
      </x:c>
      <x:c r="C94" s="14" t="str">
        <x:v>B</x:v>
      </x:c>
      <x:c r="D94" s="52" t="n">
        <x:v>205</x:v>
      </x:c>
      <x:c r="E94" s="52" t="n">
        <x:v>16</x:v>
      </x:c>
      <x:c r="F94" s="53" t="n">
        <x:f>D94-E94</x:f>
        <x:v>189</x:v>
      </x:c>
      <x:c r="G94" s="52" t="n">
        <x:v>110</x:v>
      </x:c>
      <x:c r="H94" s="40" t="n">
        <x:v>239.3</x:v>
      </x:c>
      <x:c r="I94" s="44" t="n">
        <x:f>D94*H94</x:f>
        <x:v>49056.5</x:v>
      </x:c>
      <x:c r="J94" s="46" t="n">
        <x:v>8.18</x:v>
      </x:c>
      <x:c r="K94" s="47" t="n">
        <x:f>IF(J94=0,999,F94/J94)</x:f>
        <x:v>23.105134474327627</x:v>
      </x:c>
      <x:c r="L94" s="53" t="n">
        <x:v>25</x:v>
      </x:c>
      <x:c r="M94" s="53" t="n">
        <x:f>ROUNDUP(J94*SQRT(L94)*1.65,0)</x:f>
        <x:v>68</x:v>
      </x:c>
      <x:c r="N94" s="53" t="n">
        <x:f>ROUNDUP(J94*L94+M94,0)</x:f>
        <x:v>273</x:v>
      </x:c>
      <x:c r="O94" s="42" t="str">
        <x:f>IF(F94&lt;=0,"Critical",IF(F94&lt;N94,"High",IF(F94&lt;N94*1.5,"Medium","Low")))</x:f>
        <x:v>High</x:v>
      </x:c>
      <x:c r="P94" s="53" t="n">
        <x:f>MAX(0,F94-(J94*90+M94))</x:f>
        <x:v>0</x:v>
      </x:c>
      <x:c r="Q94" s="44" t="n">
        <x:f>P94*H94</x:f>
        <x:v>0</x:v>
      </x:c>
      <x:c r="R94" s="50" t="n">
        <x:v>45964</x:v>
      </x:c>
      <x:c r="S94" s="53" t="n">
        <x:f>'Assumptions'!$B$13-R94</x:f>
        <x:v>281</x:v>
      </x:c>
      <x:c r="T94" s="42" t="str">
        <x:f>IF(S94&gt;=180,"High",IF(S94&gt;=120,"Medium","Low"))</x:f>
        <x:v>High</x:v>
      </x:c>
    </x:row>
    <x:row r="95">
      <x:c r="A95" s="14" t="str">
        <x:v>SKU-0094</x:v>
      </x:c>
      <x:c r="B95" s="14" t="str">
        <x:v>Tools Item 094</x:v>
      </x:c>
      <x:c r="C95" s="14" t="str">
        <x:v>C</x:v>
      </x:c>
      <x:c r="D95" s="52" t="n">
        <x:v>312</x:v>
      </x:c>
      <x:c r="E95" s="52" t="n">
        <x:v>89</x:v>
      </x:c>
      <x:c r="F95" s="53" t="n">
        <x:f>D95-E95</x:f>
        <x:v>223</x:v>
      </x:c>
      <x:c r="G95" s="52" t="n">
        <x:v>0</x:v>
      </x:c>
      <x:c r="H95" s="40" t="n">
        <x:v>4.75</x:v>
      </x:c>
      <x:c r="I95" s="44" t="n">
        <x:f>D95*H95</x:f>
        <x:v>1482</x:v>
      </x:c>
      <x:c r="J95" s="46" t="n">
        <x:v>10.29</x:v>
      </x:c>
      <x:c r="K95" s="47" t="n">
        <x:f>IF(J95=0,999,F95/J95)</x:f>
        <x:v>21.67152575315841</x:v>
      </x:c>
      <x:c r="L95" s="53" t="n">
        <x:v>54</x:v>
      </x:c>
      <x:c r="M95" s="53" t="n">
        <x:f>ROUNDUP(J95*SQRT(L95)*1.65,0)</x:f>
        <x:v>125</x:v>
      </x:c>
      <x:c r="N95" s="53" t="n">
        <x:f>ROUNDUP(J95*L95+M95,0)</x:f>
        <x:v>681</x:v>
      </x:c>
      <x:c r="O95" s="42" t="str">
        <x:f>IF(F95&lt;=0,"Critical",IF(F95&lt;N95,"High",IF(F95&lt;N95*1.5,"Medium","Low")))</x:f>
        <x:v>High</x:v>
      </x:c>
      <x:c r="P95" s="53" t="n">
        <x:f>MAX(0,F95-(J95*90+M95))</x:f>
        <x:v>0</x:v>
      </x:c>
      <x:c r="Q95" s="44" t="n">
        <x:f>P95*H95</x:f>
        <x:v>0</x:v>
      </x:c>
      <x:c r="R95" s="50" t="n">
        <x:v>45994</x:v>
      </x:c>
      <x:c r="S95" s="53" t="n">
        <x:f>'Assumptions'!$B$13-R95</x:f>
        <x:v>251</x:v>
      </x:c>
      <x:c r="T95" s="42" t="str">
        <x:f>IF(S95&gt;=180,"High",IF(S95&gt;=120,"Medium","Low"))</x:f>
        <x:v>High</x:v>
      </x:c>
    </x:row>
    <x:row r="96">
      <x:c r="A96" s="14" t="str">
        <x:v>SKU-0095</x:v>
      </x:c>
      <x:c r="B96" s="14" t="str">
        <x:v>Bearings Item 095</x:v>
      </x:c>
      <x:c r="C96" s="14" t="str">
        <x:v>A</x:v>
      </x:c>
      <x:c r="D96" s="52" t="n">
        <x:v>175</x:v>
      </x:c>
      <x:c r="E96" s="52" t="n">
        <x:v>8</x:v>
      </x:c>
      <x:c r="F96" s="53" t="n">
        <x:f>D96-E96</x:f>
        <x:v>167</x:v>
      </x:c>
      <x:c r="G96" s="52" t="n">
        <x:v>45</x:v>
      </x:c>
      <x:c r="H96" s="40" t="n">
        <x:v>225.04</x:v>
      </x:c>
      <x:c r="I96" s="44" t="n">
        <x:f>D96*H96</x:f>
        <x:v>39382</x:v>
      </x:c>
      <x:c r="J96" s="46" t="n">
        <x:v>4.53</x:v>
      </x:c>
      <x:c r="K96" s="47" t="n">
        <x:f>IF(J96=0,999,F96/J96)</x:f>
        <x:v>36.86534216335541</x:v>
      </x:c>
      <x:c r="L96" s="53" t="n">
        <x:v>55</x:v>
      </x:c>
      <x:c r="M96" s="53" t="n">
        <x:f>ROUNDUP(J96*SQRT(L96)*1.65,0)</x:f>
        <x:v>56</x:v>
      </x:c>
      <x:c r="N96" s="53" t="n">
        <x:f>ROUNDUP(J96*L96+M96,0)</x:f>
        <x:v>306</x:v>
      </x:c>
      <x:c r="O96" s="42" t="str">
        <x:f>IF(F96&lt;=0,"Critical",IF(F96&lt;N96,"High",IF(F96&lt;N96*1.5,"Medium","Low")))</x:f>
        <x:v>High</x:v>
      </x:c>
      <x:c r="P96" s="53" t="n">
        <x:f>MAX(0,F96-(J96*90+M96))</x:f>
        <x:v>0</x:v>
      </x:c>
      <x:c r="Q96" s="44" t="n">
        <x:f>P96*H96</x:f>
        <x:v>0</x:v>
      </x:c>
      <x:c r="R96" s="50" t="n">
        <x:v>45968</x:v>
      </x:c>
      <x:c r="S96" s="53" t="n">
        <x:f>'Assumptions'!$B$13-R96</x:f>
        <x:v>277</x:v>
      </x:c>
      <x:c r="T96" s="42" t="str">
        <x:f>IF(S96&gt;=180,"High",IF(S96&gt;=120,"Medium","Low"))</x:f>
        <x:v>High</x:v>
      </x:c>
    </x:row>
    <x:row r="97">
      <x:c r="A97" s="14" t="str">
        <x:v>SKU-0096</x:v>
      </x:c>
      <x:c r="B97" s="14" t="str">
        <x:v>Filters Item 096</x:v>
      </x:c>
      <x:c r="C97" s="14" t="str">
        <x:v>A</x:v>
      </x:c>
      <x:c r="D97" s="52" t="n">
        <x:v>95</x:v>
      </x:c>
      <x:c r="E97" s="52" t="n">
        <x:v>27</x:v>
      </x:c>
      <x:c r="F97" s="53" t="n">
        <x:f>D97-E97</x:f>
        <x:v>68</x:v>
      </x:c>
      <x:c r="G97" s="52" t="n">
        <x:v>2</x:v>
      </x:c>
      <x:c r="H97" s="40" t="n">
        <x:v>29.46</x:v>
      </x:c>
      <x:c r="I97" s="44" t="n">
        <x:f>D97*H97</x:f>
        <x:v>2798.7000000000003</x:v>
      </x:c>
      <x:c r="J97" s="46" t="n">
        <x:v>6.63</x:v>
      </x:c>
      <x:c r="K97" s="47" t="n">
        <x:f>IF(J97=0,999,F97/J97)</x:f>
        <x:v>10.256410256410257</x:v>
      </x:c>
      <x:c r="L97" s="53" t="n">
        <x:v>44</x:v>
      </x:c>
      <x:c r="M97" s="53" t="n">
        <x:f>ROUNDUP(J97*SQRT(L97)*1.65,0)</x:f>
        <x:v>73</x:v>
      </x:c>
      <x:c r="N97" s="53" t="n">
        <x:f>ROUNDUP(J97*L97+M97,0)</x:f>
        <x:v>365</x:v>
      </x:c>
      <x:c r="O97" s="42" t="str">
        <x:f>IF(F97&lt;=0,"Critical",IF(F97&lt;N97,"High",IF(F97&lt;N97*1.5,"Medium","Low")))</x:f>
        <x:v>High</x:v>
      </x:c>
      <x:c r="P97" s="53" t="n">
        <x:f>MAX(0,F97-(J97*90+M97))</x:f>
        <x:v>0</x:v>
      </x:c>
      <x:c r="Q97" s="44" t="n">
        <x:f>P97*H97</x:f>
        <x:v>0</x:v>
      </x:c>
      <x:c r="R97" s="50" t="n">
        <x:v>46175</x:v>
      </x:c>
      <x:c r="S97" s="53" t="n">
        <x:f>'Assumptions'!$B$13-R97</x:f>
        <x:v>70</x:v>
      </x:c>
      <x:c r="T97" s="42" t="str">
        <x:f>IF(S97&gt;=180,"High",IF(S97&gt;=120,"Medium","Low"))</x:f>
        <x:v>Low</x:v>
      </x:c>
    </x:row>
    <x:row r="98">
      <x:c r="A98" s="14" t="str">
        <x:v>SKU-0097</x:v>
      </x:c>
      <x:c r="B98" s="14" t="str">
        <x:v>Power Item 097</x:v>
      </x:c>
      <x:c r="C98" s="14" t="str">
        <x:v>A</x:v>
      </x:c>
      <x:c r="D98" s="52" t="n">
        <x:v>675</x:v>
      </x:c>
      <x:c r="E98" s="52" t="n">
        <x:v>2</x:v>
      </x:c>
      <x:c r="F98" s="53" t="n">
        <x:f>D98-E98</x:f>
        <x:v>673</x:v>
      </x:c>
      <x:c r="G98" s="52" t="n">
        <x:v>199</x:v>
      </x:c>
      <x:c r="H98" s="40" t="n">
        <x:v>209.93</x:v>
      </x:c>
      <x:c r="I98" s="44" t="n">
        <x:f>D98*H98</x:f>
        <x:v>141702.75</x:v>
      </x:c>
      <x:c r="J98" s="46" t="n">
        <x:v>9.71</x:v>
      </x:c>
      <x:c r="K98" s="47" t="n">
        <x:f>IF(J98=0,999,F98/J98)</x:f>
        <x:v>69.30998970133882</x:v>
      </x:c>
      <x:c r="L98" s="53" t="n">
        <x:v>40</x:v>
      </x:c>
      <x:c r="M98" s="53" t="n">
        <x:f>ROUNDUP(J98*SQRT(L98)*1.65,0)</x:f>
        <x:v>102</x:v>
      </x:c>
      <x:c r="N98" s="53" t="n">
        <x:f>ROUNDUP(J98*L98+M98,0)</x:f>
        <x:v>491</x:v>
      </x:c>
      <x:c r="O98" s="42" t="str">
        <x:f>IF(F98&lt;=0,"Critical",IF(F98&lt;N98,"High",IF(F98&lt;N98*1.5,"Medium","Low")))</x:f>
        <x:v>Medium</x:v>
      </x:c>
      <x:c r="P98" s="53" t="n">
        <x:f>MAX(0,F98-(J98*90+M98))</x:f>
        <x:v>0</x:v>
      </x:c>
      <x:c r="Q98" s="44" t="n">
        <x:f>P98*H98</x:f>
        <x:v>0</x:v>
      </x:c>
      <x:c r="R98" s="50" t="n">
        <x:v>45998</x:v>
      </x:c>
      <x:c r="S98" s="53" t="n">
        <x:f>'Assumptions'!$B$13-R98</x:f>
        <x:v>247</x:v>
      </x:c>
      <x:c r="T98" s="42" t="str">
        <x:f>IF(S98&gt;=180,"High",IF(S98&gt;=120,"Medium","Low"))</x:f>
        <x:v>High</x:v>
      </x:c>
    </x:row>
    <x:row r="99">
      <x:c r="A99" s="14" t="str">
        <x:v>SKU-0098</x:v>
      </x:c>
      <x:c r="B99" s="14" t="str">
        <x:v>Foam Item 098</x:v>
      </x:c>
      <x:c r="C99" s="14" t="str">
        <x:v>C</x:v>
      </x:c>
      <x:c r="D99" s="52" t="n">
        <x:v>55</x:v>
      </x:c>
      <x:c r="E99" s="52" t="n">
        <x:v>13</x:v>
      </x:c>
      <x:c r="F99" s="53" t="n">
        <x:f>D99-E99</x:f>
        <x:v>42</x:v>
      </x:c>
      <x:c r="G99" s="52" t="n">
        <x:v>92</x:v>
      </x:c>
      <x:c r="H99" s="40" t="n">
        <x:v>270.95</x:v>
      </x:c>
      <x:c r="I99" s="44" t="n">
        <x:f>D99*H99</x:f>
        <x:v>14902.25</x:v>
      </x:c>
      <x:c r="J99" s="46" t="n">
        <x:v>5.87</x:v>
      </x:c>
      <x:c r="K99" s="47" t="n">
        <x:f>IF(J99=0,999,F99/J99)</x:f>
        <x:v>7.155025553662692</x:v>
      </x:c>
      <x:c r="L99" s="53" t="n">
        <x:v>11</x:v>
      </x:c>
      <x:c r="M99" s="53" t="n">
        <x:f>ROUNDUP(J99*SQRT(L99)*1.65,0)</x:f>
        <x:v>33</x:v>
      </x:c>
      <x:c r="N99" s="53" t="n">
        <x:f>ROUNDUP(J99*L99+M99,0)</x:f>
        <x:v>98</x:v>
      </x:c>
      <x:c r="O99" s="42" t="str">
        <x:f>IF(F99&lt;=0,"Critical",IF(F99&lt;N99,"High",IF(F99&lt;N99*1.5,"Medium","Low")))</x:f>
        <x:v>High</x:v>
      </x:c>
      <x:c r="P99" s="53" t="n">
        <x:f>MAX(0,F99-(J99*90+M99))</x:f>
        <x:v>0</x:v>
      </x:c>
      <x:c r="Q99" s="44" t="n">
        <x:f>P99*H99</x:f>
        <x:v>0</x:v>
      </x:c>
      <x:c r="R99" s="50" t="n">
        <x:v>45988</x:v>
      </x:c>
      <x:c r="S99" s="53" t="n">
        <x:f>'Assumptions'!$B$13-R99</x:f>
        <x:v>257</x:v>
      </x:c>
      <x:c r="T99" s="42" t="str">
        <x:f>IF(S99&gt;=180,"High",IF(S99&gt;=120,"Medium","Low"))</x:f>
        <x:v>High</x:v>
      </x:c>
    </x:row>
    <x:row r="100">
      <x:c r="A100" s="14" t="str">
        <x:v>SKU-0099</x:v>
      </x:c>
      <x:c r="B100" s="14" t="str">
        <x:v>Tape Item 099</x:v>
      </x:c>
      <x:c r="C100" s="14" t="str">
        <x:v>A</x:v>
      </x:c>
      <x:c r="D100" s="52" t="n">
        <x:v>1472</x:v>
      </x:c>
      <x:c r="E100" s="52" t="n">
        <x:v>468</x:v>
      </x:c>
      <x:c r="F100" s="53" t="n">
        <x:f>D100-E100</x:f>
        <x:v>1004</x:v>
      </x:c>
      <x:c r="G100" s="52" t="n">
        <x:v>99</x:v>
      </x:c>
      <x:c r="H100" s="40" t="n">
        <x:v>104</x:v>
      </x:c>
      <x:c r="I100" s="44" t="n">
        <x:f>D100*H100</x:f>
        <x:v>153088</x:v>
      </x:c>
      <x:c r="J100" s="46" t="n">
        <x:v>18.84</x:v>
      </x:c>
      <x:c r="K100" s="47" t="n">
        <x:f>IF(J100=0,999,F100/J100)</x:f>
        <x:v>53.29087048832272</x:v>
      </x:c>
      <x:c r="L100" s="53" t="n">
        <x:v>36</x:v>
      </x:c>
      <x:c r="M100" s="53" t="n">
        <x:f>ROUNDUP(J100*SQRT(L100)*1.65,0)</x:f>
        <x:v>187</x:v>
      </x:c>
      <x:c r="N100" s="53" t="n">
        <x:f>ROUNDUP(J100*L100+M100,0)</x:f>
        <x:v>866</x:v>
      </x:c>
      <x:c r="O100" s="42" t="str">
        <x:f>IF(F100&lt;=0,"Critical",IF(F100&lt;N100,"High",IF(F100&lt;N100*1.5,"Medium","Low")))</x:f>
        <x:v>Medium</x:v>
      </x:c>
      <x:c r="P100" s="53" t="n">
        <x:f>MAX(0,F100-(J100*90+M100))</x:f>
        <x:v>0</x:v>
      </x:c>
      <x:c r="Q100" s="44" t="n">
        <x:f>P100*H100</x:f>
        <x:v>0</x:v>
      </x:c>
      <x:c r="R100" s="50" t="n">
        <x:v>46169</x:v>
      </x:c>
      <x:c r="S100" s="53" t="n">
        <x:f>'Assumptions'!$B$13-R100</x:f>
        <x:v>76</x:v>
      </x:c>
      <x:c r="T100" s="42" t="str">
        <x:f>IF(S100&gt;=180,"High",IF(S100&gt;=120,"Medium","Low"))</x:f>
        <x:v>Low</x:v>
      </x:c>
    </x:row>
    <x:row r="101">
      <x:c r="A101" s="14" t="str">
        <x:v>SKU-0100</x:v>
      </x:c>
      <x:c r="B101" s="14" t="str">
        <x:v>Cleaning Item 100</x:v>
      </x:c>
      <x:c r="C101" s="14" t="str">
        <x:v>B</x:v>
      </x:c>
      <x:c r="D101" s="52" t="n">
        <x:v>68</x:v>
      </x:c>
      <x:c r="E101" s="52" t="n">
        <x:v>8</x:v>
      </x:c>
      <x:c r="F101" s="53" t="n">
        <x:f>D101-E101</x:f>
        <x:v>60</x:v>
      </x:c>
      <x:c r="G101" s="52" t="n">
        <x:v>0</x:v>
      </x:c>
      <x:c r="H101" s="40" t="n">
        <x:v>108.23</x:v>
      </x:c>
      <x:c r="I101" s="44" t="n">
        <x:f>D101*H101</x:f>
        <x:v>7359.64</x:v>
      </x:c>
      <x:c r="J101" s="46" t="n">
        <x:v>2.28</x:v>
      </x:c>
      <x:c r="K101" s="47" t="n">
        <x:f>IF(J101=0,999,F101/J101)</x:f>
        <x:v>26.315789473684212</x:v>
      </x:c>
      <x:c r="L101" s="53" t="n">
        <x:v>37</x:v>
      </x:c>
      <x:c r="M101" s="53" t="n">
        <x:f>ROUNDUP(J101*SQRT(L101)*1.65,0)</x:f>
        <x:v>23</x:v>
      </x:c>
      <x:c r="N101" s="53" t="n">
        <x:f>ROUNDUP(J101*L101+M101,0)</x:f>
        <x:v>108</x:v>
      </x:c>
      <x:c r="O101" s="42" t="str">
        <x:f>IF(F101&lt;=0,"Critical",IF(F101&lt;N101,"High",IF(F101&lt;N101*1.5,"Medium","Low")))</x:f>
        <x:v>High</x:v>
      </x:c>
      <x:c r="P101" s="53" t="n">
        <x:f>MAX(0,F101-(J101*90+M101))</x:f>
        <x:v>0</x:v>
      </x:c>
      <x:c r="Q101" s="44" t="n">
        <x:f>P101*H101</x:f>
        <x:v>0</x:v>
      </x:c>
      <x:c r="R101" s="50" t="n">
        <x:v>46205</x:v>
      </x:c>
      <x:c r="S101" s="53" t="n">
        <x:f>'Assumptions'!$B$13-R101</x:f>
        <x:v>40</x:v>
      </x:c>
      <x:c r="T101" s="42" t="str">
        <x:f>IF(S101&gt;=180,"High",IF(S101&gt;=120,"Medium","Low"))</x:f>
        <x:v>Low</x:v>
      </x:c>
    </x:row>
    <x:row r="102">
      <x:c r="A102" s="14" t="str">
        <x:v>SKU-0101</x:v>
      </x:c>
      <x:c r="B102" s="14" t="str">
        <x:v>First Aid Item 101</x:v>
      </x:c>
      <x:c r="C102" s="14" t="str">
        <x:v>C</x:v>
      </x:c>
      <x:c r="D102" s="52" t="n">
        <x:v>237</x:v>
      </x:c>
      <x:c r="E102" s="52" t="n">
        <x:v>82</x:v>
      </x:c>
      <x:c r="F102" s="53" t="n">
        <x:f>D102-E102</x:f>
        <x:v>155</x:v>
      </x:c>
      <x:c r="G102" s="52" t="n">
        <x:v>156</x:v>
      </x:c>
      <x:c r="H102" s="40" t="n">
        <x:v>63.93</x:v>
      </x:c>
      <x:c r="I102" s="44" t="n">
        <x:f>D102*H102</x:f>
        <x:v>15151.41</x:v>
      </x:c>
      <x:c r="J102" s="46" t="n">
        <x:v>4.16</x:v>
      </x:c>
      <x:c r="K102" s="47" t="n">
        <x:f>IF(J102=0,999,F102/J102)</x:f>
        <x:v>37.25961538461539</x:v>
      </x:c>
      <x:c r="L102" s="53" t="n">
        <x:v>48</x:v>
      </x:c>
      <x:c r="M102" s="53" t="n">
        <x:f>ROUNDUP(J102*SQRT(L102)*1.65,0)</x:f>
        <x:v>48</x:v>
      </x:c>
      <x:c r="N102" s="53" t="n">
        <x:f>ROUNDUP(J102*L102+M102,0)</x:f>
        <x:v>248</x:v>
      </x:c>
      <x:c r="O102" s="42" t="str">
        <x:f>IF(F102&lt;=0,"Critical",IF(F102&lt;N102,"High",IF(F102&lt;N102*1.5,"Medium","Low")))</x:f>
        <x:v>High</x:v>
      </x:c>
      <x:c r="P102" s="53" t="n">
        <x:f>MAX(0,F102-(J102*90+M102))</x:f>
        <x:v>0</x:v>
      </x:c>
      <x:c r="Q102" s="44" t="n">
        <x:f>P102*H102</x:f>
        <x:v>0</x:v>
      </x:c>
      <x:c r="R102" s="50" t="n">
        <x:v>46204</x:v>
      </x:c>
      <x:c r="S102" s="53" t="n">
        <x:f>'Assumptions'!$B$13-R102</x:f>
        <x:v>41</x:v>
      </x:c>
      <x:c r="T102" s="42" t="str">
        <x:f>IF(S102&gt;=180,"High",IF(S102&gt;=120,"Medium","Low"))</x:f>
        <x:v>Low</x:v>
      </x:c>
    </x:row>
    <x:row r="103">
      <x:c r="A103" s="14" t="str">
        <x:v>SKU-0102</x:v>
      </x:c>
      <x:c r="B103" s="14" t="str">
        <x:v>Sensors Item 102</x:v>
      </x:c>
      <x:c r="C103" s="14" t="str">
        <x:v>B</x:v>
      </x:c>
      <x:c r="D103" s="52" t="n">
        <x:v>1636</x:v>
      </x:c>
      <x:c r="E103" s="52" t="n">
        <x:v>53</x:v>
      </x:c>
      <x:c r="F103" s="53" t="n">
        <x:f>D103-E103</x:f>
        <x:v>1583</x:v>
      </x:c>
      <x:c r="G103" s="52" t="n">
        <x:v>671</x:v>
      </x:c>
      <x:c r="H103" s="40" t="n">
        <x:v>278.87</x:v>
      </x:c>
      <x:c r="I103" s="44" t="n">
        <x:f>D103*H103</x:f>
        <x:v>456231.32</x:v>
      </x:c>
      <x:c r="J103" s="46" t="n">
        <x:v>22.09</x:v>
      </x:c>
      <x:c r="K103" s="47" t="n">
        <x:f>IF(J103=0,999,F103/J103)</x:f>
        <x:v>71.66138524219103</x:v>
      </x:c>
      <x:c r="L103" s="53" t="n">
        <x:v>31</x:v>
      </x:c>
      <x:c r="M103" s="53" t="n">
        <x:f>ROUNDUP(J103*SQRT(L103)*1.65,0)</x:f>
        <x:v>203</x:v>
      </x:c>
      <x:c r="N103" s="53" t="n">
        <x:f>ROUNDUP(J103*L103+M103,0)</x:f>
        <x:v>888</x:v>
      </x:c>
      <x:c r="O103" s="42" t="str">
        <x:f>IF(F103&lt;=0,"Critical",IF(F103&lt;N103,"High",IF(F103&lt;N103*1.5,"Medium","Low")))</x:f>
        <x:v>Low</x:v>
      </x:c>
      <x:c r="P103" s="53" t="n">
        <x:f>MAX(0,F103-(J103*90+M103))</x:f>
        <x:v>0</x:v>
      </x:c>
      <x:c r="Q103" s="44" t="n">
        <x:f>P103*H103</x:f>
        <x:v>0</x:v>
      </x:c>
      <x:c r="R103" s="50" t="n">
        <x:v>46217</x:v>
      </x:c>
      <x:c r="S103" s="53" t="n">
        <x:f>'Assumptions'!$B$13-R103</x:f>
        <x:v>28</x:v>
      </x:c>
      <x:c r="T103" s="42" t="str">
        <x:f>IF(S103&gt;=180,"High",IF(S103&gt;=120,"Medium","Low"))</x:f>
        <x:v>Low</x:v>
      </x:c>
    </x:row>
    <x:row r="104">
      <x:c r="A104" s="14" t="str">
        <x:v>SKU-0103</x:v>
      </x:c>
      <x:c r="B104" s="14" t="str">
        <x:v>Tools Item 103</x:v>
      </x:c>
      <x:c r="C104" s="14" t="str">
        <x:v>B</x:v>
      </x:c>
      <x:c r="D104" s="52" t="n">
        <x:v>150</x:v>
      </x:c>
      <x:c r="E104" s="52" t="n">
        <x:v>44</x:v>
      </x:c>
      <x:c r="F104" s="53" t="n">
        <x:f>D104-E104</x:f>
        <x:v>106</x:v>
      </x:c>
      <x:c r="G104" s="52" t="n">
        <x:v>180</x:v>
      </x:c>
      <x:c r="H104" s="40" t="n">
        <x:v>208.48</x:v>
      </x:c>
      <x:c r="I104" s="44" t="n">
        <x:f>D104*H104</x:f>
        <x:v>31272</x:v>
      </x:c>
      <x:c r="J104" s="46" t="n">
        <x:v>9.9</x:v>
      </x:c>
      <x:c r="K104" s="47" t="n">
        <x:f>IF(J104=0,999,F104/J104)</x:f>
        <x:v>10.707070707070706</x:v>
      </x:c>
      <x:c r="L104" s="53" t="n">
        <x:v>46</x:v>
      </x:c>
      <x:c r="M104" s="53" t="n">
        <x:f>ROUNDUP(J104*SQRT(L104)*1.65,0)</x:f>
        <x:v>111</x:v>
      </x:c>
      <x:c r="N104" s="53" t="n">
        <x:f>ROUNDUP(J104*L104+M104,0)</x:f>
        <x:v>567</x:v>
      </x:c>
      <x:c r="O104" s="42" t="str">
        <x:f>IF(F104&lt;=0,"Critical",IF(F104&lt;N104,"High",IF(F104&lt;N104*1.5,"Medium","Low")))</x:f>
        <x:v>High</x:v>
      </x:c>
      <x:c r="P104" s="53" t="n">
        <x:f>MAX(0,F104-(J104*90+M104))</x:f>
        <x:v>0</x:v>
      </x:c>
      <x:c r="Q104" s="44" t="n">
        <x:f>P104*H104</x:f>
        <x:v>0</x:v>
      </x:c>
      <x:c r="R104" s="50" t="n">
        <x:v>46197</x:v>
      </x:c>
      <x:c r="S104" s="53" t="n">
        <x:f>'Assumptions'!$B$13-R104</x:f>
        <x:v>48</x:v>
      </x:c>
      <x:c r="T104" s="42" t="str">
        <x:f>IF(S104&gt;=180,"High",IF(S104&gt;=120,"Medium","Low"))</x:f>
        <x:v>Low</x:v>
      </x:c>
    </x:row>
    <x:row r="105">
      <x:c r="A105" s="14" t="str">
        <x:v>SKU-0104</x:v>
      </x:c>
      <x:c r="B105" s="14" t="str">
        <x:v>Fasteners Item 104</x:v>
      </x:c>
      <x:c r="C105" s="14" t="str">
        <x:v>C</x:v>
      </x:c>
      <x:c r="D105" s="52" t="n">
        <x:v>306</x:v>
      </x:c>
      <x:c r="E105" s="52" t="n">
        <x:v>98</x:v>
      </x:c>
      <x:c r="F105" s="53" t="n">
        <x:f>D105-E105</x:f>
        <x:v>208</x:v>
      </x:c>
      <x:c r="G105" s="52" t="n">
        <x:v>0</x:v>
      </x:c>
      <x:c r="H105" s="40" t="n">
        <x:v>105.32</x:v>
      </x:c>
      <x:c r="I105" s="44" t="n">
        <x:f>D105*H105</x:f>
        <x:v>32227.92</x:v>
      </x:c>
      <x:c r="J105" s="46" t="n">
        <x:v>9.69</x:v>
      </x:c>
      <x:c r="K105" s="47" t="n">
        <x:f>IF(J105=0,999,F105/J105)</x:f>
        <x:v>21.46542827657379</x:v>
      </x:c>
      <x:c r="L105" s="53" t="n">
        <x:v>50</x:v>
      </x:c>
      <x:c r="M105" s="53" t="n">
        <x:f>ROUNDUP(J105*SQRT(L105)*1.65,0)</x:f>
        <x:v>114</x:v>
      </x:c>
      <x:c r="N105" s="53" t="n">
        <x:f>ROUNDUP(J105*L105+M105,0)</x:f>
        <x:v>599</x:v>
      </x:c>
      <x:c r="O105" s="42" t="str">
        <x:f>IF(F105&lt;=0,"Critical",IF(F105&lt;N105,"High",IF(F105&lt;N105*1.5,"Medium","Low")))</x:f>
        <x:v>High</x:v>
      </x:c>
      <x:c r="P105" s="53" t="n">
        <x:f>MAX(0,F105-(J105*90+M105))</x:f>
        <x:v>0</x:v>
      </x:c>
      <x:c r="Q105" s="44" t="n">
        <x:f>P105*H105</x:f>
        <x:v>0</x:v>
      </x:c>
      <x:c r="R105" s="50" t="n">
        <x:v>46102</x:v>
      </x:c>
      <x:c r="S105" s="53" t="n">
        <x:f>'Assumptions'!$B$13-R105</x:f>
        <x:v>143</x:v>
      </x:c>
      <x:c r="T105" s="42" t="str">
        <x:f>IF(S105&gt;=180,"High",IF(S105&gt;=120,"Medium","Low"))</x:f>
        <x:v>Medium</x:v>
      </x:c>
    </x:row>
    <x:row r="106">
      <x:c r="A106" s="14" t="str">
        <x:v>SKU-0105</x:v>
      </x:c>
      <x:c r="B106" s="14" t="str">
        <x:v>Cleaning Item 105</x:v>
      </x:c>
      <x:c r="C106" s="14" t="str">
        <x:v>A</x:v>
      </x:c>
      <x:c r="D106" s="52" t="n">
        <x:v>192</x:v>
      </x:c>
      <x:c r="E106" s="52" t="n">
        <x:v>62</x:v>
      </x:c>
      <x:c r="F106" s="53" t="n">
        <x:f>D106-E106</x:f>
        <x:v>130</x:v>
      </x:c>
      <x:c r="G106" s="52" t="n">
        <x:v>939</x:v>
      </x:c>
      <x:c r="H106" s="40" t="n">
        <x:v>112.98</x:v>
      </x:c>
      <x:c r="I106" s="44" t="n">
        <x:f>D106*H106</x:f>
        <x:v>21692.16</x:v>
      </x:c>
      <x:c r="J106" s="46" t="n">
        <x:v>17.76</x:v>
      </x:c>
      <x:c r="K106" s="47" t="n">
        <x:f>IF(J106=0,999,F106/J106)</x:f>
        <x:v>7.319819819819819</x:v>
      </x:c>
      <x:c r="L106" s="53" t="n">
        <x:v>49</x:v>
      </x:c>
      <x:c r="M106" s="53" t="n">
        <x:f>ROUNDUP(J106*SQRT(L106)*1.65,0)</x:f>
        <x:v>206</x:v>
      </x:c>
      <x:c r="N106" s="53" t="n">
        <x:f>ROUNDUP(J106*L106+M106,0)</x:f>
        <x:v>1077</x:v>
      </x:c>
      <x:c r="O106" s="42" t="str">
        <x:f>IF(F106&lt;=0,"Critical",IF(F106&lt;N106,"High",IF(F106&lt;N106*1.5,"Medium","Low")))</x:f>
        <x:v>High</x:v>
      </x:c>
      <x:c r="P106" s="53" t="n">
        <x:f>MAX(0,F106-(J106*90+M106))</x:f>
        <x:v>0</x:v>
      </x:c>
      <x:c r="Q106" s="44" t="n">
        <x:f>P106*H106</x:f>
        <x:v>0</x:v>
      </x:c>
      <x:c r="R106" s="50" t="n">
        <x:v>45945</x:v>
      </x:c>
      <x:c r="S106" s="53" t="n">
        <x:f>'Assumptions'!$B$13-R106</x:f>
        <x:v>300</x:v>
      </x:c>
      <x:c r="T106" s="42" t="str">
        <x:f>IF(S106&gt;=180,"High",IF(S106&gt;=120,"Medium","Low"))</x:f>
        <x:v>High</x:v>
      </x:c>
    </x:row>
    <x:row r="107">
      <x:c r="A107" s="14" t="str">
        <x:v>SKU-0106</x:v>
      </x:c>
      <x:c r="B107" s="14" t="str">
        <x:v>Gloves Item 106</x:v>
      </x:c>
      <x:c r="C107" s="14" t="str">
        <x:v>A</x:v>
      </x:c>
      <x:c r="D107" s="52" t="n">
        <x:v>173</x:v>
      </x:c>
      <x:c r="E107" s="52" t="n">
        <x:v>51</x:v>
      </x:c>
      <x:c r="F107" s="53" t="n">
        <x:f>D107-E107</x:f>
        <x:v>122</x:v>
      </x:c>
      <x:c r="G107" s="52" t="n">
        <x:v>0</x:v>
      </x:c>
      <x:c r="H107" s="40" t="n">
        <x:v>220.84</x:v>
      </x:c>
      <x:c r="I107" s="44" t="n">
        <x:f>D107*H107</x:f>
        <x:v>38205.32</x:v>
      </x:c>
      <x:c r="J107" s="46" t="n">
        <x:v>3.03</x:v>
      </x:c>
      <x:c r="K107" s="47" t="n">
        <x:f>IF(J107=0,999,F107/J107)</x:f>
        <x:v>40.26402640264027</x:v>
      </x:c>
      <x:c r="L107" s="53" t="n">
        <x:v>11</x:v>
      </x:c>
      <x:c r="M107" s="53" t="n">
        <x:f>ROUNDUP(J107*SQRT(L107)*1.65,0)</x:f>
        <x:v>17</x:v>
      </x:c>
      <x:c r="N107" s="53" t="n">
        <x:f>ROUNDUP(J107*L107+M107,0)</x:f>
        <x:v>51</x:v>
      </x:c>
      <x:c r="O107" s="42" t="str">
        <x:f>IF(F107&lt;=0,"Critical",IF(F107&lt;N107,"High",IF(F107&lt;N107*1.5,"Medium","Low")))</x:f>
        <x:v>Low</x:v>
      </x:c>
      <x:c r="P107" s="53" t="n">
        <x:f>MAX(0,F107-(J107*90+M107))</x:f>
        <x:v>0</x:v>
      </x:c>
      <x:c r="Q107" s="44" t="n">
        <x:f>P107*H107</x:f>
        <x:v>0</x:v>
      </x:c>
      <x:c r="R107" s="50" t="n">
        <x:v>45969</x:v>
      </x:c>
      <x:c r="S107" s="53" t="n">
        <x:f>'Assumptions'!$B$13-R107</x:f>
        <x:v>276</x:v>
      </x:c>
      <x:c r="T107" s="42" t="str">
        <x:f>IF(S107&gt;=180,"High",IF(S107&gt;=120,"Medium","Low"))</x:f>
        <x:v>High</x:v>
      </x:c>
    </x:row>
    <x:row r="108">
      <x:c r="A108" s="14" t="str">
        <x:v>SKU-0107</x:v>
      </x:c>
      <x:c r="B108" s="14" t="str">
        <x:v>Labels Item 107</x:v>
      </x:c>
      <x:c r="C108" s="14" t="str">
        <x:v>C</x:v>
      </x:c>
      <x:c r="D108" s="52" t="n">
        <x:v>45</x:v>
      </x:c>
      <x:c r="E108" s="52" t="n">
        <x:v>15</x:v>
      </x:c>
      <x:c r="F108" s="53" t="n">
        <x:f>D108-E108</x:f>
        <x:v>30</x:v>
      </x:c>
      <x:c r="G108" s="52" t="n">
        <x:v>0</x:v>
      </x:c>
      <x:c r="H108" s="40" t="n">
        <x:v>217.39</x:v>
      </x:c>
      <x:c r="I108" s="44" t="n">
        <x:f>D108*H108</x:f>
        <x:v>9782.55</x:v>
      </x:c>
      <x:c r="J108" s="46" t="n">
        <x:v>2.26</x:v>
      </x:c>
      <x:c r="K108" s="47" t="n">
        <x:f>IF(J108=0,999,F108/J108)</x:f>
        <x:v>13.274336283185843</x:v>
      </x:c>
      <x:c r="L108" s="53" t="n">
        <x:v>15</x:v>
      </x:c>
      <x:c r="M108" s="53" t="n">
        <x:f>ROUNDUP(J108*SQRT(L108)*1.65,0)</x:f>
        <x:v>15</x:v>
      </x:c>
      <x:c r="N108" s="53" t="n">
        <x:f>ROUNDUP(J108*L108+M108,0)</x:f>
        <x:v>49</x:v>
      </x:c>
      <x:c r="O108" s="42" t="str">
        <x:f>IF(F108&lt;=0,"Critical",IF(F108&lt;N108,"High",IF(F108&lt;N108*1.5,"Medium","Low")))</x:f>
        <x:v>High</x:v>
      </x:c>
      <x:c r="P108" s="53" t="n">
        <x:f>MAX(0,F108-(J108*90+M108))</x:f>
        <x:v>0</x:v>
      </x:c>
      <x:c r="Q108" s="44" t="n">
        <x:f>P108*H108</x:f>
        <x:v>0</x:v>
      </x:c>
      <x:c r="R108" s="50" t="n">
        <x:v>45989</x:v>
      </x:c>
      <x:c r="S108" s="53" t="n">
        <x:f>'Assumptions'!$B$13-R108</x:f>
        <x:v>256</x:v>
      </x:c>
      <x:c r="T108" s="42" t="str">
        <x:f>IF(S108&gt;=180,"High",IF(S108&gt;=120,"Medium","Low"))</x:f>
        <x:v>High</x:v>
      </x:c>
    </x:row>
    <x:row r="109">
      <x:c r="A109" s="14" t="str">
        <x:v>SKU-0108</x:v>
      </x:c>
      <x:c r="B109" s="14" t="str">
        <x:v>Cartons Item 108</x:v>
      </x:c>
      <x:c r="C109" s="14" t="str">
        <x:v>B</x:v>
      </x:c>
      <x:c r="D109" s="52" t="n">
        <x:v>146</x:v>
      </x:c>
      <x:c r="E109" s="52" t="n">
        <x:v>11</x:v>
      </x:c>
      <x:c r="F109" s="53" t="n">
        <x:f>D109-E109</x:f>
        <x:v>135</x:v>
      </x:c>
      <x:c r="G109" s="52" t="n">
        <x:v>295</x:v>
      </x:c>
      <x:c r="H109" s="40" t="n">
        <x:v>242.94</x:v>
      </x:c>
      <x:c r="I109" s="44" t="n">
        <x:f>D109*H109</x:f>
        <x:v>35469.24</x:v>
      </x:c>
      <x:c r="J109" s="46" t="n">
        <x:v>8.87</x:v>
      </x:c>
      <x:c r="K109" s="47" t="n">
        <x:f>IF(J109=0,999,F109/J109)</x:f>
        <x:v>15.219842164599775</x:v>
      </x:c>
      <x:c r="L109" s="53" t="n">
        <x:v>27</x:v>
      </x:c>
      <x:c r="M109" s="53" t="n">
        <x:f>ROUNDUP(J109*SQRT(L109)*1.65,0)</x:f>
        <x:v>77</x:v>
      </x:c>
      <x:c r="N109" s="53" t="n">
        <x:f>ROUNDUP(J109*L109+M109,0)</x:f>
        <x:v>317</x:v>
      </x:c>
      <x:c r="O109" s="42" t="str">
        <x:f>IF(F109&lt;=0,"Critical",IF(F109&lt;N109,"High",IF(F109&lt;N109*1.5,"Medium","Low")))</x:f>
        <x:v>High</x:v>
      </x:c>
      <x:c r="P109" s="53" t="n">
        <x:f>MAX(0,F109-(J109*90+M109))</x:f>
        <x:v>0</x:v>
      </x:c>
      <x:c r="Q109" s="44" t="n">
        <x:f>P109*H109</x:f>
        <x:v>0</x:v>
      </x:c>
      <x:c r="R109" s="50" t="n">
        <x:v>46042</x:v>
      </x:c>
      <x:c r="S109" s="53" t="n">
        <x:f>'Assumptions'!$B$13-R109</x:f>
        <x:v>203</x:v>
      </x:c>
      <x:c r="T109" s="42" t="str">
        <x:f>IF(S109&gt;=180,"High",IF(S109&gt;=120,"Medium","Low"))</x:f>
        <x:v>High</x:v>
      </x:c>
    </x:row>
    <x:row r="110">
      <x:c r="A110" s="14" t="str">
        <x:v>SKU-0109</x:v>
      </x:c>
      <x:c r="B110" s="14" t="str">
        <x:v>Cables Item 109</x:v>
      </x:c>
      <x:c r="C110" s="14" t="str">
        <x:v>A</x:v>
      </x:c>
      <x:c r="D110" s="52" t="n">
        <x:v>846</x:v>
      </x:c>
      <x:c r="E110" s="52" t="n">
        <x:v>232</x:v>
      </x:c>
      <x:c r="F110" s="53" t="n">
        <x:f>D110-E110</x:f>
        <x:v>614</x:v>
      </x:c>
      <x:c r="G110" s="52" t="n">
        <x:v>168</x:v>
      </x:c>
      <x:c r="H110" s="40" t="n">
        <x:v>119.32</x:v>
      </x:c>
      <x:c r="I110" s="44" t="n">
        <x:f>D110*H110</x:f>
        <x:v>100944.72</x:v>
      </x:c>
      <x:c r="J110" s="46" t="n">
        <x:v>13.41</x:v>
      </x:c>
      <x:c r="K110" s="47" t="n">
        <x:f>IF(J110=0,999,F110/J110)</x:f>
        <x:v>45.78672632363907</x:v>
      </x:c>
      <x:c r="L110" s="53" t="n">
        <x:v>39</x:v>
      </x:c>
      <x:c r="M110" s="53" t="n">
        <x:f>ROUNDUP(J110*SQRT(L110)*1.65,0)</x:f>
        <x:v>139</x:v>
      </x:c>
      <x:c r="N110" s="53" t="n">
        <x:f>ROUNDUP(J110*L110+M110,0)</x:f>
        <x:v>662</x:v>
      </x:c>
      <x:c r="O110" s="42" t="str">
        <x:f>IF(F110&lt;=0,"Critical",IF(F110&lt;N110,"High",IF(F110&lt;N110*1.5,"Medium","Low")))</x:f>
        <x:v>High</x:v>
      </x:c>
      <x:c r="P110" s="53" t="n">
        <x:f>MAX(0,F110-(J110*90+M110))</x:f>
        <x:v>0</x:v>
      </x:c>
      <x:c r="Q110" s="44" t="n">
        <x:f>P110*H110</x:f>
        <x:v>0</x:v>
      </x:c>
      <x:c r="R110" s="50" t="n">
        <x:v>45962</x:v>
      </x:c>
      <x:c r="S110" s="53" t="n">
        <x:f>'Assumptions'!$B$13-R110</x:f>
        <x:v>283</x:v>
      </x:c>
      <x:c r="T110" s="42" t="str">
        <x:f>IF(S110&gt;=180,"High",IF(S110&gt;=120,"Medium","Low"))</x:f>
        <x:v>High</x:v>
      </x:c>
    </x:row>
    <x:row r="111">
      <x:c r="A111" s="14" t="str">
        <x:v>SKU-0110</x:v>
      </x:c>
      <x:c r="B111" s="14" t="str">
        <x:v>Eyewear Item 110</x:v>
      </x:c>
      <x:c r="C111" s="14" t="str">
        <x:v>C</x:v>
      </x:c>
      <x:c r="D111" s="52" t="n">
        <x:v>997</x:v>
      </x:c>
      <x:c r="E111" s="52" t="n">
        <x:v>230</x:v>
      </x:c>
      <x:c r="F111" s="53" t="n">
        <x:f>D111-E111</x:f>
        <x:v>767</x:v>
      </x:c>
      <x:c r="G111" s="52" t="n">
        <x:v>505</x:v>
      </x:c>
      <x:c r="H111" s="40" t="n">
        <x:v>14.53</x:v>
      </x:c>
      <x:c r="I111" s="44" t="n">
        <x:f>D111*H111</x:f>
        <x:v>14486.41</x:v>
      </x:c>
      <x:c r="J111" s="46" t="n">
        <x:v>14.87</x:v>
      </x:c>
      <x:c r="K111" s="47" t="n">
        <x:f>IF(J111=0,999,F111/J111)</x:f>
        <x:v>51.5803631472764</x:v>
      </x:c>
      <x:c r="L111" s="53" t="n">
        <x:v>36</x:v>
      </x:c>
      <x:c r="M111" s="53" t="n">
        <x:f>ROUNDUP(J111*SQRT(L111)*1.65,0)</x:f>
        <x:v>148</x:v>
      </x:c>
      <x:c r="N111" s="53" t="n">
        <x:f>ROUNDUP(J111*L111+M111,0)</x:f>
        <x:v>684</x:v>
      </x:c>
      <x:c r="O111" s="42" t="str">
        <x:f>IF(F111&lt;=0,"Critical",IF(F111&lt;N111,"High",IF(F111&lt;N111*1.5,"Medium","Low")))</x:f>
        <x:v>Medium</x:v>
      </x:c>
      <x:c r="P111" s="53" t="n">
        <x:f>MAX(0,F111-(J111*90+M111))</x:f>
        <x:v>0</x:v>
      </x:c>
      <x:c r="Q111" s="44" t="n">
        <x:f>P111*H111</x:f>
        <x:v>0</x:v>
      </x:c>
      <x:c r="R111" s="50" t="n">
        <x:v>46119</x:v>
      </x:c>
      <x:c r="S111" s="53" t="n">
        <x:f>'Assumptions'!$B$13-R111</x:f>
        <x:v>126</x:v>
      </x:c>
      <x:c r="T111" s="42" t="str">
        <x:f>IF(S111&gt;=180,"High",IF(S111&gt;=120,"Medium","Low"))</x:f>
        <x:v>Medium</x:v>
      </x:c>
    </x:row>
    <x:row r="112">
      <x:c r="A112" s="14" t="str">
        <x:v>SKU-0111</x:v>
      </x:c>
      <x:c r="B112" s="14" t="str">
        <x:v>Controllers Item 111</x:v>
      </x:c>
      <x:c r="C112" s="14" t="str">
        <x:v>C</x:v>
      </x:c>
      <x:c r="D112" s="52" t="n">
        <x:v>158</x:v>
      </x:c>
      <x:c r="E112" s="52" t="n">
        <x:v>39</x:v>
      </x:c>
      <x:c r="F112" s="53" t="n">
        <x:f>D112-E112</x:f>
        <x:v>119</x:v>
      </x:c>
      <x:c r="G112" s="52" t="n">
        <x:v>300</x:v>
      </x:c>
      <x:c r="H112" s="40" t="n">
        <x:v>120.79</x:v>
      </x:c>
      <x:c r="I112" s="44" t="n">
        <x:f>D112*H112</x:f>
        <x:v>19084.82</x:v>
      </x:c>
      <x:c r="J112" s="46" t="n">
        <x:v>7.38</x:v>
      </x:c>
      <x:c r="K112" s="47" t="n">
        <x:f>IF(J112=0,999,F112/J112)</x:f>
        <x:v>16.124661246612465</x:v>
      </x:c>
      <x:c r="L112" s="53" t="n">
        <x:v>12</x:v>
      </x:c>
      <x:c r="M112" s="53" t="n">
        <x:f>ROUNDUP(J112*SQRT(L112)*1.65,0)</x:f>
        <x:v>43</x:v>
      </x:c>
      <x:c r="N112" s="53" t="n">
        <x:f>ROUNDUP(J112*L112+M112,0)</x:f>
        <x:v>132</x:v>
      </x:c>
      <x:c r="O112" s="42" t="str">
        <x:f>IF(F112&lt;=0,"Critical",IF(F112&lt;N112,"High",IF(F112&lt;N112*1.5,"Medium","Low")))</x:f>
        <x:v>High</x:v>
      </x:c>
      <x:c r="P112" s="53" t="n">
        <x:f>MAX(0,F112-(J112*90+M112))</x:f>
        <x:v>0</x:v>
      </x:c>
      <x:c r="Q112" s="44" t="n">
        <x:f>P112*H112</x:f>
        <x:v>0</x:v>
      </x:c>
      <x:c r="R112" s="50" t="n">
        <x:v>46083</x:v>
      </x:c>
      <x:c r="S112" s="53" t="n">
        <x:f>'Assumptions'!$B$13-R112</x:f>
        <x:v>162</x:v>
      </x:c>
      <x:c r="T112" s="42" t="str">
        <x:f>IF(S112&gt;=180,"High",IF(S112&gt;=120,"Medium","Low"))</x:f>
        <x:v>Medium</x:v>
      </x:c>
    </x:row>
    <x:row r="113">
      <x:c r="A113" s="14" t="str">
        <x:v>SKU-0112</x:v>
      </x:c>
      <x:c r="B113" s="14" t="str">
        <x:v>Cables Item 112</x:v>
      </x:c>
      <x:c r="C113" s="14" t="str">
        <x:v>C</x:v>
      </x:c>
      <x:c r="D113" s="52" t="n">
        <x:v>404</x:v>
      </x:c>
      <x:c r="E113" s="52" t="n">
        <x:v>62</x:v>
      </x:c>
      <x:c r="F113" s="53" t="n">
        <x:f>D113-E113</x:f>
        <x:v>342</x:v>
      </x:c>
      <x:c r="G113" s="52" t="n">
        <x:v>0</x:v>
      </x:c>
      <x:c r="H113" s="40" t="n">
        <x:v>175.75</x:v>
      </x:c>
      <x:c r="I113" s="44" t="n">
        <x:f>D113*H113</x:f>
        <x:v>71003</x:v>
      </x:c>
      <x:c r="J113" s="46" t="n">
        <x:v>4.49</x:v>
      </x:c>
      <x:c r="K113" s="47" t="n">
        <x:f>IF(J113=0,999,F113/J113)</x:f>
        <x:v>76.16926503340757</x:v>
      </x:c>
      <x:c r="L113" s="53" t="n">
        <x:v>40</x:v>
      </x:c>
      <x:c r="M113" s="53" t="n">
        <x:f>ROUNDUP(J113*SQRT(L113)*1.65,0)</x:f>
        <x:v>47</x:v>
      </x:c>
      <x:c r="N113" s="53" t="n">
        <x:f>ROUNDUP(J113*L113+M113,0)</x:f>
        <x:v>227</x:v>
      </x:c>
      <x:c r="O113" s="42" t="str">
        <x:f>IF(F113&lt;=0,"Critical",IF(F113&lt;N113,"High",IF(F113&lt;N113*1.5,"Medium","Low")))</x:f>
        <x:v>Low</x:v>
      </x:c>
      <x:c r="P113" s="53" t="n">
        <x:f>MAX(0,F113-(J113*90+M113))</x:f>
        <x:v>0</x:v>
      </x:c>
      <x:c r="Q113" s="44" t="n">
        <x:f>P113*H113</x:f>
        <x:v>0</x:v>
      </x:c>
      <x:c r="R113" s="50" t="n">
        <x:v>46193</x:v>
      </x:c>
      <x:c r="S113" s="53" t="n">
        <x:f>'Assumptions'!$B$13-R113</x:f>
        <x:v>52</x:v>
      </x:c>
      <x:c r="T113" s="42" t="str">
        <x:f>IF(S113&gt;=180,"High",IF(S113&gt;=120,"Medium","Low"))</x:f>
        <x:v>Low</x:v>
      </x:c>
    </x:row>
    <x:row r="114">
      <x:c r="A114" s="14" t="str">
        <x:v>SKU-0113</x:v>
      </x:c>
      <x:c r="B114" s="14" t="str">
        <x:v>PPE Item 113</x:v>
      </x:c>
      <x:c r="C114" s="14" t="str">
        <x:v>C</x:v>
      </x:c>
      <x:c r="D114" s="52" t="n">
        <x:v>143</x:v>
      </x:c>
      <x:c r="E114" s="52" t="n">
        <x:v>27</x:v>
      </x:c>
      <x:c r="F114" s="53" t="n">
        <x:f>D114-E114</x:f>
        <x:v>116</x:v>
      </x:c>
      <x:c r="G114" s="52" t="n">
        <x:v>4</x:v>
      </x:c>
      <x:c r="H114" s="40" t="n">
        <x:v>222.58</x:v>
      </x:c>
      <x:c r="I114" s="44" t="n">
        <x:f>D114*H114</x:f>
        <x:v>31828.940000000002</x:v>
      </x:c>
      <x:c r="J114" s="46" t="n">
        <x:v>3.06</x:v>
      </x:c>
      <x:c r="K114" s="47" t="n">
        <x:f>IF(J114=0,999,F114/J114)</x:f>
        <x:v>37.908496732026144</x:v>
      </x:c>
      <x:c r="L114" s="53" t="n">
        <x:v>20</x:v>
      </x:c>
      <x:c r="M114" s="53" t="n">
        <x:f>ROUNDUP(J114*SQRT(L114)*1.65,0)</x:f>
        <x:v>23</x:v>
      </x:c>
      <x:c r="N114" s="53" t="n">
        <x:f>ROUNDUP(J114*L114+M114,0)</x:f>
        <x:v>85</x:v>
      </x:c>
      <x:c r="O114" s="42" t="str">
        <x:f>IF(F114&lt;=0,"Critical",IF(F114&lt;N114,"High",IF(F114&lt;N114*1.5,"Medium","Low")))</x:f>
        <x:v>Medium</x:v>
      </x:c>
      <x:c r="P114" s="53" t="n">
        <x:f>MAX(0,F114-(J114*90+M114))</x:f>
        <x:v>0</x:v>
      </x:c>
      <x:c r="Q114" s="44" t="n">
        <x:f>P114*H114</x:f>
        <x:v>0</x:v>
      </x:c>
      <x:c r="R114" s="50" t="n">
        <x:v>46064</x:v>
      </x:c>
      <x:c r="S114" s="53" t="n">
        <x:f>'Assumptions'!$B$13-R114</x:f>
        <x:v>181</x:v>
      </x:c>
      <x:c r="T114" s="42" t="str">
        <x:f>IF(S114&gt;=180,"High",IF(S114&gt;=120,"Medium","Low"))</x:f>
        <x:v>High</x:v>
      </x:c>
    </x:row>
    <x:row r="115">
      <x:c r="A115" s="14" t="str">
        <x:v>SKU-0114</x:v>
      </x:c>
      <x:c r="B115" s="14" t="str">
        <x:v>Tape Item 114</x:v>
      </x:c>
      <x:c r="C115" s="14" t="str">
        <x:v>C</x:v>
      </x:c>
      <x:c r="D115" s="52" t="n">
        <x:v>496</x:v>
      </x:c>
      <x:c r="E115" s="52" t="n">
        <x:v>149</x:v>
      </x:c>
      <x:c r="F115" s="53" t="n">
        <x:f>D115-E115</x:f>
        <x:v>347</x:v>
      </x:c>
      <x:c r="G115" s="52" t="n">
        <x:v>148</x:v>
      </x:c>
      <x:c r="H115" s="40" t="n">
        <x:v>232.11</x:v>
      </x:c>
      <x:c r="I115" s="44" t="n">
        <x:f>D115*H115</x:f>
        <x:v>115126.56000000001</x:v>
      </x:c>
      <x:c r="J115" s="46" t="n">
        <x:v>6.51</x:v>
      </x:c>
      <x:c r="K115" s="47" t="n">
        <x:f>IF(J115=0,999,F115/J115)</x:f>
        <x:v>53.3026113671275</x:v>
      </x:c>
      <x:c r="L115" s="53" t="n">
        <x:v>27</x:v>
      </x:c>
      <x:c r="M115" s="53" t="n">
        <x:f>ROUNDUP(J115*SQRT(L115)*1.65,0)</x:f>
        <x:v>56</x:v>
      </x:c>
      <x:c r="N115" s="53" t="n">
        <x:f>ROUNDUP(J115*L115+M115,0)</x:f>
        <x:v>232</x:v>
      </x:c>
      <x:c r="O115" s="42" t="str">
        <x:f>IF(F115&lt;=0,"Critical",IF(F115&lt;N115,"High",IF(F115&lt;N115*1.5,"Medium","Low")))</x:f>
        <x:v>Medium</x:v>
      </x:c>
      <x:c r="P115" s="53" t="n">
        <x:f>MAX(0,F115-(J115*90+M115))</x:f>
        <x:v>0</x:v>
      </x:c>
      <x:c r="Q115" s="44" t="n">
        <x:f>P115*H115</x:f>
        <x:v>0</x:v>
      </x:c>
      <x:c r="R115" s="50" t="n">
        <x:v>46202</x:v>
      </x:c>
      <x:c r="S115" s="53" t="n">
        <x:f>'Assumptions'!$B$13-R115</x:f>
        <x:v>43</x:v>
      </x:c>
      <x:c r="T115" s="42" t="str">
        <x:f>IF(S115&gt;=180,"High",IF(S115&gt;=120,"Medium","Low"))</x:f>
        <x:v>Low</x:v>
      </x:c>
    </x:row>
    <x:row r="116">
      <x:c r="A116" s="14" t="str">
        <x:v>SKU-0115</x:v>
      </x:c>
      <x:c r="B116" s="14" t="str">
        <x:v>Tape Item 115</x:v>
      </x:c>
      <x:c r="C116" s="14" t="str">
        <x:v>B</x:v>
      </x:c>
      <x:c r="D116" s="52" t="n">
        <x:v>996</x:v>
      </x:c>
      <x:c r="E116" s="52" t="n">
        <x:v>84</x:v>
      </x:c>
      <x:c r="F116" s="53" t="n">
        <x:f>D116-E116</x:f>
        <x:v>912</x:v>
      </x:c>
      <x:c r="G116" s="52" t="n">
        <x:v>397</x:v>
      </x:c>
      <x:c r="H116" s="40" t="n">
        <x:v>27.81</x:v>
      </x:c>
      <x:c r="I116" s="44" t="n">
        <x:f>D116*H116</x:f>
        <x:v>27698.76</x:v>
      </x:c>
      <x:c r="J116" s="46" t="n">
        <x:v>10.56</x:v>
      </x:c>
      <x:c r="K116" s="47" t="n">
        <x:f>IF(J116=0,999,F116/J116)</x:f>
        <x:v>86.36363636363636</x:v>
      </x:c>
      <x:c r="L116" s="53" t="n">
        <x:v>30</x:v>
      </x:c>
      <x:c r="M116" s="53" t="n">
        <x:f>ROUNDUP(J116*SQRT(L116)*1.65,0)</x:f>
        <x:v>96</x:v>
      </x:c>
      <x:c r="N116" s="53" t="n">
        <x:f>ROUNDUP(J116*L116+M116,0)</x:f>
        <x:v>413</x:v>
      </x:c>
      <x:c r="O116" s="42" t="str">
        <x:f>IF(F116&lt;=0,"Critical",IF(F116&lt;N116,"High",IF(F116&lt;N116*1.5,"Medium","Low")))</x:f>
        <x:v>Low</x:v>
      </x:c>
      <x:c r="P116" s="53" t="n">
        <x:f>MAX(0,F116-(J116*90+M116))</x:f>
        <x:v>0</x:v>
      </x:c>
      <x:c r="Q116" s="44" t="n">
        <x:f>P116*H116</x:f>
        <x:v>0</x:v>
      </x:c>
      <x:c r="R116" s="50" t="n">
        <x:v>46159</x:v>
      </x:c>
      <x:c r="S116" s="53" t="n">
        <x:f>'Assumptions'!$B$13-R116</x:f>
        <x:v>86</x:v>
      </x:c>
      <x:c r="T116" s="42" t="str">
        <x:f>IF(S116&gt;=180,"High",IF(S116&gt;=120,"Medium","Low"))</x:f>
        <x:v>Low</x:v>
      </x:c>
    </x:row>
    <x:row r="117">
      <x:c r="A117" s="14" t="str">
        <x:v>SKU-0116</x:v>
      </x:c>
      <x:c r="B117" s="14" t="str">
        <x:v>First Aid Item 116</x:v>
      </x:c>
      <x:c r="C117" s="14" t="str">
        <x:v>C</x:v>
      </x:c>
      <x:c r="D117" s="52" t="n">
        <x:v>143</x:v>
      </x:c>
      <x:c r="E117" s="52" t="n">
        <x:v>3</x:v>
      </x:c>
      <x:c r="F117" s="53" t="n">
        <x:f>D117-E117</x:f>
        <x:v>140</x:v>
      </x:c>
      <x:c r="G117" s="52" t="n">
        <x:v>65</x:v>
      </x:c>
      <x:c r="H117" s="40" t="n">
        <x:v>36.42</x:v>
      </x:c>
      <x:c r="I117" s="44" t="n">
        <x:f>D117*H117</x:f>
        <x:v>5208.06</x:v>
      </x:c>
      <x:c r="J117" s="46" t="n">
        <x:v>2.82</x:v>
      </x:c>
      <x:c r="K117" s="47" t="n">
        <x:f>IF(J117=0,999,F117/J117)</x:f>
        <x:v>49.64539007092199</x:v>
      </x:c>
      <x:c r="L117" s="53" t="n">
        <x:v>10</x:v>
      </x:c>
      <x:c r="M117" s="53" t="n">
        <x:f>ROUNDUP(J117*SQRT(L117)*1.65,0)</x:f>
        <x:v>15</x:v>
      </x:c>
      <x:c r="N117" s="53" t="n">
        <x:f>ROUNDUP(J117*L117+M117,0)</x:f>
        <x:v>44</x:v>
      </x:c>
      <x:c r="O117" s="42" t="str">
        <x:f>IF(F117&lt;=0,"Critical",IF(F117&lt;N117,"High",IF(F117&lt;N117*1.5,"Medium","Low")))</x:f>
        <x:v>Low</x:v>
      </x:c>
      <x:c r="P117" s="53" t="n">
        <x:f>MAX(0,F117-(J117*90+M117))</x:f>
        <x:v>0</x:v>
      </x:c>
      <x:c r="Q117" s="44" t="n">
        <x:f>P117*H117</x:f>
        <x:v>0</x:v>
      </x:c>
      <x:c r="R117" s="50" t="n">
        <x:v>45998</x:v>
      </x:c>
      <x:c r="S117" s="53" t="n">
        <x:f>'Assumptions'!$B$13-R117</x:f>
        <x:v>247</x:v>
      </x:c>
      <x:c r="T117" s="42" t="str">
        <x:f>IF(S117&gt;=180,"High",IF(S117&gt;=120,"Medium","Low"))</x:f>
        <x:v>High</x:v>
      </x:c>
    </x:row>
    <x:row r="118">
      <x:c r="A118" s="14" t="str">
        <x:v>SKU-0117</x:v>
      </x:c>
      <x:c r="B118" s="14" t="str">
        <x:v>Fasteners Item 117</x:v>
      </x:c>
      <x:c r="C118" s="14" t="str">
        <x:v>B</x:v>
      </x:c>
      <x:c r="D118" s="52" t="n">
        <x:v>871</x:v>
      </x:c>
      <x:c r="E118" s="52" t="n">
        <x:v>219</x:v>
      </x:c>
      <x:c r="F118" s="53" t="n">
        <x:f>D118-E118</x:f>
        <x:v>652</x:v>
      </x:c>
      <x:c r="G118" s="52" t="n">
        <x:v>328</x:v>
      </x:c>
      <x:c r="H118" s="40" t="n">
        <x:v>143.31</x:v>
      </x:c>
      <x:c r="I118" s="44" t="n">
        <x:f>D118*H118</x:f>
        <x:v>124823.01</x:v>
      </x:c>
      <x:c r="J118" s="46" t="n">
        <x:v>9.67</x:v>
      </x:c>
      <x:c r="K118" s="47" t="n">
        <x:f>IF(J118=0,999,F118/J118)</x:f>
        <x:v>67.42502585315408</x:v>
      </x:c>
      <x:c r="L118" s="53" t="n">
        <x:v>42</x:v>
      </x:c>
      <x:c r="M118" s="53" t="n">
        <x:f>ROUNDUP(J118*SQRT(L118)*1.65,0)</x:f>
        <x:v>104</x:v>
      </x:c>
      <x:c r="N118" s="53" t="n">
        <x:f>ROUNDUP(J118*L118+M118,0)</x:f>
        <x:v>511</x:v>
      </x:c>
      <x:c r="O118" s="42" t="str">
        <x:f>IF(F118&lt;=0,"Critical",IF(F118&lt;N118,"High",IF(F118&lt;N118*1.5,"Medium","Low")))</x:f>
        <x:v>Medium</x:v>
      </x:c>
      <x:c r="P118" s="53" t="n">
        <x:f>MAX(0,F118-(J118*90+M118))</x:f>
        <x:v>0</x:v>
      </x:c>
      <x:c r="Q118" s="44" t="n">
        <x:f>P118*H118</x:f>
        <x:v>0</x:v>
      </x:c>
      <x:c r="R118" s="50" t="n">
        <x:v>46011</x:v>
      </x:c>
      <x:c r="S118" s="53" t="n">
        <x:f>'Assumptions'!$B$13-R118</x:f>
        <x:v>234</x:v>
      </x:c>
      <x:c r="T118" s="42" t="str">
        <x:f>IF(S118&gt;=180,"High",IF(S118&gt;=120,"Medium","Low"))</x:f>
        <x:v>High</x:v>
      </x:c>
    </x:row>
    <x:row r="119">
      <x:c r="A119" s="14" t="str">
        <x:v>SKU-0118</x:v>
      </x:c>
      <x:c r="B119" s="14" t="str">
        <x:v>Bearings Item 118</x:v>
      </x:c>
      <x:c r="C119" s="14" t="str">
        <x:v>C</x:v>
      </x:c>
      <x:c r="D119" s="52" t="n">
        <x:v>239</x:v>
      </x:c>
      <x:c r="E119" s="52" t="n">
        <x:v>27</x:v>
      </x:c>
      <x:c r="F119" s="53" t="n">
        <x:f>D119-E119</x:f>
        <x:v>212</x:v>
      </x:c>
      <x:c r="G119" s="52" t="n">
        <x:v>116</x:v>
      </x:c>
      <x:c r="H119" s="40" t="n">
        <x:v>237.03</x:v>
      </x:c>
      <x:c r="I119" s="44" t="n">
        <x:f>D119*H119</x:f>
        <x:v>56650.17</x:v>
      </x:c>
      <x:c r="J119" s="46" t="n">
        <x:v>2.65</x:v>
      </x:c>
      <x:c r="K119" s="47" t="n">
        <x:f>IF(J119=0,999,F119/J119)</x:f>
        <x:v>80</x:v>
      </x:c>
      <x:c r="L119" s="53" t="n">
        <x:v>48</x:v>
      </x:c>
      <x:c r="M119" s="53" t="n">
        <x:f>ROUNDUP(J119*SQRT(L119)*1.65,0)</x:f>
        <x:v>31</x:v>
      </x:c>
      <x:c r="N119" s="53" t="n">
        <x:f>ROUNDUP(J119*L119+M119,0)</x:f>
        <x:v>159</x:v>
      </x:c>
      <x:c r="O119" s="42" t="str">
        <x:f>IF(F119&lt;=0,"Critical",IF(F119&lt;N119,"High",IF(F119&lt;N119*1.5,"Medium","Low")))</x:f>
        <x:v>Medium</x:v>
      </x:c>
      <x:c r="P119" s="53" t="n">
        <x:f>MAX(0,F119-(J119*90+M119))</x:f>
        <x:v>0</x:v>
      </x:c>
      <x:c r="Q119" s="44" t="n">
        <x:f>P119*H119</x:f>
        <x:v>0</x:v>
      </x:c>
      <x:c r="R119" s="50" t="n">
        <x:v>46077</x:v>
      </x:c>
      <x:c r="S119" s="53" t="n">
        <x:f>'Assumptions'!$B$13-R119</x:f>
        <x:v>168</x:v>
      </x:c>
      <x:c r="T119" s="42" t="str">
        <x:f>IF(S119&gt;=180,"High",IF(S119&gt;=120,"Medium","Low"))</x:f>
        <x:v>Medium</x:v>
      </x:c>
    </x:row>
    <x:row r="120">
      <x:c r="A120" s="14" t="str">
        <x:v>SKU-0119</x:v>
      </x:c>
      <x:c r="B120" s="14" t="str">
        <x:v>Cleaning Item 119</x:v>
      </x:c>
      <x:c r="C120" s="14" t="str">
        <x:v>B</x:v>
      </x:c>
      <x:c r="D120" s="52" t="n">
        <x:v>380</x:v>
      </x:c>
      <x:c r="E120" s="52" t="n">
        <x:v>86</x:v>
      </x:c>
      <x:c r="F120" s="53" t="n">
        <x:f>D120-E120</x:f>
        <x:v>294</x:v>
      </x:c>
      <x:c r="G120" s="52" t="n">
        <x:v>79</x:v>
      </x:c>
      <x:c r="H120" s="40" t="n">
        <x:v>52.57</x:v>
      </x:c>
      <x:c r="I120" s="44" t="n">
        <x:f>D120*H120</x:f>
        <x:v>19976.6</x:v>
      </x:c>
      <x:c r="J120" s="46" t="n">
        <x:v>4.78</x:v>
      </x:c>
      <x:c r="K120" s="47" t="n">
        <x:f>IF(J120=0,999,F120/J120)</x:f>
        <x:v>61.50627615062761</x:v>
      </x:c>
      <x:c r="L120" s="53" t="n">
        <x:v>7</x:v>
      </x:c>
      <x:c r="M120" s="53" t="n">
        <x:f>ROUNDUP(J120*SQRT(L120)*1.65,0)</x:f>
        <x:v>21</x:v>
      </x:c>
      <x:c r="N120" s="53" t="n">
        <x:f>ROUNDUP(J120*L120+M120,0)</x:f>
        <x:v>55</x:v>
      </x:c>
      <x:c r="O120" s="42" t="str">
        <x:f>IF(F120&lt;=0,"Critical",IF(F120&lt;N120,"High",IF(F120&lt;N120*1.5,"Medium","Low")))</x:f>
        <x:v>Low</x:v>
      </x:c>
      <x:c r="P120" s="53" t="n">
        <x:f>MAX(0,F120-(J120*90+M120))</x:f>
        <x:v>0</x:v>
      </x:c>
      <x:c r="Q120" s="44" t="n">
        <x:f>P120*H120</x:f>
        <x:v>0</x:v>
      </x:c>
      <x:c r="R120" s="50" t="n">
        <x:v>46143</x:v>
      </x:c>
      <x:c r="S120" s="53" t="n">
        <x:f>'Assumptions'!$B$13-R120</x:f>
        <x:v>102</x:v>
      </x:c>
      <x:c r="T120" s="42" t="str">
        <x:f>IF(S120&gt;=180,"High",IF(S120&gt;=120,"Medium","Low"))</x:f>
        <x:v>Low</x:v>
      </x:c>
    </x:row>
    <x:row r="121">
      <x:c r="A121" s="14" t="str">
        <x:v>SKU-0120</x:v>
      </x:c>
      <x:c r="B121" s="14" t="str">
        <x:v>PPE Item 120</x:v>
      </x:c>
      <x:c r="C121" s="14" t="str">
        <x:v>A</x:v>
      </x:c>
      <x:c r="D121" s="52" t="n">
        <x:v>225</x:v>
      </x:c>
      <x:c r="E121" s="52" t="n">
        <x:v>25</x:v>
      </x:c>
      <x:c r="F121" s="53" t="n">
        <x:f>D121-E121</x:f>
        <x:v>200</x:v>
      </x:c>
      <x:c r="G121" s="52" t="n">
        <x:v>0</x:v>
      </x:c>
      <x:c r="H121" s="40" t="n">
        <x:v>41.87</x:v>
      </x:c>
      <x:c r="I121" s="44" t="n">
        <x:f>D121*H121</x:f>
        <x:v>9420.75</x:v>
      </x:c>
      <x:c r="J121" s="46" t="n">
        <x:v>5.3</x:v>
      </x:c>
      <x:c r="K121" s="47" t="n">
        <x:f>IF(J121=0,999,F121/J121)</x:f>
        <x:v>37.735849056603776</x:v>
      </x:c>
      <x:c r="L121" s="53" t="n">
        <x:v>20</x:v>
      </x:c>
      <x:c r="M121" s="53" t="n">
        <x:f>ROUNDUP(J121*SQRT(L121)*1.65,0)</x:f>
        <x:v>40</x:v>
      </x:c>
      <x:c r="N121" s="53" t="n">
        <x:f>ROUNDUP(J121*L121+M121,0)</x:f>
        <x:v>146</x:v>
      </x:c>
      <x:c r="O121" s="42" t="str">
        <x:f>IF(F121&lt;=0,"Critical",IF(F121&lt;N121,"High",IF(F121&lt;N121*1.5,"Medium","Low")))</x:f>
        <x:v>Medium</x:v>
      </x:c>
      <x:c r="P121" s="53" t="n">
        <x:f>MAX(0,F121-(J121*90+M121))</x:f>
        <x:v>0</x:v>
      </x:c>
      <x:c r="Q121" s="44" t="n">
        <x:f>P121*H121</x:f>
        <x:v>0</x:v>
      </x:c>
      <x:c r="R121" s="50" t="n">
        <x:v>45994</x:v>
      </x:c>
      <x:c r="S121" s="53" t="n">
        <x:f>'Assumptions'!$B$13-R121</x:f>
        <x:v>251</x:v>
      </x:c>
      <x:c r="T121" s="42" t="str">
        <x:f>IF(S121&gt;=180,"High",IF(S121&gt;=120,"Medium","Low"))</x:f>
        <x:v>High</x:v>
      </x:c>
    </x:row>
    <x:row r="122">
      <x:c r="A122" s="14" t="str">
        <x:v>SKU-0121</x:v>
      </x:c>
      <x:c r="B122" s="14" t="str">
        <x:v>Bearings Item 121</x:v>
      </x:c>
      <x:c r="C122" s="14" t="str">
        <x:v>C</x:v>
      </x:c>
      <x:c r="D122" s="52" t="n">
        <x:v>306</x:v>
      </x:c>
      <x:c r="E122" s="52" t="n">
        <x:v>39</x:v>
      </x:c>
      <x:c r="F122" s="53" t="n">
        <x:f>D122-E122</x:f>
        <x:v>267</x:v>
      </x:c>
      <x:c r="G122" s="52" t="n">
        <x:v>0</x:v>
      </x:c>
      <x:c r="H122" s="40" t="n">
        <x:v>88.98</x:v>
      </x:c>
      <x:c r="I122" s="44" t="n">
        <x:f>D122*H122</x:f>
        <x:v>27227.88</x:v>
      </x:c>
      <x:c r="J122" s="46" t="n">
        <x:v>4.01</x:v>
      </x:c>
      <x:c r="K122" s="47" t="n">
        <x:f>IF(J122=0,999,F122/J122)</x:f>
        <x:v>66.58354114713217</x:v>
      </x:c>
      <x:c r="L122" s="53" t="n">
        <x:v>10</x:v>
      </x:c>
      <x:c r="M122" s="53" t="n">
        <x:f>ROUNDUP(J122*SQRT(L122)*1.65,0)</x:f>
        <x:v>21</x:v>
      </x:c>
      <x:c r="N122" s="53" t="n">
        <x:f>ROUNDUP(J122*L122+M122,0)</x:f>
        <x:v>62</x:v>
      </x:c>
      <x:c r="O122" s="42" t="str">
        <x:f>IF(F122&lt;=0,"Critical",IF(F122&lt;N122,"High",IF(F122&lt;N122*1.5,"Medium","Low")))</x:f>
        <x:v>Low</x:v>
      </x:c>
      <x:c r="P122" s="53" t="n">
        <x:f>MAX(0,F122-(J122*90+M122))</x:f>
        <x:v>0</x:v>
      </x:c>
      <x:c r="Q122" s="44" t="n">
        <x:f>P122*H122</x:f>
        <x:v>0</x:v>
      </x:c>
      <x:c r="R122" s="50" t="n">
        <x:v>46143</x:v>
      </x:c>
      <x:c r="S122" s="53" t="n">
        <x:f>'Assumptions'!$B$13-R122</x:f>
        <x:v>102</x:v>
      </x:c>
      <x:c r="T122" s="42" t="str">
        <x:f>IF(S122&gt;=180,"High",IF(S122&gt;=120,"Medium","Low"))</x:f>
        <x:v>Low</x:v>
      </x:c>
    </x:row>
    <x:row r="123">
      <x:c r="A123" s="14" t="str">
        <x:v>SKU-0122</x:v>
      </x:c>
      <x:c r="B123" s="14" t="str">
        <x:v>Gloves Item 122</x:v>
      </x:c>
      <x:c r="C123" s="14" t="str">
        <x:v>B</x:v>
      </x:c>
      <x:c r="D123" s="52" t="n">
        <x:v>478</x:v>
      </x:c>
      <x:c r="E123" s="52" t="n">
        <x:v>92</x:v>
      </x:c>
      <x:c r="F123" s="53" t="n">
        <x:f>D123-E123</x:f>
        <x:v>386</x:v>
      </x:c>
      <x:c r="G123" s="52" t="n">
        <x:v>0</x:v>
      </x:c>
      <x:c r="H123" s="40" t="n">
        <x:v>25.14</x:v>
      </x:c>
      <x:c r="I123" s="44" t="n">
        <x:f>D123*H123</x:f>
        <x:v>12016.92</x:v>
      </x:c>
      <x:c r="J123" s="46" t="n">
        <x:v>7.11</x:v>
      </x:c>
      <x:c r="K123" s="47" t="n">
        <x:f>IF(J123=0,999,F123/J123)</x:f>
        <x:v>54.289732770745424</x:v>
      </x:c>
      <x:c r="L123" s="53" t="n">
        <x:v>33</x:v>
      </x:c>
      <x:c r="M123" s="53" t="n">
        <x:f>ROUNDUP(J123*SQRT(L123)*1.65,0)</x:f>
        <x:v>68</x:v>
      </x:c>
      <x:c r="N123" s="53" t="n">
        <x:f>ROUNDUP(J123*L123+M123,0)</x:f>
        <x:v>303</x:v>
      </x:c>
      <x:c r="O123" s="42" t="str">
        <x:f>IF(F123&lt;=0,"Critical",IF(F123&lt;N123,"High",IF(F123&lt;N123*1.5,"Medium","Low")))</x:f>
        <x:v>Medium</x:v>
      </x:c>
      <x:c r="P123" s="53" t="n">
        <x:f>MAX(0,F123-(J123*90+M123))</x:f>
        <x:v>0</x:v>
      </x:c>
      <x:c r="Q123" s="44" t="n">
        <x:f>P123*H123</x:f>
        <x:v>0</x:v>
      </x:c>
      <x:c r="R123" s="50" t="n">
        <x:v>46009</x:v>
      </x:c>
      <x:c r="S123" s="53" t="n">
        <x:f>'Assumptions'!$B$13-R123</x:f>
        <x:v>236</x:v>
      </x:c>
      <x:c r="T123" s="42" t="str">
        <x:f>IF(S123&gt;=180,"High",IF(S123&gt;=120,"Medium","Low"))</x:f>
        <x:v>High</x:v>
      </x:c>
    </x:row>
    <x:row r="124">
      <x:c r="A124" s="14" t="str">
        <x:v>SKU-0123</x:v>
      </x:c>
      <x:c r="B124" s="14" t="str">
        <x:v>Gloves Item 123</x:v>
      </x:c>
      <x:c r="C124" s="14" t="str">
        <x:v>C</x:v>
      </x:c>
      <x:c r="D124" s="52" t="n">
        <x:v>871</x:v>
      </x:c>
      <x:c r="E124" s="52" t="n">
        <x:v>253</x:v>
      </x:c>
      <x:c r="F124" s="53" t="n">
        <x:f>D124-E124</x:f>
        <x:v>618</x:v>
      </x:c>
      <x:c r="G124" s="52" t="n">
        <x:v>524</x:v>
      </x:c>
      <x:c r="H124" s="40" t="n">
        <x:v>121.8</x:v>
      </x:c>
      <x:c r="I124" s="44" t="n">
        <x:f>D124*H124</x:f>
        <x:v>106087.8</x:v>
      </x:c>
      <x:c r="J124" s="46" t="n">
        <x:v>11.26</x:v>
      </x:c>
      <x:c r="K124" s="47" t="n">
        <x:f>IF(J124=0,999,F124/J124)</x:f>
        <x:v>54.88454706927176</x:v>
      </x:c>
      <x:c r="L124" s="53" t="n">
        <x:v>49</x:v>
      </x:c>
      <x:c r="M124" s="53" t="n">
        <x:f>ROUNDUP(J124*SQRT(L124)*1.65,0)</x:f>
        <x:v>131</x:v>
      </x:c>
      <x:c r="N124" s="53" t="n">
        <x:f>ROUNDUP(J124*L124+M124,0)</x:f>
        <x:v>683</x:v>
      </x:c>
      <x:c r="O124" s="42" t="str">
        <x:f>IF(F124&lt;=0,"Critical",IF(F124&lt;N124,"High",IF(F124&lt;N124*1.5,"Medium","Low")))</x:f>
        <x:v>High</x:v>
      </x:c>
      <x:c r="P124" s="53" t="n">
        <x:f>MAX(0,F124-(J124*90+M124))</x:f>
        <x:v>0</x:v>
      </x:c>
      <x:c r="Q124" s="44" t="n">
        <x:f>P124*H124</x:f>
        <x:v>0</x:v>
      </x:c>
      <x:c r="R124" s="50" t="n">
        <x:v>46036</x:v>
      </x:c>
      <x:c r="S124" s="53" t="n">
        <x:f>'Assumptions'!$B$13-R124</x:f>
        <x:v>209</x:v>
      </x:c>
      <x:c r="T124" s="42" t="str">
        <x:f>IF(S124&gt;=180,"High",IF(S124&gt;=120,"Medium","Low"))</x:f>
        <x:v>High</x:v>
      </x:c>
    </x:row>
    <x:row r="125">
      <x:c r="A125" s="14" t="str">
        <x:v>SKU-0124</x:v>
      </x:c>
      <x:c r="B125" s="14" t="str">
        <x:v>Paper Item 124</x:v>
      </x:c>
      <x:c r="C125" s="14" t="str">
        <x:v>C</x:v>
      </x:c>
      <x:c r="D125" s="52" t="n">
        <x:v>243</x:v>
      </x:c>
      <x:c r="E125" s="52" t="n">
        <x:v>21</x:v>
      </x:c>
      <x:c r="F125" s="53" t="n">
        <x:f>D125-E125</x:f>
        <x:v>222</x:v>
      </x:c>
      <x:c r="G125" s="52" t="n">
        <x:v>164</x:v>
      </x:c>
      <x:c r="H125" s="40" t="n">
        <x:v>59.23</x:v>
      </x:c>
      <x:c r="I125" s="44" t="n">
        <x:f>D125*H125</x:f>
        <x:v>14392.89</x:v>
      </x:c>
      <x:c r="J125" s="46" t="n">
        <x:v>7.09</x:v>
      </x:c>
      <x:c r="K125" s="47" t="n">
        <x:f>IF(J125=0,999,F125/J125)</x:f>
        <x:v>31.311706629055006</x:v>
      </x:c>
      <x:c r="L125" s="53" t="n">
        <x:v>27</x:v>
      </x:c>
      <x:c r="M125" s="53" t="n">
        <x:f>ROUNDUP(J125*SQRT(L125)*1.65,0)</x:f>
        <x:v>61</x:v>
      </x:c>
      <x:c r="N125" s="53" t="n">
        <x:f>ROUNDUP(J125*L125+M125,0)</x:f>
        <x:v>253</x:v>
      </x:c>
      <x:c r="O125" s="42" t="str">
        <x:f>IF(F125&lt;=0,"Critical",IF(F125&lt;N125,"High",IF(F125&lt;N125*1.5,"Medium","Low")))</x:f>
        <x:v>High</x:v>
      </x:c>
      <x:c r="P125" s="53" t="n">
        <x:f>MAX(0,F125-(J125*90+M125))</x:f>
        <x:v>0</x:v>
      </x:c>
      <x:c r="Q125" s="44" t="n">
        <x:f>P125*H125</x:f>
        <x:v>0</x:v>
      </x:c>
      <x:c r="R125" s="50" t="n">
        <x:v>46052</x:v>
      </x:c>
      <x:c r="S125" s="53" t="n">
        <x:f>'Assumptions'!$B$13-R125</x:f>
        <x:v>193</x:v>
      </x:c>
      <x:c r="T125" s="42" t="str">
        <x:f>IF(S125&gt;=180,"High",IF(S125&gt;=120,"Medium","Low"))</x:f>
        <x:v>High</x:v>
      </x:c>
    </x:row>
    <x:row r="126">
      <x:c r="A126" s="14" t="str">
        <x:v>SKU-0125</x:v>
      </x:c>
      <x:c r="B126" s="14" t="str">
        <x:v>Tools Item 125</x:v>
      </x:c>
      <x:c r="C126" s="14" t="str">
        <x:v>B</x:v>
      </x:c>
      <x:c r="D126" s="52" t="n">
        <x:v>272</x:v>
      </x:c>
      <x:c r="E126" s="52" t="n">
        <x:v>87</x:v>
      </x:c>
      <x:c r="F126" s="53" t="n">
        <x:f>D126-E126</x:f>
        <x:v>185</x:v>
      </x:c>
      <x:c r="G126" s="52" t="n">
        <x:v>0</x:v>
      </x:c>
      <x:c r="H126" s="40" t="n">
        <x:v>38.35</x:v>
      </x:c>
      <x:c r="I126" s="44" t="n">
        <x:f>D126*H126</x:f>
        <x:v>10431.2</x:v>
      </x:c>
      <x:c r="J126" s="46" t="n">
        <x:v>5.24</x:v>
      </x:c>
      <x:c r="K126" s="47" t="n">
        <x:f>IF(J126=0,999,F126/J126)</x:f>
        <x:v>35.30534351145038</x:v>
      </x:c>
      <x:c r="L126" s="53" t="n">
        <x:v>58</x:v>
      </x:c>
      <x:c r="M126" s="53" t="n">
        <x:f>ROUNDUP(J126*SQRT(L126)*1.65,0)</x:f>
        <x:v>66</x:v>
      </x:c>
      <x:c r="N126" s="53" t="n">
        <x:f>ROUNDUP(J126*L126+M126,0)</x:f>
        <x:v>370</x:v>
      </x:c>
      <x:c r="O126" s="42" t="str">
        <x:f>IF(F126&lt;=0,"Critical",IF(F126&lt;N126,"High",IF(F126&lt;N126*1.5,"Medium","Low")))</x:f>
        <x:v>High</x:v>
      </x:c>
      <x:c r="P126" s="53" t="n">
        <x:f>MAX(0,F126-(J126*90+M126))</x:f>
        <x:v>0</x:v>
      </x:c>
      <x:c r="Q126" s="44" t="n">
        <x:f>P126*H126</x:f>
        <x:v>0</x:v>
      </x:c>
      <x:c r="R126" s="50" t="n">
        <x:v>45967</x:v>
      </x:c>
      <x:c r="S126" s="53" t="n">
        <x:f>'Assumptions'!$B$13-R126</x:f>
        <x:v>278</x:v>
      </x:c>
      <x:c r="T126" s="42" t="str">
        <x:f>IF(S126&gt;=180,"High",IF(S126&gt;=120,"Medium","Low"))</x:f>
        <x:v>High</x:v>
      </x:c>
    </x:row>
    <x:row r="127">
      <x:c r="A127" s="14" t="str">
        <x:v>SKU-0126</x:v>
      </x:c>
      <x:c r="B127" s="14" t="str">
        <x:v>Lubricants Item 126</x:v>
      </x:c>
      <x:c r="C127" s="14" t="str">
        <x:v>C</x:v>
      </x:c>
      <x:c r="D127" s="52" t="n">
        <x:v>1300</x:v>
      </x:c>
      <x:c r="E127" s="52" t="n">
        <x:v>416</x:v>
      </x:c>
      <x:c r="F127" s="53" t="n">
        <x:f>D127-E127</x:f>
        <x:v>884</x:v>
      </x:c>
      <x:c r="G127" s="52" t="n">
        <x:v>297</x:v>
      </x:c>
      <x:c r="H127" s="40" t="n">
        <x:v>7.7</x:v>
      </x:c>
      <x:c r="I127" s="44" t="n">
        <x:f>D127*H127</x:f>
        <x:v>10010</x:v>
      </x:c>
      <x:c r="J127" s="46" t="n">
        <x:v>21.81</x:v>
      </x:c>
      <x:c r="K127" s="47" t="n">
        <x:f>IF(J127=0,999,F127/J127)</x:f>
        <x:v>40.53186611646034</x:v>
      </x:c>
      <x:c r="L127" s="53" t="n">
        <x:v>43</x:v>
      </x:c>
      <x:c r="M127" s="53" t="n">
        <x:f>ROUNDUP(J127*SQRT(L127)*1.65,0)</x:f>
        <x:v>236</x:v>
      </x:c>
      <x:c r="N127" s="53" t="n">
        <x:f>ROUNDUP(J127*L127+M127,0)</x:f>
        <x:v>1174</x:v>
      </x:c>
      <x:c r="O127" s="42" t="str">
        <x:f>IF(F127&lt;=0,"Critical",IF(F127&lt;N127,"High",IF(F127&lt;N127*1.5,"Medium","Low")))</x:f>
        <x:v>High</x:v>
      </x:c>
      <x:c r="P127" s="53" t="n">
        <x:f>MAX(0,F127-(J127*90+M127))</x:f>
        <x:v>0</x:v>
      </x:c>
      <x:c r="Q127" s="44" t="n">
        <x:f>P127*H127</x:f>
        <x:v>0</x:v>
      </x:c>
      <x:c r="R127" s="50" t="n">
        <x:v>46064</x:v>
      </x:c>
      <x:c r="S127" s="53" t="n">
        <x:f>'Assumptions'!$B$13-R127</x:f>
        <x:v>181</x:v>
      </x:c>
      <x:c r="T127" s="42" t="str">
        <x:f>IF(S127&gt;=180,"High",IF(S127&gt;=120,"Medium","Low"))</x:f>
        <x:v>High</x:v>
      </x:c>
    </x:row>
    <x:row r="128">
      <x:c r="A128" s="14" t="str">
        <x:v>SKU-0127</x:v>
      </x:c>
      <x:c r="B128" s="14" t="str">
        <x:v>Accessories Item 127</x:v>
      </x:c>
      <x:c r="C128" s="14" t="str">
        <x:v>A</x:v>
      </x:c>
      <x:c r="D128" s="52" t="n">
        <x:v>102</x:v>
      </x:c>
      <x:c r="E128" s="52" t="n">
        <x:v>23</x:v>
      </x:c>
      <x:c r="F128" s="53" t="n">
        <x:f>D128-E128</x:f>
        <x:v>79</x:v>
      </x:c>
      <x:c r="G128" s="52" t="n">
        <x:v>96</x:v>
      </x:c>
      <x:c r="H128" s="40" t="n">
        <x:v>114.9</x:v>
      </x:c>
      <x:c r="I128" s="44" t="n">
        <x:f>D128*H128</x:f>
        <x:v>11719.800000000001</x:v>
      </x:c>
      <x:c r="J128" s="46" t="n">
        <x:v>1.81</x:v>
      </x:c>
      <x:c r="K128" s="47" t="n">
        <x:f>IF(J128=0,999,F128/J128)</x:f>
        <x:v>43.646408839779006</x:v>
      </x:c>
      <x:c r="L128" s="53" t="n">
        <x:v>60</x:v>
      </x:c>
      <x:c r="M128" s="53" t="n">
        <x:f>ROUNDUP(J128*SQRT(L128)*1.65,0)</x:f>
        <x:v>24</x:v>
      </x:c>
      <x:c r="N128" s="53" t="n">
        <x:f>ROUNDUP(J128*L128+M128,0)</x:f>
        <x:v>133</x:v>
      </x:c>
      <x:c r="O128" s="42" t="str">
        <x:f>IF(F128&lt;=0,"Critical",IF(F128&lt;N128,"High",IF(F128&lt;N128*1.5,"Medium","Low")))</x:f>
        <x:v>High</x:v>
      </x:c>
      <x:c r="P128" s="53" t="n">
        <x:f>MAX(0,F128-(J128*90+M128))</x:f>
        <x:v>0</x:v>
      </x:c>
      <x:c r="Q128" s="44" t="n">
        <x:f>P128*H128</x:f>
        <x:v>0</x:v>
      </x:c>
      <x:c r="R128" s="50" t="n">
        <x:v>46076</x:v>
      </x:c>
      <x:c r="S128" s="53" t="n">
        <x:f>'Assumptions'!$B$13-R128</x:f>
        <x:v>169</x:v>
      </x:c>
      <x:c r="T128" s="42" t="str">
        <x:f>IF(S128&gt;=180,"High",IF(S128&gt;=120,"Medium","Low"))</x:f>
        <x:v>Medium</x:v>
      </x:c>
    </x:row>
    <x:row r="129">
      <x:c r="A129" s="14" t="str">
        <x:v>SKU-0128</x:v>
      </x:c>
      <x:c r="B129" s="14" t="str">
        <x:v>Controllers Item 128</x:v>
      </x:c>
      <x:c r="C129" s="14" t="str">
        <x:v>B</x:v>
      </x:c>
      <x:c r="D129" s="52" t="n">
        <x:v>139</x:v>
      </x:c>
      <x:c r="E129" s="52" t="n">
        <x:v>12</x:v>
      </x:c>
      <x:c r="F129" s="53" t="n">
        <x:f>D129-E129</x:f>
        <x:v>127</x:v>
      </x:c>
      <x:c r="G129" s="52" t="n">
        <x:v>447</x:v>
      </x:c>
      <x:c r="H129" s="40" t="n">
        <x:v>70.02</x:v>
      </x:c>
      <x:c r="I129" s="44" t="n">
        <x:f>D129*H129</x:f>
        <x:v>9732.779999999999</x:v>
      </x:c>
      <x:c r="J129" s="46" t="n">
        <x:v>15.68</x:v>
      </x:c>
      <x:c r="K129" s="47" t="n">
        <x:f>IF(J129=0,999,F129/J129)</x:f>
        <x:v>8.099489795918368</x:v>
      </x:c>
      <x:c r="L129" s="53" t="n">
        <x:v>54</x:v>
      </x:c>
      <x:c r="M129" s="53" t="n">
        <x:f>ROUNDUP(J129*SQRT(L129)*1.65,0)</x:f>
        <x:v>191</x:v>
      </x:c>
      <x:c r="N129" s="53" t="n">
        <x:f>ROUNDUP(J129*L129+M129,0)</x:f>
        <x:v>1038</x:v>
      </x:c>
      <x:c r="O129" s="42" t="str">
        <x:f>IF(F129&lt;=0,"Critical",IF(F129&lt;N129,"High",IF(F129&lt;N129*1.5,"Medium","Low")))</x:f>
        <x:v>High</x:v>
      </x:c>
      <x:c r="P129" s="53" t="n">
        <x:f>MAX(0,F129-(J129*90+M129))</x:f>
        <x:v>0</x:v>
      </x:c>
      <x:c r="Q129" s="44" t="n">
        <x:f>P129*H129</x:f>
        <x:v>0</x:v>
      </x:c>
      <x:c r="R129" s="50" t="n">
        <x:v>45948</x:v>
      </x:c>
      <x:c r="S129" s="53" t="n">
        <x:f>'Assumptions'!$B$13-R129</x:f>
        <x:v>297</x:v>
      </x:c>
      <x:c r="T129" s="42" t="str">
        <x:f>IF(S129&gt;=180,"High",IF(S129&gt;=120,"Medium","Low"))</x:f>
        <x:v>High</x:v>
      </x:c>
    </x:row>
    <x:row r="130">
      <x:c r="A130" s="14" t="str">
        <x:v>SKU-0129</x:v>
      </x:c>
      <x:c r="B130" s="14" t="str">
        <x:v>Cartons Item 129</x:v>
      </x:c>
      <x:c r="C130" s="14" t="str">
        <x:v>A</x:v>
      </x:c>
      <x:c r="D130" s="52" t="n">
        <x:v>302</x:v>
      </x:c>
      <x:c r="E130" s="52" t="n">
        <x:v>48</x:v>
      </x:c>
      <x:c r="F130" s="53" t="n">
        <x:f>D130-E130</x:f>
        <x:v>254</x:v>
      </x:c>
      <x:c r="G130" s="52" t="n">
        <x:v>0</x:v>
      </x:c>
      <x:c r="H130" s="40" t="n">
        <x:v>178.22</x:v>
      </x:c>
      <x:c r="I130" s="44" t="n">
        <x:f>D130*H130</x:f>
        <x:v>53822.44</x:v>
      </x:c>
      <x:c r="J130" s="46" t="n">
        <x:v>7.46</x:v>
      </x:c>
      <x:c r="K130" s="47" t="n">
        <x:f>IF(J130=0,999,F130/J130)</x:f>
        <x:v>34.048257372654156</x:v>
      </x:c>
      <x:c r="L130" s="53" t="n">
        <x:v>53</x:v>
      </x:c>
      <x:c r="M130" s="53" t="n">
        <x:f>ROUNDUP(J130*SQRT(L130)*1.65,0)</x:f>
        <x:v>90</x:v>
      </x:c>
      <x:c r="N130" s="53" t="n">
        <x:f>ROUNDUP(J130*L130+M130,0)</x:f>
        <x:v>486</x:v>
      </x:c>
      <x:c r="O130" s="42" t="str">
        <x:f>IF(F130&lt;=0,"Critical",IF(F130&lt;N130,"High",IF(F130&lt;N130*1.5,"Medium","Low")))</x:f>
        <x:v>High</x:v>
      </x:c>
      <x:c r="P130" s="53" t="n">
        <x:f>MAX(0,F130-(J130*90+M130))</x:f>
        <x:v>0</x:v>
      </x:c>
      <x:c r="Q130" s="44" t="n">
        <x:f>P130*H130</x:f>
        <x:v>0</x:v>
      </x:c>
      <x:c r="R130" s="50" t="n">
        <x:v>45989</x:v>
      </x:c>
      <x:c r="S130" s="53" t="n">
        <x:f>'Assumptions'!$B$13-R130</x:f>
        <x:v>256</x:v>
      </x:c>
      <x:c r="T130" s="42" t="str">
        <x:f>IF(S130&gt;=180,"High",IF(S130&gt;=120,"Medium","Low"))</x:f>
        <x:v>High</x:v>
      </x:c>
    </x:row>
    <x:row r="131">
      <x:c r="A131" s="14" t="str">
        <x:v>SKU-0130</x:v>
      </x:c>
      <x:c r="B131" s="14" t="str">
        <x:v>Cartons Item 130</x:v>
      </x:c>
      <x:c r="C131" s="14" t="str">
        <x:v>A</x:v>
      </x:c>
      <x:c r="D131" s="52" t="n">
        <x:v>467</x:v>
      </x:c>
      <x:c r="E131" s="52" t="n">
        <x:v>14</x:v>
      </x:c>
      <x:c r="F131" s="53" t="n">
        <x:f>D131-E131</x:f>
        <x:v>453</x:v>
      </x:c>
      <x:c r="G131" s="52" t="n">
        <x:v>0</x:v>
      </x:c>
      <x:c r="H131" s="40" t="n">
        <x:v>73.53</x:v>
      </x:c>
      <x:c r="I131" s="44" t="n">
        <x:f>D131*H131</x:f>
        <x:v>34338.51</x:v>
      </x:c>
      <x:c r="J131" s="46" t="n">
        <x:v>5.3</x:v>
      </x:c>
      <x:c r="K131" s="47" t="n">
        <x:f>IF(J131=0,999,F131/J131)</x:f>
        <x:v>85.47169811320755</x:v>
      </x:c>
      <x:c r="L131" s="53" t="n">
        <x:v>18</x:v>
      </x:c>
      <x:c r="M131" s="53" t="n">
        <x:f>ROUNDUP(J131*SQRT(L131)*1.65,0)</x:f>
        <x:v>38</x:v>
      </x:c>
      <x:c r="N131" s="53" t="n">
        <x:f>ROUNDUP(J131*L131+M131,0)</x:f>
        <x:v>134</x:v>
      </x:c>
      <x:c r="O131" s="42" t="str">
        <x:f>IF(F131&lt;=0,"Critical",IF(F131&lt;N131,"High",IF(F131&lt;N131*1.5,"Medium","Low")))</x:f>
        <x:v>Low</x:v>
      </x:c>
      <x:c r="P131" s="53" t="n">
        <x:f>MAX(0,F131-(J131*90+M131))</x:f>
        <x:v>0</x:v>
      </x:c>
      <x:c r="Q131" s="44" t="n">
        <x:f>P131*H131</x:f>
        <x:v>0</x:v>
      </x:c>
      <x:c r="R131" s="50" t="n">
        <x:v>46173</x:v>
      </x:c>
      <x:c r="S131" s="53" t="n">
        <x:f>'Assumptions'!$B$13-R131</x:f>
        <x:v>72</x:v>
      </x:c>
      <x:c r="T131" s="42" t="str">
        <x:f>IF(S131&gt;=180,"High",IF(S131&gt;=120,"Medium","Low"))</x:f>
        <x:v>Low</x:v>
      </x:c>
    </x:row>
    <x:row r="132">
      <x:c r="A132" s="14" t="str">
        <x:v>SKU-0131</x:v>
      </x:c>
      <x:c r="B132" s="14" t="str">
        <x:v>PPE Item 131</x:v>
      </x:c>
      <x:c r="C132" s="14" t="str">
        <x:v>C</x:v>
      </x:c>
      <x:c r="D132" s="52" t="n">
        <x:v>310</x:v>
      </x:c>
      <x:c r="E132" s="52" t="n">
        <x:v>56</x:v>
      </x:c>
      <x:c r="F132" s="53" t="n">
        <x:f>D132-E132</x:f>
        <x:v>254</x:v>
      </x:c>
      <x:c r="G132" s="52" t="n">
        <x:v>21</x:v>
      </x:c>
      <x:c r="H132" s="40" t="n">
        <x:v>258.95</x:v>
      </x:c>
      <x:c r="I132" s="44" t="n">
        <x:f>D132*H132</x:f>
        <x:v>80274.5</x:v>
      </x:c>
      <x:c r="J132" s="46" t="n">
        <x:v>4.07</x:v>
      </x:c>
      <x:c r="K132" s="47" t="n">
        <x:f>IF(J132=0,999,F132/J132)</x:f>
        <x:v>62.4078624078624</x:v>
      </x:c>
      <x:c r="L132" s="53" t="n">
        <x:v>47</x:v>
      </x:c>
      <x:c r="M132" s="53" t="n">
        <x:f>ROUNDUP(J132*SQRT(L132)*1.65,0)</x:f>
        <x:v>47</x:v>
      </x:c>
      <x:c r="N132" s="53" t="n">
        <x:f>ROUNDUP(J132*L132+M132,0)</x:f>
        <x:v>239</x:v>
      </x:c>
      <x:c r="O132" s="42" t="str">
        <x:f>IF(F132&lt;=0,"Critical",IF(F132&lt;N132,"High",IF(F132&lt;N132*1.5,"Medium","Low")))</x:f>
        <x:v>Medium</x:v>
      </x:c>
      <x:c r="P132" s="53" t="n">
        <x:f>MAX(0,F132-(J132*90+M132))</x:f>
        <x:v>0</x:v>
      </x:c>
      <x:c r="Q132" s="44" t="n">
        <x:f>P132*H132</x:f>
        <x:v>0</x:v>
      </x:c>
      <x:c r="R132" s="50" t="n">
        <x:v>46014</x:v>
      </x:c>
      <x:c r="S132" s="53" t="n">
        <x:f>'Assumptions'!$B$13-R132</x:f>
        <x:v>231</x:v>
      </x:c>
      <x:c r="T132" s="42" t="str">
        <x:f>IF(S132&gt;=180,"High",IF(S132&gt;=120,"Medium","Low"))</x:f>
        <x:v>High</x:v>
      </x:c>
    </x:row>
    <x:row r="133">
      <x:c r="A133" s="14" t="str">
        <x:v>SKU-0132</x:v>
      </x:c>
      <x:c r="B133" s="14" t="str">
        <x:v>Controllers Item 132</x:v>
      </x:c>
      <x:c r="C133" s="14" t="str">
        <x:v>C</x:v>
      </x:c>
      <x:c r="D133" s="52" t="n">
        <x:v>307</x:v>
      </x:c>
      <x:c r="E133" s="52" t="n">
        <x:v>12</x:v>
      </x:c>
      <x:c r="F133" s="53" t="n">
        <x:f>D133-E133</x:f>
        <x:v>295</x:v>
      </x:c>
      <x:c r="G133" s="52" t="n">
        <x:v>0</x:v>
      </x:c>
      <x:c r="H133" s="40" t="n">
        <x:v>177.71</x:v>
      </x:c>
      <x:c r="I133" s="44" t="n">
        <x:f>D133*H133</x:f>
        <x:v>54556.97</x:v>
      </x:c>
      <x:c r="J133" s="46" t="n">
        <x:v>3.92</x:v>
      </x:c>
      <x:c r="K133" s="47" t="n">
        <x:f>IF(J133=0,999,F133/J133)</x:f>
        <x:v>75.25510204081633</x:v>
      </x:c>
      <x:c r="L133" s="53" t="n">
        <x:v>11</x:v>
      </x:c>
      <x:c r="M133" s="53" t="n">
        <x:f>ROUNDUP(J133*SQRT(L133)*1.65,0)</x:f>
        <x:v>22</x:v>
      </x:c>
      <x:c r="N133" s="53" t="n">
        <x:f>ROUNDUP(J133*L133+M133,0)</x:f>
        <x:v>66</x:v>
      </x:c>
      <x:c r="O133" s="42" t="str">
        <x:f>IF(F133&lt;=0,"Critical",IF(F133&lt;N133,"High",IF(F133&lt;N133*1.5,"Medium","Low")))</x:f>
        <x:v>Low</x:v>
      </x:c>
      <x:c r="P133" s="53" t="n">
        <x:f>MAX(0,F133-(J133*90+M133))</x:f>
        <x:v>0</x:v>
      </x:c>
      <x:c r="Q133" s="44" t="n">
        <x:f>P133*H133</x:f>
        <x:v>0</x:v>
      </x:c>
      <x:c r="R133" s="50" t="n">
        <x:v>46190</x:v>
      </x:c>
      <x:c r="S133" s="53" t="n">
        <x:f>'Assumptions'!$B$13-R133</x:f>
        <x:v>55</x:v>
      </x:c>
      <x:c r="T133" s="42" t="str">
        <x:f>IF(S133&gt;=180,"High",IF(S133&gt;=120,"Medium","Low"))</x:f>
        <x:v>Low</x:v>
      </x:c>
    </x:row>
    <x:row r="134">
      <x:c r="A134" s="14" t="str">
        <x:v>SKU-0133</x:v>
      </x:c>
      <x:c r="B134" s="14" t="str">
        <x:v>Sensors Item 133</x:v>
      </x:c>
      <x:c r="C134" s="14" t="str">
        <x:v>C</x:v>
      </x:c>
      <x:c r="D134" s="52" t="n">
        <x:v>673</x:v>
      </x:c>
      <x:c r="E134" s="52" t="n">
        <x:v>57</x:v>
      </x:c>
      <x:c r="F134" s="53" t="n">
        <x:f>D134-E134</x:f>
        <x:v>616</x:v>
      </x:c>
      <x:c r="G134" s="52" t="n">
        <x:v>63</x:v>
      </x:c>
      <x:c r="H134" s="40" t="n">
        <x:v>233.3</x:v>
      </x:c>
      <x:c r="I134" s="44" t="n">
        <x:f>D134*H134</x:f>
        <x:v>157010.9</x:v>
      </x:c>
      <x:c r="J134" s="46" t="n">
        <x:v>7.19</x:v>
      </x:c>
      <x:c r="K134" s="47" t="n">
        <x:f>IF(J134=0,999,F134/J134)</x:f>
        <x:v>85.67454798331015</x:v>
      </x:c>
      <x:c r="L134" s="53" t="n">
        <x:v>45</x:v>
      </x:c>
      <x:c r="M134" s="53" t="n">
        <x:f>ROUNDUP(J134*SQRT(L134)*1.65,0)</x:f>
        <x:v>80</x:v>
      </x:c>
      <x:c r="N134" s="53" t="n">
        <x:f>ROUNDUP(J134*L134+M134,0)</x:f>
        <x:v>404</x:v>
      </x:c>
      <x:c r="O134" s="42" t="str">
        <x:f>IF(F134&lt;=0,"Critical",IF(F134&lt;N134,"High",IF(F134&lt;N134*1.5,"Medium","Low")))</x:f>
        <x:v>Low</x:v>
      </x:c>
      <x:c r="P134" s="53" t="n">
        <x:f>MAX(0,F134-(J134*90+M134))</x:f>
        <x:v>0</x:v>
      </x:c>
      <x:c r="Q134" s="44" t="n">
        <x:f>P134*H134</x:f>
        <x:v>0</x:v>
      </x:c>
      <x:c r="R134" s="50" t="n">
        <x:v>45959</x:v>
      </x:c>
      <x:c r="S134" s="53" t="n">
        <x:f>'Assumptions'!$B$13-R134</x:f>
        <x:v>286</x:v>
      </x:c>
      <x:c r="T134" s="42" t="str">
        <x:f>IF(S134&gt;=180,"High",IF(S134&gt;=120,"Medium","Low"))</x:f>
        <x:v>High</x:v>
      </x:c>
    </x:row>
    <x:row r="135">
      <x:c r="A135" s="14" t="str">
        <x:v>SKU-0134</x:v>
      </x:c>
      <x:c r="B135" s="14" t="str">
        <x:v>Gloves Item 134</x:v>
      </x:c>
      <x:c r="C135" s="14" t="str">
        <x:v>A</x:v>
      </x:c>
      <x:c r="D135" s="52" t="n">
        <x:v>355</x:v>
      </x:c>
      <x:c r="E135" s="52" t="n">
        <x:v>78</x:v>
      </x:c>
      <x:c r="F135" s="53" t="n">
        <x:f>D135-E135</x:f>
        <x:v>277</x:v>
      </x:c>
      <x:c r="G135" s="52" t="n">
        <x:v>165</x:v>
      </x:c>
      <x:c r="H135" s="40" t="n">
        <x:v>254.76</x:v>
      </x:c>
      <x:c r="I135" s="44" t="n">
        <x:f>D135*H135</x:f>
        <x:v>90439.8</x:v>
      </x:c>
      <x:c r="J135" s="46" t="n">
        <x:v>4.59</x:v>
      </x:c>
      <x:c r="K135" s="47" t="n">
        <x:f>IF(J135=0,999,F135/J135)</x:f>
        <x:v>60.348583877995644</x:v>
      </x:c>
      <x:c r="L135" s="53" t="n">
        <x:v>39</x:v>
      </x:c>
      <x:c r="M135" s="53" t="n">
        <x:f>ROUNDUP(J135*SQRT(L135)*1.65,0)</x:f>
        <x:v>48</x:v>
      </x:c>
      <x:c r="N135" s="53" t="n">
        <x:f>ROUNDUP(J135*L135+M135,0)</x:f>
        <x:v>228</x:v>
      </x:c>
      <x:c r="O135" s="42" t="str">
        <x:f>IF(F135&lt;=0,"Critical",IF(F135&lt;N135,"High",IF(F135&lt;N135*1.5,"Medium","Low")))</x:f>
        <x:v>Medium</x:v>
      </x:c>
      <x:c r="P135" s="53" t="n">
        <x:f>MAX(0,F135-(J135*90+M135))</x:f>
        <x:v>0</x:v>
      </x:c>
      <x:c r="Q135" s="44" t="n">
        <x:f>P135*H135</x:f>
        <x:v>0</x:v>
      </x:c>
      <x:c r="R135" s="50" t="n">
        <x:v>46043</x:v>
      </x:c>
      <x:c r="S135" s="53" t="n">
        <x:f>'Assumptions'!$B$13-R135</x:f>
        <x:v>202</x:v>
      </x:c>
      <x:c r="T135" s="42" t="str">
        <x:f>IF(S135&gt;=180,"High",IF(S135&gt;=120,"Medium","Low"))</x:f>
        <x:v>High</x:v>
      </x:c>
    </x:row>
    <x:row r="136">
      <x:c r="A136" s="14" t="str">
        <x:v>SKU-0135</x:v>
      </x:c>
      <x:c r="B136" s="14" t="str">
        <x:v>Paper Item 135</x:v>
      </x:c>
      <x:c r="C136" s="14" t="str">
        <x:v>C</x:v>
      </x:c>
      <x:c r="D136" s="52" t="n">
        <x:v>88</x:v>
      </x:c>
      <x:c r="E136" s="52" t="n">
        <x:v>21</x:v>
      </x:c>
      <x:c r="F136" s="53" t="n">
        <x:f>D136-E136</x:f>
        <x:v>67</x:v>
      </x:c>
      <x:c r="G136" s="52" t="n">
        <x:v>87</x:v>
      </x:c>
      <x:c r="H136" s="40" t="n">
        <x:v>275.11</x:v>
      </x:c>
      <x:c r="I136" s="44" t="n">
        <x:f>D136*H136</x:f>
        <x:v>24209.68</x:v>
      </x:c>
      <x:c r="J136" s="46" t="n">
        <x:v>2.11</x:v>
      </x:c>
      <x:c r="K136" s="47" t="n">
        <x:f>IF(J136=0,999,F136/J136)</x:f>
        <x:v>31.75355450236967</x:v>
      </x:c>
      <x:c r="L136" s="53" t="n">
        <x:v>52</x:v>
      </x:c>
      <x:c r="M136" s="53" t="n">
        <x:f>ROUNDUP(J136*SQRT(L136)*1.65,0)</x:f>
        <x:v>26</x:v>
      </x:c>
      <x:c r="N136" s="53" t="n">
        <x:f>ROUNDUP(J136*L136+M136,0)</x:f>
        <x:v>136</x:v>
      </x:c>
      <x:c r="O136" s="42" t="str">
        <x:f>IF(F136&lt;=0,"Critical",IF(F136&lt;N136,"High",IF(F136&lt;N136*1.5,"Medium","Low")))</x:f>
        <x:v>High</x:v>
      </x:c>
      <x:c r="P136" s="53" t="n">
        <x:f>MAX(0,F136-(J136*90+M136))</x:f>
        <x:v>0</x:v>
      </x:c>
      <x:c r="Q136" s="44" t="n">
        <x:f>P136*H136</x:f>
        <x:v>0</x:v>
      </x:c>
      <x:c r="R136" s="50" t="n">
        <x:v>46213</x:v>
      </x:c>
      <x:c r="S136" s="53" t="n">
        <x:f>'Assumptions'!$B$13-R136</x:f>
        <x:v>32</x:v>
      </x:c>
      <x:c r="T136" s="42" t="str">
        <x:f>IF(S136&gt;=180,"High",IF(S136&gt;=120,"Medium","Low"))</x:f>
        <x:v>Low</x:v>
      </x:c>
    </x:row>
    <x:row r="137">
      <x:c r="A137" s="14" t="str">
        <x:v>SKU-0136</x:v>
      </x:c>
      <x:c r="B137" s="14" t="str">
        <x:v>Eyewear Item 136</x:v>
      </x:c>
      <x:c r="C137" s="14" t="str">
        <x:v>B</x:v>
      </x:c>
      <x:c r="D137" s="52" t="n">
        <x:v>491</x:v>
      </x:c>
      <x:c r="E137" s="52" t="n">
        <x:v>62</x:v>
      </x:c>
      <x:c r="F137" s="53" t="n">
        <x:f>D137-E137</x:f>
        <x:v>429</x:v>
      </x:c>
      <x:c r="G137" s="52" t="n">
        <x:v>56</x:v>
      </x:c>
      <x:c r="H137" s="40" t="n">
        <x:v>105.97</x:v>
      </x:c>
      <x:c r="I137" s="44" t="n">
        <x:f>D137*H137</x:f>
        <x:v>52031.27</x:v>
      </x:c>
      <x:c r="J137" s="46" t="n">
        <x:v>8.99</x:v>
      </x:c>
      <x:c r="K137" s="47" t="n">
        <x:f>IF(J137=0,999,F137/J137)</x:f>
        <x:v>47.71968854282536</x:v>
      </x:c>
      <x:c r="L137" s="53" t="n">
        <x:v>45</x:v>
      </x:c>
      <x:c r="M137" s="53" t="n">
        <x:f>ROUNDUP(J137*SQRT(L137)*1.65,0)</x:f>
        <x:v>100</x:v>
      </x:c>
      <x:c r="N137" s="53" t="n">
        <x:f>ROUNDUP(J137*L137+M137,0)</x:f>
        <x:v>505</x:v>
      </x:c>
      <x:c r="O137" s="42" t="str">
        <x:f>IF(F137&lt;=0,"Critical",IF(F137&lt;N137,"High",IF(F137&lt;N137*1.5,"Medium","Low")))</x:f>
        <x:v>High</x:v>
      </x:c>
      <x:c r="P137" s="53" t="n">
        <x:f>MAX(0,F137-(J137*90+M137))</x:f>
        <x:v>0</x:v>
      </x:c>
      <x:c r="Q137" s="44" t="n">
        <x:f>P137*H137</x:f>
        <x:v>0</x:v>
      </x:c>
      <x:c r="R137" s="50" t="n">
        <x:v>45995</x:v>
      </x:c>
      <x:c r="S137" s="53" t="n">
        <x:f>'Assumptions'!$B$13-R137</x:f>
        <x:v>250</x:v>
      </x:c>
      <x:c r="T137" s="42" t="str">
        <x:f>IF(S137&gt;=180,"High",IF(S137&gt;=120,"Medium","Low"))</x:f>
        <x:v>High</x:v>
      </x:c>
    </x:row>
    <x:row r="138">
      <x:c r="A138" s="14" t="str">
        <x:v>SKU-0137</x:v>
      </x:c>
      <x:c r="B138" s="14" t="str">
        <x:v>Cleaning Item 137</x:v>
      </x:c>
      <x:c r="C138" s="14" t="str">
        <x:v>B</x:v>
      </x:c>
      <x:c r="D138" s="52" t="n">
        <x:v>362</x:v>
      </x:c>
      <x:c r="E138" s="52" t="n">
        <x:v>77</x:v>
      </x:c>
      <x:c r="F138" s="53" t="n">
        <x:f>D138-E138</x:f>
        <x:v>285</x:v>
      </x:c>
      <x:c r="G138" s="52" t="n">
        <x:v>115</x:v>
      </x:c>
      <x:c r="H138" s="40" t="n">
        <x:v>93.99</x:v>
      </x:c>
      <x:c r="I138" s="44" t="n">
        <x:f>D138*H138</x:f>
        <x:v>34024.38</x:v>
      </x:c>
      <x:c r="J138" s="46" t="n">
        <x:v>6.04</x:v>
      </x:c>
      <x:c r="K138" s="47" t="n">
        <x:f>IF(J138=0,999,F138/J138)</x:f>
        <x:v>47.18543046357616</x:v>
      </x:c>
      <x:c r="L138" s="53" t="n">
        <x:v>49</x:v>
      </x:c>
      <x:c r="M138" s="53" t="n">
        <x:f>ROUNDUP(J138*SQRT(L138)*1.65,0)</x:f>
        <x:v>70</x:v>
      </x:c>
      <x:c r="N138" s="53" t="n">
        <x:f>ROUNDUP(J138*L138+M138,0)</x:f>
        <x:v>366</x:v>
      </x:c>
      <x:c r="O138" s="42" t="str">
        <x:f>IF(F138&lt;=0,"Critical",IF(F138&lt;N138,"High",IF(F138&lt;N138*1.5,"Medium","Low")))</x:f>
        <x:v>High</x:v>
      </x:c>
      <x:c r="P138" s="53" t="n">
        <x:f>MAX(0,F138-(J138*90+M138))</x:f>
        <x:v>0</x:v>
      </x:c>
      <x:c r="Q138" s="44" t="n">
        <x:f>P138*H138</x:f>
        <x:v>0</x:v>
      </x:c>
      <x:c r="R138" s="50" t="n">
        <x:v>46011</x:v>
      </x:c>
      <x:c r="S138" s="53" t="n">
        <x:f>'Assumptions'!$B$13-R138</x:f>
        <x:v>234</x:v>
      </x:c>
      <x:c r="T138" s="42" t="str">
        <x:f>IF(S138&gt;=180,"High",IF(S138&gt;=120,"Medium","Low"))</x:f>
        <x:v>High</x:v>
      </x:c>
    </x:row>
    <x:row r="139">
      <x:c r="A139" s="14" t="str">
        <x:v>SKU-0138</x:v>
      </x:c>
      <x:c r="B139" s="14" t="str">
        <x:v>Fasteners Item 138</x:v>
      </x:c>
      <x:c r="C139" s="14" t="str">
        <x:v>B</x:v>
      </x:c>
      <x:c r="D139" s="52" t="n">
        <x:v>854</x:v>
      </x:c>
      <x:c r="E139" s="52" t="n">
        <x:v>88</x:v>
      </x:c>
      <x:c r="F139" s="53" t="n">
        <x:f>D139-E139</x:f>
        <x:v>766</x:v>
      </x:c>
      <x:c r="G139" s="52" t="n">
        <x:v>57</x:v>
      </x:c>
      <x:c r="H139" s="40" t="n">
        <x:v>186.65</x:v>
      </x:c>
      <x:c r="I139" s="44" t="n">
        <x:f>D139*H139</x:f>
        <x:v>159399.1</x:v>
      </x:c>
      <x:c r="J139" s="46" t="n">
        <x:v>12.31</x:v>
      </x:c>
      <x:c r="K139" s="47" t="n">
        <x:f>IF(J139=0,999,F139/J139)</x:f>
        <x:v>62.22583265637693</x:v>
      </x:c>
      <x:c r="L139" s="53" t="n">
        <x:v>49</x:v>
      </x:c>
      <x:c r="M139" s="53" t="n">
        <x:f>ROUNDUP(J139*SQRT(L139)*1.65,0)</x:f>
        <x:v>143</x:v>
      </x:c>
      <x:c r="N139" s="53" t="n">
        <x:f>ROUNDUP(J139*L139+M139,0)</x:f>
        <x:v>747</x:v>
      </x:c>
      <x:c r="O139" s="42" t="str">
        <x:f>IF(F139&lt;=0,"Critical",IF(F139&lt;N139,"High",IF(F139&lt;N139*1.5,"Medium","Low")))</x:f>
        <x:v>Medium</x:v>
      </x:c>
      <x:c r="P139" s="53" t="n">
        <x:f>MAX(0,F139-(J139*90+M139))</x:f>
        <x:v>0</x:v>
      </x:c>
      <x:c r="Q139" s="44" t="n">
        <x:f>P139*H139</x:f>
        <x:v>0</x:v>
      </x:c>
      <x:c r="R139" s="50" t="n">
        <x:v>46177</x:v>
      </x:c>
      <x:c r="S139" s="53" t="n">
        <x:f>'Assumptions'!$B$13-R139</x:f>
        <x:v>68</x:v>
      </x:c>
      <x:c r="T139" s="42" t="str">
        <x:f>IF(S139&gt;=180,"High",IF(S139&gt;=120,"Medium","Low"))</x:f>
        <x:v>Low</x:v>
      </x:c>
    </x:row>
    <x:row r="140">
      <x:c r="A140" s="14" t="str">
        <x:v>SKU-0139</x:v>
      </x:c>
      <x:c r="B140" s="14" t="str">
        <x:v>Lubricants Item 139</x:v>
      </x:c>
      <x:c r="C140" s="14" t="str">
        <x:v>B</x:v>
      </x:c>
      <x:c r="D140" s="52" t="n">
        <x:v>72</x:v>
      </x:c>
      <x:c r="E140" s="52" t="n">
        <x:v>9</x:v>
      </x:c>
      <x:c r="F140" s="53" t="n">
        <x:f>D140-E140</x:f>
        <x:v>63</x:v>
      </x:c>
      <x:c r="G140" s="52" t="n">
        <x:v>85</x:v>
      </x:c>
      <x:c r="H140" s="40" t="n">
        <x:v>157.6</x:v>
      </x:c>
      <x:c r="I140" s="44" t="n">
        <x:f>D140*H140</x:f>
        <x:v>11347.199999999999</x:v>
      </x:c>
      <x:c r="J140" s="46" t="n">
        <x:v>3.99</x:v>
      </x:c>
      <x:c r="K140" s="47" t="n">
        <x:f>IF(J140=0,999,F140/J140)</x:f>
        <x:v>15.789473684210526</x:v>
      </x:c>
      <x:c r="L140" s="53" t="n">
        <x:v>51</x:v>
      </x:c>
      <x:c r="M140" s="53" t="n">
        <x:f>ROUNDUP(J140*SQRT(L140)*1.65,0)</x:f>
        <x:v>48</x:v>
      </x:c>
      <x:c r="N140" s="53" t="n">
        <x:f>ROUNDUP(J140*L140+M140,0)</x:f>
        <x:v>252</x:v>
      </x:c>
      <x:c r="O140" s="42" t="str">
        <x:f>IF(F140&lt;=0,"Critical",IF(F140&lt;N140,"High",IF(F140&lt;N140*1.5,"Medium","Low")))</x:f>
        <x:v>High</x:v>
      </x:c>
      <x:c r="P140" s="53" t="n">
        <x:f>MAX(0,F140-(J140*90+M140))</x:f>
        <x:v>0</x:v>
      </x:c>
      <x:c r="Q140" s="44" t="n">
        <x:f>P140*H140</x:f>
        <x:v>0</x:v>
      </x:c>
      <x:c r="R140" s="50" t="n">
        <x:v>46175</x:v>
      </x:c>
      <x:c r="S140" s="53" t="n">
        <x:f>'Assumptions'!$B$13-R140</x:f>
        <x:v>70</x:v>
      </x:c>
      <x:c r="T140" s="42" t="str">
        <x:f>IF(S140&gt;=180,"High",IF(S140&gt;=120,"Medium","Low"))</x:f>
        <x:v>Low</x:v>
      </x:c>
    </x:row>
    <x:row r="141">
      <x:c r="A141" s="14" t="str">
        <x:v>SKU-0140</x:v>
      </x:c>
      <x:c r="B141" s="14" t="str">
        <x:v>Gloves Item 140</x:v>
      </x:c>
      <x:c r="C141" s="14" t="str">
        <x:v>A</x:v>
      </x:c>
      <x:c r="D141" s="52" t="n">
        <x:v>325</x:v>
      </x:c>
      <x:c r="E141" s="52" t="n">
        <x:v>61</x:v>
      </x:c>
      <x:c r="F141" s="53" t="n">
        <x:f>D141-E141</x:f>
        <x:v>264</x:v>
      </x:c>
      <x:c r="G141" s="52" t="n">
        <x:v>0</x:v>
      </x:c>
      <x:c r="H141" s="40" t="n">
        <x:v>188.55</x:v>
      </x:c>
      <x:c r="I141" s="44" t="n">
        <x:f>D141*H141</x:f>
        <x:v>61278.75000000001</x:v>
      </x:c>
      <x:c r="J141" s="46" t="n">
        <x:v>6.47</x:v>
      </x:c>
      <x:c r="K141" s="47" t="n">
        <x:f>IF(J141=0,999,F141/J141)</x:f>
        <x:v>40.80370942812983</x:v>
      </x:c>
      <x:c r="L141" s="53" t="n">
        <x:v>20</x:v>
      </x:c>
      <x:c r="M141" s="53" t="n">
        <x:f>ROUNDUP(J141*SQRT(L141)*1.65,0)</x:f>
        <x:v>48</x:v>
      </x:c>
      <x:c r="N141" s="53" t="n">
        <x:f>ROUNDUP(J141*L141+M141,0)</x:f>
        <x:v>178</x:v>
      </x:c>
      <x:c r="O141" s="42" t="str">
        <x:f>IF(F141&lt;=0,"Critical",IF(F141&lt;N141,"High",IF(F141&lt;N141*1.5,"Medium","Low")))</x:f>
        <x:v>Medium</x:v>
      </x:c>
      <x:c r="P141" s="53" t="n">
        <x:f>MAX(0,F141-(J141*90+M141))</x:f>
        <x:v>0</x:v>
      </x:c>
      <x:c r="Q141" s="44" t="n">
        <x:f>P141*H141</x:f>
        <x:v>0</x:v>
      </x:c>
      <x:c r="R141" s="50" t="n">
        <x:v>46157</x:v>
      </x:c>
      <x:c r="S141" s="53" t="n">
        <x:f>'Assumptions'!$B$13-R141</x:f>
        <x:v>88</x:v>
      </x:c>
      <x:c r="T141" s="42" t="str">
        <x:f>IF(S141&gt;=180,"High",IF(S141&gt;=120,"Medium","Low"))</x:f>
        <x:v>Low</x:v>
      </x:c>
    </x:row>
    <x:row r="142">
      <x:c r="A142" s="14" t="str">
        <x:v>SKU-0141</x:v>
      </x:c>
      <x:c r="B142" s="14" t="str">
        <x:v>Ink Item 141</x:v>
      </x:c>
      <x:c r="C142" s="14" t="str">
        <x:v>B</x:v>
      </x:c>
      <x:c r="D142" s="52" t="n">
        <x:v>127</x:v>
      </x:c>
      <x:c r="E142" s="52" t="n">
        <x:v>13</x:v>
      </x:c>
      <x:c r="F142" s="53" t="n">
        <x:f>D142-E142</x:f>
        <x:v>114</x:v>
      </x:c>
      <x:c r="G142" s="52" t="n">
        <x:v>18</x:v>
      </x:c>
      <x:c r="H142" s="40" t="n">
        <x:v>279.99</x:v>
      </x:c>
      <x:c r="I142" s="44" t="n">
        <x:f>D142*H142</x:f>
        <x:v>35558.73</x:v>
      </x:c>
      <x:c r="J142" s="46" t="n">
        <x:v>6.29</x:v>
      </x:c>
      <x:c r="K142" s="47" t="n">
        <x:f>IF(J142=0,999,F142/J142)</x:f>
        <x:v>18.124006359300477</x:v>
      </x:c>
      <x:c r="L142" s="53" t="n">
        <x:v>56</x:v>
      </x:c>
      <x:c r="M142" s="53" t="n">
        <x:f>ROUNDUP(J142*SQRT(L142)*1.65,0)</x:f>
        <x:v>78</x:v>
      </x:c>
      <x:c r="N142" s="53" t="n">
        <x:f>ROUNDUP(J142*L142+M142,0)</x:f>
        <x:v>431</x:v>
      </x:c>
      <x:c r="O142" s="42" t="str">
        <x:f>IF(F142&lt;=0,"Critical",IF(F142&lt;N142,"High",IF(F142&lt;N142*1.5,"Medium","Low")))</x:f>
        <x:v>High</x:v>
      </x:c>
      <x:c r="P142" s="53" t="n">
        <x:f>MAX(0,F142-(J142*90+M142))</x:f>
        <x:v>0</x:v>
      </x:c>
      <x:c r="Q142" s="44" t="n">
        <x:f>P142*H142</x:f>
        <x:v>0</x:v>
      </x:c>
      <x:c r="R142" s="50" t="n">
        <x:v>46062</x:v>
      </x:c>
      <x:c r="S142" s="53" t="n">
        <x:f>'Assumptions'!$B$13-R142</x:f>
        <x:v>183</x:v>
      </x:c>
      <x:c r="T142" s="42" t="str">
        <x:f>IF(S142&gt;=180,"High",IF(S142&gt;=120,"Medium","Low"))</x:f>
        <x:v>High</x:v>
      </x:c>
    </x:row>
    <x:row r="143">
      <x:c r="A143" s="14" t="str">
        <x:v>SKU-0142</x:v>
      </x:c>
      <x:c r="B143" s="14" t="str">
        <x:v>Gloves Item 142</x:v>
      </x:c>
      <x:c r="C143" s="14" t="str">
        <x:v>A</x:v>
      </x:c>
      <x:c r="D143" s="52" t="n">
        <x:v>422</x:v>
      </x:c>
      <x:c r="E143" s="52" t="n">
        <x:v>56</x:v>
      </x:c>
      <x:c r="F143" s="53" t="n">
        <x:f>D143-E143</x:f>
        <x:v>366</x:v>
      </x:c>
      <x:c r="G143" s="52" t="n">
        <x:v>607</x:v>
      </x:c>
      <x:c r="H143" s="40" t="n">
        <x:v>95.95</x:v>
      </x:c>
      <x:c r="I143" s="44" t="n">
        <x:f>D143*H143</x:f>
        <x:v>40490.9</x:v>
      </x:c>
      <x:c r="J143" s="46" t="n">
        <x:v>16.91</x:v>
      </x:c>
      <x:c r="K143" s="47" t="n">
        <x:f>IF(J143=0,999,F143/J143)</x:f>
        <x:v>21.64399763453578</x:v>
      </x:c>
      <x:c r="L143" s="53" t="n">
        <x:v>17</x:v>
      </x:c>
      <x:c r="M143" s="53" t="n">
        <x:f>ROUNDUP(J143*SQRT(L143)*1.65,0)</x:f>
        <x:v>116</x:v>
      </x:c>
      <x:c r="N143" s="53" t="n">
        <x:f>ROUNDUP(J143*L143+M143,0)</x:f>
        <x:v>404</x:v>
      </x:c>
      <x:c r="O143" s="42" t="str">
        <x:f>IF(F143&lt;=0,"Critical",IF(F143&lt;N143,"High",IF(F143&lt;N143*1.5,"Medium","Low")))</x:f>
        <x:v>High</x:v>
      </x:c>
      <x:c r="P143" s="53" t="n">
        <x:f>MAX(0,F143-(J143*90+M143))</x:f>
        <x:v>0</x:v>
      </x:c>
      <x:c r="Q143" s="44" t="n">
        <x:f>P143*H143</x:f>
        <x:v>0</x:v>
      </x:c>
      <x:c r="R143" s="50" t="n">
        <x:v>46036</x:v>
      </x:c>
      <x:c r="S143" s="53" t="n">
        <x:f>'Assumptions'!$B$13-R143</x:f>
        <x:v>209</x:v>
      </x:c>
      <x:c r="T143" s="42" t="str">
        <x:f>IF(S143&gt;=180,"High",IF(S143&gt;=120,"Medium","Low"))</x:f>
        <x:v>High</x:v>
      </x:c>
    </x:row>
    <x:row r="144">
      <x:c r="A144" s="14" t="str">
        <x:v>SKU-0143</x:v>
      </x:c>
      <x:c r="B144" s="14" t="str">
        <x:v>Eyewear Item 143</x:v>
      </x:c>
      <x:c r="C144" s="14" t="str">
        <x:v>C</x:v>
      </x:c>
      <x:c r="D144" s="52" t="n">
        <x:v>666</x:v>
      </x:c>
      <x:c r="E144" s="52" t="n">
        <x:v>113</x:v>
      </x:c>
      <x:c r="F144" s="53" t="n">
        <x:f>D144-E144</x:f>
        <x:v>553</x:v>
      </x:c>
      <x:c r="G144" s="52" t="n">
        <x:v>13</x:v>
      </x:c>
      <x:c r="H144" s="40" t="n">
        <x:v>123.95</x:v>
      </x:c>
      <x:c r="I144" s="44" t="n">
        <x:f>D144*H144</x:f>
        <x:v>82550.7</x:v>
      </x:c>
      <x:c r="J144" s="46" t="n">
        <x:v>8.22</x:v>
      </x:c>
      <x:c r="K144" s="47" t="n">
        <x:f>IF(J144=0,999,F144/J144)</x:f>
        <x:v>67.27493917274938</x:v>
      </x:c>
      <x:c r="L144" s="53" t="n">
        <x:v>46</x:v>
      </x:c>
      <x:c r="M144" s="53" t="n">
        <x:f>ROUNDUP(J144*SQRT(L144)*1.65,0)</x:f>
        <x:v>92</x:v>
      </x:c>
      <x:c r="N144" s="53" t="n">
        <x:f>ROUNDUP(J144*L144+M144,0)</x:f>
        <x:v>471</x:v>
      </x:c>
      <x:c r="O144" s="42" t="str">
        <x:f>IF(F144&lt;=0,"Critical",IF(F144&lt;N144,"High",IF(F144&lt;N144*1.5,"Medium","Low")))</x:f>
        <x:v>Medium</x:v>
      </x:c>
      <x:c r="P144" s="53" t="n">
        <x:f>MAX(0,F144-(J144*90+M144))</x:f>
        <x:v>0</x:v>
      </x:c>
      <x:c r="Q144" s="44" t="n">
        <x:f>P144*H144</x:f>
        <x:v>0</x:v>
      </x:c>
      <x:c r="R144" s="50" t="n">
        <x:v>46133</x:v>
      </x:c>
      <x:c r="S144" s="53" t="n">
        <x:f>'Assumptions'!$B$13-R144</x:f>
        <x:v>112</x:v>
      </x:c>
      <x:c r="T144" s="42" t="str">
        <x:f>IF(S144&gt;=180,"High",IF(S144&gt;=120,"Medium","Low"))</x:f>
        <x:v>Low</x:v>
      </x:c>
    </x:row>
    <x:row r="145">
      <x:c r="A145" s="14" t="str">
        <x:v>SKU-0144</x:v>
      </x:c>
      <x:c r="B145" s="14" t="str">
        <x:v>Ink Item 144</x:v>
      </x:c>
      <x:c r="C145" s="14" t="str">
        <x:v>C</x:v>
      </x:c>
      <x:c r="D145" s="52" t="n">
        <x:v>207</x:v>
      </x:c>
      <x:c r="E145" s="52" t="n">
        <x:v>12</x:v>
      </x:c>
      <x:c r="F145" s="53" t="n">
        <x:f>D145-E145</x:f>
        <x:v>195</x:v>
      </x:c>
      <x:c r="G145" s="52" t="n">
        <x:v>154</x:v>
      </x:c>
      <x:c r="H145" s="40" t="n">
        <x:v>68.87</x:v>
      </x:c>
      <x:c r="I145" s="44" t="n">
        <x:f>D145*H145</x:f>
        <x:v>14256.09</x:v>
      </x:c>
      <x:c r="J145" s="46" t="n">
        <x:v>3.79</x:v>
      </x:c>
      <x:c r="K145" s="47" t="n">
        <x:f>IF(J145=0,999,F145/J145)</x:f>
        <x:v>51.45118733509235</x:v>
      </x:c>
      <x:c r="L145" s="53" t="n">
        <x:v>50</x:v>
      </x:c>
      <x:c r="M145" s="53" t="n">
        <x:f>ROUNDUP(J145*SQRT(L145)*1.65,0)</x:f>
        <x:v>45</x:v>
      </x:c>
      <x:c r="N145" s="53" t="n">
        <x:f>ROUNDUP(J145*L145+M145,0)</x:f>
        <x:v>235</x:v>
      </x:c>
      <x:c r="O145" s="42" t="str">
        <x:f>IF(F145&lt;=0,"Critical",IF(F145&lt;N145,"High",IF(F145&lt;N145*1.5,"Medium","Low")))</x:f>
        <x:v>High</x:v>
      </x:c>
      <x:c r="P145" s="53" t="n">
        <x:f>MAX(0,F145-(J145*90+M145))</x:f>
        <x:v>0</x:v>
      </x:c>
      <x:c r="Q145" s="44" t="n">
        <x:f>P145*H145</x:f>
        <x:v>0</x:v>
      </x:c>
      <x:c r="R145" s="50" t="n">
        <x:v>45992</x:v>
      </x:c>
      <x:c r="S145" s="53" t="n">
        <x:f>'Assumptions'!$B$13-R145</x:f>
        <x:v>253</x:v>
      </x:c>
      <x:c r="T145" s="42" t="str">
        <x:f>IF(S145&gt;=180,"High",IF(S145&gt;=120,"Medium","Low"))</x:f>
        <x:v>High</x:v>
      </x:c>
    </x:row>
    <x:row r="146">
      <x:c r="A146" s="14" t="str">
        <x:v>SKU-0145</x:v>
      </x:c>
      <x:c r="B146" s="14" t="str">
        <x:v>Accessories Item 145</x:v>
      </x:c>
      <x:c r="C146" s="14" t="str">
        <x:v>A</x:v>
      </x:c>
      <x:c r="D146" s="52" t="n">
        <x:v>105</x:v>
      </x:c>
      <x:c r="E146" s="52" t="n">
        <x:v>28</x:v>
      </x:c>
      <x:c r="F146" s="53" t="n">
        <x:f>D146-E146</x:f>
        <x:v>77</x:v>
      </x:c>
      <x:c r="G146" s="52" t="n">
        <x:v>0</x:v>
      </x:c>
      <x:c r="H146" s="40" t="n">
        <x:v>142.06</x:v>
      </x:c>
      <x:c r="I146" s="44" t="n">
        <x:f>D146*H146</x:f>
        <x:v>14916.300000000001</x:v>
      </x:c>
      <x:c r="J146" s="46" t="n">
        <x:v>5.88</x:v>
      </x:c>
      <x:c r="K146" s="47" t="n">
        <x:f>IF(J146=0,999,F146/J146)</x:f>
        <x:v>13.095238095238095</x:v>
      </x:c>
      <x:c r="L146" s="53" t="n">
        <x:v>15</x:v>
      </x:c>
      <x:c r="M146" s="53" t="n">
        <x:f>ROUNDUP(J146*SQRT(L146)*1.65,0)</x:f>
        <x:v>38</x:v>
      </x:c>
      <x:c r="N146" s="53" t="n">
        <x:f>ROUNDUP(J146*L146+M146,0)</x:f>
        <x:v>127</x:v>
      </x:c>
      <x:c r="O146" s="42" t="str">
        <x:f>IF(F146&lt;=0,"Critical",IF(F146&lt;N146,"High",IF(F146&lt;N146*1.5,"Medium","Low")))</x:f>
        <x:v>High</x:v>
      </x:c>
      <x:c r="P146" s="53" t="n">
        <x:f>MAX(0,F146-(J146*90+M146))</x:f>
        <x:v>0</x:v>
      </x:c>
      <x:c r="Q146" s="44" t="n">
        <x:f>P146*H146</x:f>
        <x:v>0</x:v>
      </x:c>
      <x:c r="R146" s="50" t="n">
        <x:v>46058</x:v>
      </x:c>
      <x:c r="S146" s="53" t="n">
        <x:f>'Assumptions'!$B$13-R146</x:f>
        <x:v>187</x:v>
      </x:c>
      <x:c r="T146" s="42" t="str">
        <x:f>IF(S146&gt;=180,"High",IF(S146&gt;=120,"Medium","Low"))</x:f>
        <x:v>High</x:v>
      </x:c>
    </x:row>
    <x:row r="147">
      <x:c r="A147" s="14" t="str">
        <x:v>SKU-0146</x:v>
      </x:c>
      <x:c r="B147" s="14" t="str">
        <x:v>Accessories Item 146</x:v>
      </x:c>
      <x:c r="C147" s="14" t="str">
        <x:v>B</x:v>
      </x:c>
      <x:c r="D147" s="52" t="n">
        <x:v>506</x:v>
      </x:c>
      <x:c r="E147" s="52" t="n">
        <x:v>78</x:v>
      </x:c>
      <x:c r="F147" s="53" t="n">
        <x:f>D147-E147</x:f>
        <x:v>428</x:v>
      </x:c>
      <x:c r="G147" s="52" t="n">
        <x:v>159</x:v>
      </x:c>
      <x:c r="H147" s="40" t="n">
        <x:v>261.77</x:v>
      </x:c>
      <x:c r="I147" s="44" t="n">
        <x:f>D147*H147</x:f>
        <x:v>132455.62</x:v>
      </x:c>
      <x:c r="J147" s="46" t="n">
        <x:v>6.84</x:v>
      </x:c>
      <x:c r="K147" s="47" t="n">
        <x:f>IF(J147=0,999,F147/J147)</x:f>
        <x:v>62.57309941520468</x:v>
      </x:c>
      <x:c r="L147" s="53" t="n">
        <x:v>12</x:v>
      </x:c>
      <x:c r="M147" s="53" t="n">
        <x:f>ROUNDUP(J147*SQRT(L147)*1.65,0)</x:f>
        <x:v>40</x:v>
      </x:c>
      <x:c r="N147" s="53" t="n">
        <x:f>ROUNDUP(J147*L147+M147,0)</x:f>
        <x:v>123</x:v>
      </x:c>
      <x:c r="O147" s="42" t="str">
        <x:f>IF(F147&lt;=0,"Critical",IF(F147&lt;N147,"High",IF(F147&lt;N147*1.5,"Medium","Low")))</x:f>
        <x:v>Low</x:v>
      </x:c>
      <x:c r="P147" s="53" t="n">
        <x:f>MAX(0,F147-(J147*90+M147))</x:f>
        <x:v>0</x:v>
      </x:c>
      <x:c r="Q147" s="44" t="n">
        <x:f>P147*H147</x:f>
        <x:v>0</x:v>
      </x:c>
      <x:c r="R147" s="50" t="n">
        <x:v>46119</x:v>
      </x:c>
      <x:c r="S147" s="53" t="n">
        <x:f>'Assumptions'!$B$13-R147</x:f>
        <x:v>126</x:v>
      </x:c>
      <x:c r="T147" s="42" t="str">
        <x:f>IF(S147&gt;=180,"High",IF(S147&gt;=120,"Medium","Low"))</x:f>
        <x:v>Medium</x:v>
      </x:c>
    </x:row>
    <x:row r="148">
      <x:c r="A148" s="14" t="str">
        <x:v>SKU-0147</x:v>
      </x:c>
      <x:c r="B148" s="14" t="str">
        <x:v>Eyewear Item 147</x:v>
      </x:c>
      <x:c r="C148" s="14" t="str">
        <x:v>C</x:v>
      </x:c>
      <x:c r="D148" s="52" t="n">
        <x:v>391</x:v>
      </x:c>
      <x:c r="E148" s="52" t="n">
        <x:v>60</x:v>
      </x:c>
      <x:c r="F148" s="53" t="n">
        <x:f>D148-E148</x:f>
        <x:v>331</x:v>
      </x:c>
      <x:c r="G148" s="52" t="n">
        <x:v>0</x:v>
      </x:c>
      <x:c r="H148" s="40" t="n">
        <x:v>27.95</x:v>
      </x:c>
      <x:c r="I148" s="44" t="n">
        <x:f>D148*H148</x:f>
        <x:v>10928.449999999999</x:v>
      </x:c>
      <x:c r="J148" s="46" t="n">
        <x:v>4.96</x:v>
      </x:c>
      <x:c r="K148" s="47" t="n">
        <x:f>IF(J148=0,999,F148/J148)</x:f>
        <x:v>66.73387096774194</x:v>
      </x:c>
      <x:c r="L148" s="53" t="n">
        <x:v>33</x:v>
      </x:c>
      <x:c r="M148" s="53" t="n">
        <x:f>ROUNDUP(J148*SQRT(L148)*1.65,0)</x:f>
        <x:v>48</x:v>
      </x:c>
      <x:c r="N148" s="53" t="n">
        <x:f>ROUNDUP(J148*L148+M148,0)</x:f>
        <x:v>212</x:v>
      </x:c>
      <x:c r="O148" s="42" t="str">
        <x:f>IF(F148&lt;=0,"Critical",IF(F148&lt;N148,"High",IF(F148&lt;N148*1.5,"Medium","Low")))</x:f>
        <x:v>Low</x:v>
      </x:c>
      <x:c r="P148" s="53" t="n">
        <x:f>MAX(0,F148-(J148*90+M148))</x:f>
        <x:v>0</x:v>
      </x:c>
      <x:c r="Q148" s="44" t="n">
        <x:f>P148*H148</x:f>
        <x:v>0</x:v>
      </x:c>
      <x:c r="R148" s="50" t="n">
        <x:v>46124</x:v>
      </x:c>
      <x:c r="S148" s="53" t="n">
        <x:f>'Assumptions'!$B$13-R148</x:f>
        <x:v>121</x:v>
      </x:c>
      <x:c r="T148" s="42" t="str">
        <x:f>IF(S148&gt;=180,"High",IF(S148&gt;=120,"Medium","Low"))</x:f>
        <x:v>Medium</x:v>
      </x:c>
    </x:row>
    <x:row r="149">
      <x:c r="A149" s="14" t="str">
        <x:v>SKU-0148</x:v>
      </x:c>
      <x:c r="B149" s="14" t="str">
        <x:v>Bearings Item 148</x:v>
      </x:c>
      <x:c r="C149" s="14" t="str">
        <x:v>A</x:v>
      </x:c>
      <x:c r="D149" s="52" t="n">
        <x:v>89</x:v>
      </x:c>
      <x:c r="E149" s="52" t="n">
        <x:v>26</x:v>
      </x:c>
      <x:c r="F149" s="53" t="n">
        <x:f>D149-E149</x:f>
        <x:v>63</x:v>
      </x:c>
      <x:c r="G149" s="52" t="n">
        <x:v>31</x:v>
      </x:c>
      <x:c r="H149" s="40" t="n">
        <x:v>278.48</x:v>
      </x:c>
      <x:c r="I149" s="44" t="n">
        <x:f>D149*H149</x:f>
        <x:v>24784.72</x:v>
      </x:c>
      <x:c r="J149" s="46" t="n">
        <x:v>1.32</x:v>
      </x:c>
      <x:c r="K149" s="47" t="n">
        <x:f>IF(J149=0,999,F149/J149)</x:f>
        <x:v>47.72727272727273</x:v>
      </x:c>
      <x:c r="L149" s="53" t="n">
        <x:v>48</x:v>
      </x:c>
      <x:c r="M149" s="53" t="n">
        <x:f>ROUNDUP(J149*SQRT(L149)*1.65,0)</x:f>
        <x:v>16</x:v>
      </x:c>
      <x:c r="N149" s="53" t="n">
        <x:f>ROUNDUP(J149*L149+M149,0)</x:f>
        <x:v>80</x:v>
      </x:c>
      <x:c r="O149" s="42" t="str">
        <x:f>IF(F149&lt;=0,"Critical",IF(F149&lt;N149,"High",IF(F149&lt;N149*1.5,"Medium","Low")))</x:f>
        <x:v>High</x:v>
      </x:c>
      <x:c r="P149" s="53" t="n">
        <x:f>MAX(0,F149-(J149*90+M149))</x:f>
        <x:v>0</x:v>
      </x:c>
      <x:c r="Q149" s="44" t="n">
        <x:f>P149*H149</x:f>
        <x:v>0</x:v>
      </x:c>
      <x:c r="R149" s="50" t="n">
        <x:v>46174</x:v>
      </x:c>
      <x:c r="S149" s="53" t="n">
        <x:f>'Assumptions'!$B$13-R149</x:f>
        <x:v>71</x:v>
      </x:c>
      <x:c r="T149" s="42" t="str">
        <x:f>IF(S149&gt;=180,"High",IF(S149&gt;=120,"Medium","Low"))</x:f>
        <x:v>Low</x:v>
      </x:c>
    </x:row>
    <x:row r="150">
      <x:c r="A150" s="14" t="str">
        <x:v>SKU-0149</x:v>
      </x:c>
      <x:c r="B150" s="14" t="str">
        <x:v>Cartons Item 149</x:v>
      </x:c>
      <x:c r="C150" s="14" t="str">
        <x:v>C</x:v>
      </x:c>
      <x:c r="D150" s="52" t="n">
        <x:v>741</x:v>
      </x:c>
      <x:c r="E150" s="52" t="n">
        <x:v>154</x:v>
      </x:c>
      <x:c r="F150" s="53" t="n">
        <x:f>D150-E150</x:f>
        <x:v>587</x:v>
      </x:c>
      <x:c r="G150" s="52" t="n">
        <x:v>735</x:v>
      </x:c>
      <x:c r="H150" s="40" t="n">
        <x:v>257.08</x:v>
      </x:c>
      <x:c r="I150" s="44" t="n">
        <x:f>D150*H150</x:f>
        <x:v>190496.28</x:v>
      </x:c>
      <x:c r="J150" s="46" t="n">
        <x:v>13.65</x:v>
      </x:c>
      <x:c r="K150" s="47" t="n">
        <x:f>IF(J150=0,999,F150/J150)</x:f>
        <x:v>43.003663003663</x:v>
      </x:c>
      <x:c r="L150" s="53" t="n">
        <x:v>35</x:v>
      </x:c>
      <x:c r="M150" s="53" t="n">
        <x:f>ROUNDUP(J150*SQRT(L150)*1.65,0)</x:f>
        <x:v>134</x:v>
      </x:c>
      <x:c r="N150" s="53" t="n">
        <x:f>ROUNDUP(J150*L150+M150,0)</x:f>
        <x:v>612</x:v>
      </x:c>
      <x:c r="O150" s="42" t="str">
        <x:f>IF(F150&lt;=0,"Critical",IF(F150&lt;N150,"High",IF(F150&lt;N150*1.5,"Medium","Low")))</x:f>
        <x:v>High</x:v>
      </x:c>
      <x:c r="P150" s="53" t="n">
        <x:f>MAX(0,F150-(J150*90+M150))</x:f>
        <x:v>0</x:v>
      </x:c>
      <x:c r="Q150" s="44" t="n">
        <x:f>P150*H150</x:f>
        <x:v>0</x:v>
      </x:c>
      <x:c r="R150" s="50" t="n">
        <x:v>46096</x:v>
      </x:c>
      <x:c r="S150" s="53" t="n">
        <x:f>'Assumptions'!$B$13-R150</x:f>
        <x:v>149</x:v>
      </x:c>
      <x:c r="T150" s="42" t="str">
        <x:f>IF(S150&gt;=180,"High",IF(S150&gt;=120,"Medium","Low"))</x:f>
        <x:v>Medium</x:v>
      </x:c>
    </x:row>
    <x:row r="151">
      <x:c r="A151" s="14" t="str">
        <x:v>SKU-0150</x:v>
      </x:c>
      <x:c r="B151" s="14" t="str">
        <x:v>Sensors Item 150</x:v>
      </x:c>
      <x:c r="C151" s="14" t="str">
        <x:v>C</x:v>
      </x:c>
      <x:c r="D151" s="52" t="n">
        <x:v>312</x:v>
      </x:c>
      <x:c r="E151" s="52" t="n">
        <x:v>107</x:v>
      </x:c>
      <x:c r="F151" s="53" t="n">
        <x:f>D151-E151</x:f>
        <x:v>205</x:v>
      </x:c>
      <x:c r="G151" s="52" t="n">
        <x:v>0</x:v>
      </x:c>
      <x:c r="H151" s="40" t="n">
        <x:v>62.34</x:v>
      </x:c>
      <x:c r="I151" s="44" t="n">
        <x:f>D151*H151</x:f>
        <x:v>19450.08</x:v>
      </x:c>
      <x:c r="J151" s="46" t="n">
        <x:v>3.78</x:v>
      </x:c>
      <x:c r="K151" s="47" t="n">
        <x:f>IF(J151=0,999,F151/J151)</x:f>
        <x:v>54.232804232804234</x:v>
      </x:c>
      <x:c r="L151" s="53" t="n">
        <x:v>34</x:v>
      </x:c>
      <x:c r="M151" s="53" t="n">
        <x:f>ROUNDUP(J151*SQRT(L151)*1.65,0)</x:f>
        <x:v>37</x:v>
      </x:c>
      <x:c r="N151" s="53" t="n">
        <x:f>ROUNDUP(J151*L151+M151,0)</x:f>
        <x:v>166</x:v>
      </x:c>
      <x:c r="O151" s="42" t="str">
        <x:f>IF(F151&lt;=0,"Critical",IF(F151&lt;N151,"High",IF(F151&lt;N151*1.5,"Medium","Low")))</x:f>
        <x:v>Medium</x:v>
      </x:c>
      <x:c r="P151" s="53" t="n">
        <x:f>MAX(0,F151-(J151*90+M151))</x:f>
        <x:v>0</x:v>
      </x:c>
      <x:c r="Q151" s="44" t="n">
        <x:f>P151*H151</x:f>
        <x:v>0</x:v>
      </x:c>
      <x:c r="R151" s="50" t="n">
        <x:v>46197</x:v>
      </x:c>
      <x:c r="S151" s="53" t="n">
        <x:f>'Assumptions'!$B$13-R151</x:f>
        <x:v>48</x:v>
      </x:c>
      <x:c r="T151" s="42" t="str">
        <x:f>IF(S151&gt;=180,"High",IF(S151&gt;=120,"Medium","Low"))</x:f>
        <x:v>Low</x:v>
      </x:c>
    </x:row>
  </x:sheetData>
  <x:conditionalFormatting sqref="O2:O151">
    <x:cfRule type="expression" dxfId="0" priority="1">
      <x:formula>O2="Critical"</x:formula>
    </x:cfRule>
    <x:cfRule type="expression" dxfId="1" priority="2">
      <x:formula>O2="High"</x:formula>
    </x:cfRule>
  </x:conditionalFormatting>
  <x:conditionalFormatting sqref="T2:T151">
    <x:cfRule type="expression" dxfId="2" priority="3">
      <x:formula>T2="High"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7ea4dfce0b449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18" hidden="0" customWidth="1"/>
    <x:col min="10" max="10" width="14" hidden="0" customWidth="1"/>
    <x:col min="11" max="11" width="12" hidden="0" customWidth="1"/>
    <x:col min="12" max="12" width="16" hidden="0" customWidth="1"/>
    <x:col min="13" max="13" width="16" hidden="0" customWidth="1"/>
  </x:cols>
  <x:sheetData>
    <x:row r="1">
      <x:c r="A1" s="9" t="str">
        <x:v>PO_Number</x:v>
      </x:c>
      <x:c r="B1" s="9" t="str">
        <x:v>PO_Date</x:v>
      </x:c>
      <x:c r="C1" s="9" t="str">
        <x:v>Supplier_ID</x:v>
      </x:c>
      <x:c r="D1" s="9" t="str">
        <x:v>SKU</x:v>
      </x:c>
      <x:c r="E1" s="9" t="str">
        <x:v>Ordered_Units</x:v>
      </x:c>
      <x:c r="F1" s="9" t="str">
        <x:v>Received_Units</x:v>
      </x:c>
      <x:c r="G1" s="9" t="str">
        <x:v>Open_Units</x:v>
      </x:c>
      <x:c r="H1" s="9" t="str">
        <x:v>Unit_Cost_USD</x:v>
      </x:c>
      <x:c r="I1" s="9" t="str">
        <x:v>PO_Value_USD</x:v>
      </x:c>
      <x:c r="J1" s="9" t="str">
        <x:v>Expected_Date</x:v>
      </x:c>
      <x:c r="K1" s="9" t="str">
        <x:v>Status</x:v>
      </x:c>
      <x:c r="L1" s="9" t="str">
        <x:v>Invoice_Status</x:v>
      </x:c>
      <x:c r="M1" s="9" t="str">
        <x:v>Payment_Due_Date</x:v>
      </x:c>
    </x:row>
    <x:row r="2">
      <x:c r="A2" s="14" t="str">
        <x:v>PO-26-0001</x:v>
      </x:c>
      <x:c r="B2" s="50" t="n">
        <x:v>46140</x:v>
      </x:c>
      <x:c r="C2" s="14" t="str">
        <x:v>SUP-007</x:v>
      </x:c>
      <x:c r="D2" s="14" t="str">
        <x:v>SKU-0035</x:v>
      </x:c>
      <x:c r="E2" s="52" t="n">
        <x:v>25</x:v>
      </x:c>
      <x:c r="F2" s="52" t="n">
        <x:v>6</x:v>
      </x:c>
      <x:c r="G2" s="53" t="n">
        <x:f>E2-F2</x:f>
        <x:v>19</x:v>
      </x:c>
      <x:c r="H2" s="40" t="n">
        <x:v>170.72</x:v>
      </x:c>
      <x:c r="I2" s="44" t="n">
        <x:f>E2*H2</x:f>
        <x:v>4268</x:v>
      </x:c>
      <x:c r="J2" s="50" t="n">
        <x:v>46162</x:v>
      </x:c>
      <x:c r="K2" s="14" t="str">
        <x:v>Partial</x:v>
      </x:c>
      <x:c r="L2" s="14" t="str">
        <x:v>Received</x:v>
      </x:c>
      <x:c r="M2" s="50" t="n">
        <x:v>46170</x:v>
      </x:c>
    </x:row>
    <x:row r="3">
      <x:c r="A3" s="14" t="str">
        <x:v>PO-26-0002</x:v>
      </x:c>
      <x:c r="B3" s="50" t="n">
        <x:v>46182</x:v>
      </x:c>
      <x:c r="C3" s="14" t="str">
        <x:v>SUP-003</x:v>
      </x:c>
      <x:c r="D3" s="14" t="str">
        <x:v>SKU-0083</x:v>
      </x:c>
      <x:c r="E3" s="52" t="n">
        <x:v>300</x:v>
      </x:c>
      <x:c r="F3" s="52" t="n">
        <x:v>300</x:v>
      </x:c>
      <x:c r="G3" s="53" t="n">
        <x:f>E3-F3</x:f>
        <x:v>0</x:v>
      </x:c>
      <x:c r="H3" s="40" t="n">
        <x:v>126.42</x:v>
      </x:c>
      <x:c r="I3" s="44" t="n">
        <x:f>E3*H3</x:f>
        <x:v>37926</x:v>
      </x:c>
      <x:c r="J3" s="50" t="n">
        <x:v>46221</x:v>
      </x:c>
      <x:c r="K3" s="14" t="str">
        <x:v>Closed</x:v>
      </x:c>
      <x:c r="L3" s="14" t="str">
        <x:v>Paid</x:v>
      </x:c>
      <x:c r="M3" s="50" t="n">
        <x:v>46227</x:v>
      </x:c>
    </x:row>
    <x:row r="4">
      <x:c r="A4" s="14" t="str">
        <x:v>PO-26-0003</x:v>
      </x:c>
      <x:c r="B4" s="50" t="n">
        <x:v>46226</x:v>
      </x:c>
      <x:c r="C4" s="14" t="str">
        <x:v>SUP-011</x:v>
      </x:c>
      <x:c r="D4" s="14" t="str">
        <x:v>SKU-0116</x:v>
      </x:c>
      <x:c r="E4" s="52" t="n">
        <x:v>50</x:v>
      </x:c>
      <x:c r="F4" s="52" t="n">
        <x:v>50</x:v>
      </x:c>
      <x:c r="G4" s="53" t="n">
        <x:f>E4-F4</x:f>
        <x:v>0</x:v>
      </x:c>
      <x:c r="H4" s="40" t="n">
        <x:v>36.42</x:v>
      </x:c>
      <x:c r="I4" s="44" t="n">
        <x:f>E4*H4</x:f>
        <x:v>1821</x:v>
      </x:c>
      <x:c r="J4" s="50" t="n">
        <x:v>46239</x:v>
      </x:c>
      <x:c r="K4" s="14" t="str">
        <x:v>Closed</x:v>
      </x:c>
      <x:c r="L4" s="14" t="str">
        <x:v>Paid</x:v>
      </x:c>
      <x:c r="M4" s="50" t="n">
        <x:v>46271</x:v>
      </x:c>
    </x:row>
    <x:row r="5">
      <x:c r="A5" s="14" t="str">
        <x:v>PO-26-0004</x:v>
      </x:c>
      <x:c r="B5" s="50" t="n">
        <x:v>46162</x:v>
      </x:c>
      <x:c r="C5" s="14" t="str">
        <x:v>SUP-003</x:v>
      </x:c>
      <x:c r="D5" s="14" t="str">
        <x:v>SKU-0125</x:v>
      </x:c>
      <x:c r="E5" s="52" t="n">
        <x:v>1000</x:v>
      </x:c>
      <x:c r="F5" s="52" t="n">
        <x:v>1000</x:v>
      </x:c>
      <x:c r="G5" s="53" t="n">
        <x:f>E5-F5</x:f>
        <x:v>0</x:v>
      </x:c>
      <x:c r="H5" s="40" t="n">
        <x:v>38.35</x:v>
      </x:c>
      <x:c r="I5" s="44" t="n">
        <x:f>E5*H5</x:f>
        <x:v>38350</x:v>
      </x:c>
      <x:c r="J5" s="50" t="n">
        <x:v>46217</x:v>
      </x:c>
      <x:c r="K5" s="14" t="str">
        <x:v>Closed</x:v>
      </x:c>
      <x:c r="L5" s="14" t="str">
        <x:v>Paid</x:v>
      </x:c>
      <x:c r="M5" s="50" t="n">
        <x:v>46222</x:v>
      </x:c>
    </x:row>
    <x:row r="6">
      <x:c r="A6" s="14" t="str">
        <x:v>PO-26-0005</x:v>
      </x:c>
      <x:c r="B6" s="50" t="n">
        <x:v>46229</x:v>
      </x:c>
      <x:c r="C6" s="14" t="str">
        <x:v>SUP-002</x:v>
      </x:c>
      <x:c r="D6" s="14" t="str">
        <x:v>SKU-0092</x:v>
      </x:c>
      <x:c r="E6" s="52" t="n">
        <x:v>750</x:v>
      </x:c>
      <x:c r="F6" s="52" t="n">
        <x:v>750</x:v>
      </x:c>
      <x:c r="G6" s="53" t="n">
        <x:f>E6-F6</x:f>
        <x:v>0</x:v>
      </x:c>
      <x:c r="H6" s="40" t="n">
        <x:v>125.08</x:v>
      </x:c>
      <x:c r="I6" s="44" t="n">
        <x:f>E6*H6</x:f>
        <x:v>93810</x:v>
      </x:c>
      <x:c r="J6" s="50" t="n">
        <x:v>46288</x:v>
      </x:c>
      <x:c r="K6" s="14" t="str">
        <x:v>Closed</x:v>
      </x:c>
      <x:c r="L6" s="14" t="str">
        <x:v>Approved</x:v>
      </x:c>
      <x:c r="M6" s="50" t="n">
        <x:v>46274</x:v>
      </x:c>
    </x:row>
    <x:row r="7">
      <x:c r="A7" s="14" t="str">
        <x:v>PO-26-0006</x:v>
      </x:c>
      <x:c r="B7" s="50" t="n">
        <x:v>46163</x:v>
      </x:c>
      <x:c r="C7" s="14" t="str">
        <x:v>SUP-010</x:v>
      </x:c>
      <x:c r="D7" s="14" t="str">
        <x:v>SKU-0069</x:v>
      </x:c>
      <x:c r="E7" s="52" t="n">
        <x:v>150</x:v>
      </x:c>
      <x:c r="F7" s="52" t="n">
        <x:v>150</x:v>
      </x:c>
      <x:c r="G7" s="53" t="n">
        <x:f>E7-F7</x:f>
        <x:v>0</x:v>
      </x:c>
      <x:c r="H7" s="40" t="n">
        <x:v>277.23</x:v>
      </x:c>
      <x:c r="I7" s="44" t="n">
        <x:f>E7*H7</x:f>
        <x:v>41584.5</x:v>
      </x:c>
      <x:c r="J7" s="50" t="n">
        <x:v>46175</x:v>
      </x:c>
      <x:c r="K7" s="14" t="str">
        <x:v>Closed</x:v>
      </x:c>
      <x:c r="L7" s="14" t="str">
        <x:v>Paid</x:v>
      </x:c>
      <x:c r="M7" s="50" t="n">
        <x:v>46208</x:v>
      </x:c>
    </x:row>
    <x:row r="8">
      <x:c r="A8" s="14" t="str">
        <x:v>PO-26-0007</x:v>
      </x:c>
      <x:c r="B8" s="50" t="n">
        <x:v>46234</x:v>
      </x:c>
      <x:c r="C8" s="14" t="str">
        <x:v>SUP-001</x:v>
      </x:c>
      <x:c r="D8" s="14" t="str">
        <x:v>SKU-0013</x:v>
      </x:c>
      <x:c r="E8" s="52" t="n">
        <x:v>50</x:v>
      </x:c>
      <x:c r="F8" s="52" t="n">
        <x:v>37</x:v>
      </x:c>
      <x:c r="G8" s="53" t="n">
        <x:f>E8-F8</x:f>
        <x:v>13</x:v>
      </x:c>
      <x:c r="H8" s="40" t="n">
        <x:v>22.2</x:v>
      </x:c>
      <x:c r="I8" s="44" t="n">
        <x:f>E8*H8</x:f>
        <x:v>1110</x:v>
      </x:c>
      <x:c r="J8" s="50" t="n">
        <x:v>46240</x:v>
      </x:c>
      <x:c r="K8" s="14" t="str">
        <x:v>Partial</x:v>
      </x:c>
      <x:c r="L8" s="14" t="str">
        <x:v>Not Received</x:v>
      </x:c>
      <x:c r="M8" s="50" t="n">
        <x:v>46264</x:v>
      </x:c>
    </x:row>
    <x:row r="9">
      <x:c r="A9" s="14" t="str">
        <x:v>PO-26-0008</x:v>
      </x:c>
      <x:c r="B9" s="50" t="n">
        <x:v>46129</x:v>
      </x:c>
      <x:c r="C9" s="14" t="str">
        <x:v>SUP-002</x:v>
      </x:c>
      <x:c r="D9" s="14" t="str">
        <x:v>SKU-0113</x:v>
      </x:c>
      <x:c r="E9" s="52" t="n">
        <x:v>25</x:v>
      </x:c>
      <x:c r="F9" s="52" t="n">
        <x:v>18</x:v>
      </x:c>
      <x:c r="G9" s="53" t="n">
        <x:f>E9-F9</x:f>
        <x:v>7</x:v>
      </x:c>
      <x:c r="H9" s="40" t="n">
        <x:v>222.58</x:v>
      </x:c>
      <x:c r="I9" s="44" t="n">
        <x:f>E9*H9</x:f>
        <x:v>5564.5</x:v>
      </x:c>
      <x:c r="J9" s="50" t="n">
        <x:v>46150</x:v>
      </x:c>
      <x:c r="K9" s="14" t="str">
        <x:v>Partial</x:v>
      </x:c>
      <x:c r="L9" s="14" t="str">
        <x:v>Received</x:v>
      </x:c>
      <x:c r="M9" s="50" t="n">
        <x:v>46189</x:v>
      </x:c>
    </x:row>
    <x:row r="10">
      <x:c r="A10" s="14" t="str">
        <x:v>PO-26-0009</x:v>
      </x:c>
      <x:c r="B10" s="50" t="n">
        <x:v>46205</x:v>
      </x:c>
      <x:c r="C10" s="14" t="str">
        <x:v>SUP-007</x:v>
      </x:c>
      <x:c r="D10" s="14" t="str">
        <x:v>SKU-0078</x:v>
      </x:c>
      <x:c r="E10" s="52" t="n">
        <x:v>150</x:v>
      </x:c>
      <x:c r="F10" s="52" t="n">
        <x:v>150</x:v>
      </x:c>
      <x:c r="G10" s="53" t="n">
        <x:f>E10-F10</x:f>
        <x:v>0</x:v>
      </x:c>
      <x:c r="H10" s="40" t="n">
        <x:v>17.54</x:v>
      </x:c>
      <x:c r="I10" s="44" t="n">
        <x:f>E10*H10</x:f>
        <x:v>2631</x:v>
      </x:c>
      <x:c r="J10" s="50" t="n">
        <x:v>46246</x:v>
      </x:c>
      <x:c r="K10" s="14" t="str">
        <x:v>Closed</x:v>
      </x:c>
      <x:c r="L10" s="14" t="str">
        <x:v>Paid</x:v>
      </x:c>
      <x:c r="M10" s="50" t="n">
        <x:v>46235</x:v>
      </x:c>
    </x:row>
    <x:row r="11">
      <x:c r="A11" s="14" t="str">
        <x:v>PO-26-0010</x:v>
      </x:c>
      <x:c r="B11" s="50" t="n">
        <x:v>46203</x:v>
      </x:c>
      <x:c r="C11" s="14" t="str">
        <x:v>SUP-011</x:v>
      </x:c>
      <x:c r="D11" s="14" t="str">
        <x:v>SKU-0096</x:v>
      </x:c>
      <x:c r="E11" s="52" t="n">
        <x:v>25</x:v>
      </x:c>
      <x:c r="F11" s="52" t="n">
        <x:v>25</x:v>
      </x:c>
      <x:c r="G11" s="53" t="n">
        <x:f>E11-F11</x:f>
        <x:v>0</x:v>
      </x:c>
      <x:c r="H11" s="40" t="n">
        <x:v>29.46</x:v>
      </x:c>
      <x:c r="I11" s="44" t="n">
        <x:f>E11*H11</x:f>
        <x:v>736.5</x:v>
      </x:c>
      <x:c r="J11" s="50" t="n">
        <x:v>46251</x:v>
      </x:c>
      <x:c r="K11" s="14" t="str">
        <x:v>Closed</x:v>
      </x:c>
      <x:c r="L11" s="14" t="str">
        <x:v>Approved</x:v>
      </x:c>
      <x:c r="M11" s="50" t="n">
        <x:v>46248</x:v>
      </x:c>
    </x:row>
    <x:row r="12">
      <x:c r="A12" s="14" t="str">
        <x:v>PO-26-0011</x:v>
      </x:c>
      <x:c r="B12" s="50" t="n">
        <x:v>46221</x:v>
      </x:c>
      <x:c r="C12" s="14" t="str">
        <x:v>SUP-002</x:v>
      </x:c>
      <x:c r="D12" s="14" t="str">
        <x:v>SKU-0024</x:v>
      </x:c>
      <x:c r="E12" s="52" t="n">
        <x:v>25</x:v>
      </x:c>
      <x:c r="F12" s="52" t="n">
        <x:v>25</x:v>
      </x:c>
      <x:c r="G12" s="53" t="n">
        <x:f>E12-F12</x:f>
        <x:v>0</x:v>
      </x:c>
      <x:c r="H12" s="40" t="n">
        <x:v>151.69</x:v>
      </x:c>
      <x:c r="I12" s="44" t="n">
        <x:f>E12*H12</x:f>
        <x:v>3792.25</x:v>
      </x:c>
      <x:c r="J12" s="50" t="n">
        <x:v>46240</x:v>
      </x:c>
      <x:c r="K12" s="14" t="str">
        <x:v>Closed</x:v>
      </x:c>
      <x:c r="L12" s="14" t="str">
        <x:v>Approved</x:v>
      </x:c>
      <x:c r="M12" s="50" t="n">
        <x:v>46281</x:v>
      </x:c>
    </x:row>
    <x:row r="13">
      <x:c r="A13" s="14" t="str">
        <x:v>PO-26-0012</x:v>
      </x:c>
      <x:c r="B13" s="50" t="n">
        <x:v>46113</x:v>
      </x:c>
      <x:c r="C13" s="14" t="str">
        <x:v>SUP-010</x:v>
      </x:c>
      <x:c r="D13" s="14" t="str">
        <x:v>SKU-0058</x:v>
      </x:c>
      <x:c r="E13" s="52" t="n">
        <x:v>500</x:v>
      </x:c>
      <x:c r="F13" s="52" t="n">
        <x:v>500</x:v>
      </x:c>
      <x:c r="G13" s="53" t="n">
        <x:f>E13-F13</x:f>
        <x:v>0</x:v>
      </x:c>
      <x:c r="H13" s="40" t="n">
        <x:v>226.78</x:v>
      </x:c>
      <x:c r="I13" s="44" t="n">
        <x:f>E13*H13</x:f>
        <x:v>113390</x:v>
      </x:c>
      <x:c r="J13" s="50" t="n">
        <x:v>46162</x:v>
      </x:c>
      <x:c r="K13" s="14" t="str">
        <x:v>Closed</x:v>
      </x:c>
      <x:c r="L13" s="14" t="str">
        <x:v>Approved</x:v>
      </x:c>
      <x:c r="M13" s="50" t="n">
        <x:v>46158</x:v>
      </x:c>
    </x:row>
    <x:row r="14">
      <x:c r="A14" s="14" t="str">
        <x:v>PO-26-0013</x:v>
      </x:c>
      <x:c r="B14" s="50" t="n">
        <x:v>46123</x:v>
      </x:c>
      <x:c r="C14" s="14" t="str">
        <x:v>SUP-001</x:v>
      </x:c>
      <x:c r="D14" s="14" t="str">
        <x:v>SKU-0034</x:v>
      </x:c>
      <x:c r="E14" s="52" t="n">
        <x:v>50</x:v>
      </x:c>
      <x:c r="F14" s="52" t="n">
        <x:v>50</x:v>
      </x:c>
      <x:c r="G14" s="53" t="n">
        <x:f>E14-F14</x:f>
        <x:v>0</x:v>
      </x:c>
      <x:c r="H14" s="40" t="n">
        <x:v>34.51</x:v>
      </x:c>
      <x:c r="I14" s="44" t="n">
        <x:f>E14*H14</x:f>
        <x:v>1725.5</x:v>
      </x:c>
      <x:c r="J14" s="50" t="n">
        <x:v>46133</x:v>
      </x:c>
      <x:c r="K14" s="14" t="str">
        <x:v>Closed</x:v>
      </x:c>
      <x:c r="L14" s="14" t="str">
        <x:v>Approved</x:v>
      </x:c>
      <x:c r="M14" s="50" t="n">
        <x:v>46153</x:v>
      </x:c>
    </x:row>
    <x:row r="15">
      <x:c r="A15" s="14" t="str">
        <x:v>PO-26-0014</x:v>
      </x:c>
      <x:c r="B15" s="50" t="n">
        <x:v>46151</x:v>
      </x:c>
      <x:c r="C15" s="14" t="str">
        <x:v>SUP-009</x:v>
      </x:c>
      <x:c r="D15" s="14" t="str">
        <x:v>SKU-0081</x:v>
      </x:c>
      <x:c r="E15" s="52" t="n">
        <x:v>150</x:v>
      </x:c>
      <x:c r="F15" s="52" t="n">
        <x:v>150</x:v>
      </x:c>
      <x:c r="G15" s="53" t="n">
        <x:f>E15-F15</x:f>
        <x:v>0</x:v>
      </x:c>
      <x:c r="H15" s="40" t="n">
        <x:v>198.25</x:v>
      </x:c>
      <x:c r="I15" s="44" t="n">
        <x:f>E15*H15</x:f>
        <x:v>29737.5</x:v>
      </x:c>
      <x:c r="J15" s="50" t="n">
        <x:v>46186</x:v>
      </x:c>
      <x:c r="K15" s="14" t="str">
        <x:v>Closed</x:v>
      </x:c>
      <x:c r="L15" s="14" t="str">
        <x:v>Approved</x:v>
      </x:c>
      <x:c r="M15" s="50" t="n">
        <x:v>46181</x:v>
      </x:c>
    </x:row>
    <x:row r="16">
      <x:c r="A16" s="14" t="str">
        <x:v>PO-26-0015</x:v>
      </x:c>
      <x:c r="B16" s="50" t="n">
        <x:v>46243</x:v>
      </x:c>
      <x:c r="C16" s="14" t="str">
        <x:v>SUP-006</x:v>
      </x:c>
      <x:c r="D16" s="14" t="str">
        <x:v>SKU-0136</x:v>
      </x:c>
      <x:c r="E16" s="52" t="n">
        <x:v>1000</x:v>
      </x:c>
      <x:c r="F16" s="52" t="n">
        <x:v>750</x:v>
      </x:c>
      <x:c r="G16" s="53" t="n">
        <x:f>E16-F16</x:f>
        <x:v>250</x:v>
      </x:c>
      <x:c r="H16" s="40" t="n">
        <x:v>105.97</x:v>
      </x:c>
      <x:c r="I16" s="44" t="n">
        <x:f>E16*H16</x:f>
        <x:v>105970</x:v>
      </x:c>
      <x:c r="J16" s="50" t="n">
        <x:v>46294</x:v>
      </x:c>
      <x:c r="K16" s="14" t="str">
        <x:v>Partial</x:v>
      </x:c>
      <x:c r="L16" s="14" t="str">
        <x:v>Received</x:v>
      </x:c>
      <x:c r="M16" s="50" t="n">
        <x:v>46303</x:v>
      </x:c>
    </x:row>
    <x:row r="17">
      <x:c r="A17" s="14" t="str">
        <x:v>PO-26-0016</x:v>
      </x:c>
      <x:c r="B17" s="50" t="n">
        <x:v>46140</x:v>
      </x:c>
      <x:c r="C17" s="14" t="str">
        <x:v>SUP-008</x:v>
      </x:c>
      <x:c r="D17" s="14" t="str">
        <x:v>SKU-0039</x:v>
      </x:c>
      <x:c r="E17" s="52" t="n">
        <x:v>1000</x:v>
      </x:c>
      <x:c r="F17" s="52" t="n">
        <x:v>250</x:v>
      </x:c>
      <x:c r="G17" s="53" t="n">
        <x:f>E17-F17</x:f>
        <x:v>750</x:v>
      </x:c>
      <x:c r="H17" s="40" t="n">
        <x:v>125.1</x:v>
      </x:c>
      <x:c r="I17" s="44" t="n">
        <x:f>E17*H17</x:f>
        <x:v>125100</x:v>
      </x:c>
      <x:c r="J17" s="50" t="n">
        <x:v>46186</x:v>
      </x:c>
      <x:c r="K17" s="14" t="str">
        <x:v>Partial</x:v>
      </x:c>
      <x:c r="L17" s="14" t="str">
        <x:v>Not Received</x:v>
      </x:c>
      <x:c r="M17" s="50" t="n">
        <x:v>46170</x:v>
      </x:c>
    </x:row>
    <x:row r="18">
      <x:c r="A18" s="14" t="str">
        <x:v>PO-26-0017</x:v>
      </x:c>
      <x:c r="B18" s="50" t="n">
        <x:v>46147</x:v>
      </x:c>
      <x:c r="C18" s="14" t="str">
        <x:v>SUP-003</x:v>
      </x:c>
      <x:c r="D18" s="14" t="str">
        <x:v>SKU-0032</x:v>
      </x:c>
      <x:c r="E18" s="52" t="n">
        <x:v>200</x:v>
      </x:c>
      <x:c r="F18" s="52" t="n">
        <x:v>100</x:v>
      </x:c>
      <x:c r="G18" s="53" t="n">
        <x:f>E18-F18</x:f>
        <x:v>100</x:v>
      </x:c>
      <x:c r="H18" s="40" t="n">
        <x:v>221</x:v>
      </x:c>
      <x:c r="I18" s="44" t="n">
        <x:f>E18*H18</x:f>
        <x:v>44200</x:v>
      </x:c>
      <x:c r="J18" s="50" t="n">
        <x:v>46165</x:v>
      </x:c>
      <x:c r="K18" s="14" t="str">
        <x:v>Partial</x:v>
      </x:c>
      <x:c r="L18" s="14" t="str">
        <x:v>Received</x:v>
      </x:c>
      <x:c r="M18" s="50" t="n">
        <x:v>46192</x:v>
      </x:c>
    </x:row>
    <x:row r="19">
      <x:c r="A19" s="14" t="str">
        <x:v>PO-26-0018</x:v>
      </x:c>
      <x:c r="B19" s="50" t="n">
        <x:v>46182</x:v>
      </x:c>
      <x:c r="C19" s="14" t="str">
        <x:v>SUP-010</x:v>
      </x:c>
      <x:c r="D19" s="14" t="str">
        <x:v>SKU-0022</x:v>
      </x:c>
      <x:c r="E19" s="52" t="n">
        <x:v>750</x:v>
      </x:c>
      <x:c r="F19" s="52" t="n">
        <x:v>375</x:v>
      </x:c>
      <x:c r="G19" s="53" t="n">
        <x:f>E19-F19</x:f>
        <x:v>375</x:v>
      </x:c>
      <x:c r="H19" s="40" t="n">
        <x:v>167.48</x:v>
      </x:c>
      <x:c r="I19" s="44" t="n">
        <x:f>E19*H19</x:f>
        <x:v>125609.99999999999</x:v>
      </x:c>
      <x:c r="J19" s="50" t="n">
        <x:v>46217</x:v>
      </x:c>
      <x:c r="K19" s="14" t="str">
        <x:v>Partial</x:v>
      </x:c>
      <x:c r="L19" s="14" t="str">
        <x:v>Approved</x:v>
      </x:c>
      <x:c r="M19" s="50" t="n">
        <x:v>46212</x:v>
      </x:c>
    </x:row>
    <x:row r="20">
      <x:c r="A20" s="14" t="str">
        <x:v>PO-26-0019</x:v>
      </x:c>
      <x:c r="B20" s="50" t="n">
        <x:v>46115</x:v>
      </x:c>
      <x:c r="C20" s="14" t="str">
        <x:v>SUP-006</x:v>
      </x:c>
      <x:c r="D20" s="14" t="str">
        <x:v>SKU-0133</x:v>
      </x:c>
      <x:c r="E20" s="52" t="n">
        <x:v>100</x:v>
      </x:c>
      <x:c r="F20" s="52" t="n">
        <x:v>50</x:v>
      </x:c>
      <x:c r="G20" s="53" t="n">
        <x:f>E20-F20</x:f>
        <x:v>50</x:v>
      </x:c>
      <x:c r="H20" s="40" t="n">
        <x:v>233.3</x:v>
      </x:c>
      <x:c r="I20" s="44" t="n">
        <x:f>E20*H20</x:f>
        <x:v>23330</x:v>
      </x:c>
      <x:c r="J20" s="50" t="n">
        <x:v>46156</x:v>
      </x:c>
      <x:c r="K20" s="14" t="str">
        <x:v>Partial</x:v>
      </x:c>
      <x:c r="L20" s="14" t="str">
        <x:v>Received</x:v>
      </x:c>
      <x:c r="M20" s="50" t="n">
        <x:v>46160</x:v>
      </x:c>
    </x:row>
    <x:row r="21">
      <x:c r="A21" s="14" t="str">
        <x:v>PO-26-0020</x:v>
      </x:c>
      <x:c r="B21" s="50" t="n">
        <x:v>46217</x:v>
      </x:c>
      <x:c r="C21" s="14" t="str">
        <x:v>SUP-009</x:v>
      </x:c>
      <x:c r="D21" s="14" t="str">
        <x:v>SKU-0099</x:v>
      </x:c>
      <x:c r="E21" s="52" t="n">
        <x:v>100</x:v>
      </x:c>
      <x:c r="F21" s="52" t="n">
        <x:v>100</x:v>
      </x:c>
      <x:c r="G21" s="53" t="n">
        <x:f>E21-F21</x:f>
        <x:v>0</x:v>
      </x:c>
      <x:c r="H21" s="40" t="n">
        <x:v>104</x:v>
      </x:c>
      <x:c r="I21" s="44" t="n">
        <x:f>E21*H21</x:f>
        <x:v>10400</x:v>
      </x:c>
      <x:c r="J21" s="50" t="n">
        <x:v>46250</x:v>
      </x:c>
      <x:c r="K21" s="14" t="str">
        <x:v>Closed</x:v>
      </x:c>
      <x:c r="L21" s="14" t="str">
        <x:v>Approved</x:v>
      </x:c>
      <x:c r="M21" s="50" t="n">
        <x:v>46262</x:v>
      </x:c>
    </x:row>
    <x:row r="22">
      <x:c r="A22" s="14" t="str">
        <x:v>PO-26-0021</x:v>
      </x:c>
      <x:c r="B22" s="50" t="n">
        <x:v>46212</x:v>
      </x:c>
      <x:c r="C22" s="14" t="str">
        <x:v>SUP-002</x:v>
      </x:c>
      <x:c r="D22" s="14" t="str">
        <x:v>SKU-0082</x:v>
      </x:c>
      <x:c r="E22" s="52" t="n">
        <x:v>300</x:v>
      </x:c>
      <x:c r="F22" s="52" t="n">
        <x:v>225</x:v>
      </x:c>
      <x:c r="G22" s="53" t="n">
        <x:f>E22-F22</x:f>
        <x:v>75</x:v>
      </x:c>
      <x:c r="H22" s="40" t="n">
        <x:v>79.16</x:v>
      </x:c>
      <x:c r="I22" s="44" t="n">
        <x:f>E22*H22</x:f>
        <x:v>23748</x:v>
      </x:c>
      <x:c r="J22" s="50" t="n">
        <x:v>46277</x:v>
      </x:c>
      <x:c r="K22" s="14" t="str">
        <x:v>Partial</x:v>
      </x:c>
      <x:c r="L22" s="14" t="str">
        <x:v>Received</x:v>
      </x:c>
      <x:c r="M22" s="50" t="n">
        <x:v>46257</x:v>
      </x:c>
    </x:row>
    <x:row r="23">
      <x:c r="A23" s="14" t="str">
        <x:v>PO-26-0022</x:v>
      </x:c>
      <x:c r="B23" s="50" t="n">
        <x:v>46241</x:v>
      </x:c>
      <x:c r="C23" s="14" t="str">
        <x:v>SUP-008</x:v>
      </x:c>
      <x:c r="D23" s="14" t="str">
        <x:v>SKU-0019</x:v>
      </x:c>
      <x:c r="E23" s="52" t="n">
        <x:v>1000</x:v>
      </x:c>
      <x:c r="F23" s="52" t="n">
        <x:v>1000</x:v>
      </x:c>
      <x:c r="G23" s="53" t="n">
        <x:f>E23-F23</x:f>
        <x:v>0</x:v>
      </x:c>
      <x:c r="H23" s="40" t="n">
        <x:v>81.66</x:v>
      </x:c>
      <x:c r="I23" s="44" t="n">
        <x:f>E23*H23</x:f>
        <x:v>81660</x:v>
      </x:c>
      <x:c r="J23" s="50" t="n">
        <x:v>46296</x:v>
      </x:c>
      <x:c r="K23" s="14" t="str">
        <x:v>Closed</x:v>
      </x:c>
      <x:c r="L23" s="14" t="str">
        <x:v>Approved</x:v>
      </x:c>
      <x:c r="M23" s="50" t="n">
        <x:v>46271</x:v>
      </x:c>
    </x:row>
    <x:row r="24">
      <x:c r="A24" s="14" t="str">
        <x:v>PO-26-0023</x:v>
      </x:c>
      <x:c r="B24" s="50" t="n">
        <x:v>46144</x:v>
      </x:c>
      <x:c r="C24" s="14" t="str">
        <x:v>SUP-007</x:v>
      </x:c>
      <x:c r="D24" s="14" t="str">
        <x:v>SKU-0016</x:v>
      </x:c>
      <x:c r="E24" s="52" t="n">
        <x:v>750</x:v>
      </x:c>
      <x:c r="F24" s="52" t="n">
        <x:v>750</x:v>
      </x:c>
      <x:c r="G24" s="53" t="n">
        <x:f>E24-F24</x:f>
        <x:v>0</x:v>
      </x:c>
      <x:c r="H24" s="40" t="n">
        <x:v>204.58</x:v>
      </x:c>
      <x:c r="I24" s="44" t="n">
        <x:f>E24*H24</x:f>
        <x:v>153435</x:v>
      </x:c>
      <x:c r="J24" s="50" t="n">
        <x:v>46196</x:v>
      </x:c>
      <x:c r="K24" s="14" t="str">
        <x:v>Closed</x:v>
      </x:c>
      <x:c r="L24" s="14" t="str">
        <x:v>Paid</x:v>
      </x:c>
      <x:c r="M24" s="50" t="n">
        <x:v>46189</x:v>
      </x:c>
    </x:row>
    <x:row r="25">
      <x:c r="A25" s="14" t="str">
        <x:v>PO-26-0024</x:v>
      </x:c>
      <x:c r="B25" s="50" t="n">
        <x:v>46224</x:v>
      </x:c>
      <x:c r="C25" s="14" t="str">
        <x:v>SUP-010</x:v>
      </x:c>
      <x:c r="D25" s="14" t="str">
        <x:v>SKU-0103</x:v>
      </x:c>
      <x:c r="E25" s="52" t="n">
        <x:v>750</x:v>
      </x:c>
      <x:c r="F25" s="52" t="n">
        <x:v>750</x:v>
      </x:c>
      <x:c r="G25" s="53" t="n">
        <x:f>E25-F25</x:f>
        <x:v>0</x:v>
      </x:c>
      <x:c r="H25" s="40" t="n">
        <x:v>208.48</x:v>
      </x:c>
      <x:c r="I25" s="44" t="n">
        <x:f>E25*H25</x:f>
        <x:v>156360</x:v>
      </x:c>
      <x:c r="J25" s="50" t="n">
        <x:v>46269</x:v>
      </x:c>
      <x:c r="K25" s="14" t="str">
        <x:v>Closed</x:v>
      </x:c>
      <x:c r="L25" s="14" t="str">
        <x:v>Paid</x:v>
      </x:c>
      <x:c r="M25" s="50" t="n">
        <x:v>46254</x:v>
      </x:c>
    </x:row>
    <x:row r="26">
      <x:c r="A26" s="14" t="str">
        <x:v>PO-26-0025</x:v>
      </x:c>
      <x:c r="B26" s="50" t="n">
        <x:v>46225</x:v>
      </x:c>
      <x:c r="C26" s="14" t="str">
        <x:v>SUP-009</x:v>
      </x:c>
      <x:c r="D26" s="14" t="str">
        <x:v>SKU-0080</x:v>
      </x:c>
      <x:c r="E26" s="52" t="n">
        <x:v>750</x:v>
      </x:c>
      <x:c r="F26" s="52" t="n">
        <x:v>187</x:v>
      </x:c>
      <x:c r="G26" s="53" t="n">
        <x:f>E26-F26</x:f>
        <x:v>563</x:v>
      </x:c>
      <x:c r="H26" s="40" t="n">
        <x:v>115.72</x:v>
      </x:c>
      <x:c r="I26" s="44" t="n">
        <x:f>E26*H26</x:f>
        <x:v>86790</x:v>
      </x:c>
      <x:c r="J26" s="50" t="n">
        <x:v>46251</x:v>
      </x:c>
      <x:c r="K26" s="14" t="str">
        <x:v>Partial</x:v>
      </x:c>
      <x:c r="L26" s="14" t="str">
        <x:v>Approved</x:v>
      </x:c>
      <x:c r="M26" s="50" t="n">
        <x:v>46270</x:v>
      </x:c>
    </x:row>
    <x:row r="27">
      <x:c r="A27" s="14" t="str">
        <x:v>PO-26-0026</x:v>
      </x:c>
      <x:c r="B27" s="50" t="n">
        <x:v>46166</x:v>
      </x:c>
      <x:c r="C27" s="14" t="str">
        <x:v>SUP-008</x:v>
      </x:c>
      <x:c r="D27" s="14" t="str">
        <x:v>SKU-0017</x:v>
      </x:c>
      <x:c r="E27" s="52" t="n">
        <x:v>300</x:v>
      </x:c>
      <x:c r="F27" s="52" t="n">
        <x:v>75</x:v>
      </x:c>
      <x:c r="G27" s="53" t="n">
        <x:f>E27-F27</x:f>
        <x:v>225</x:v>
      </x:c>
      <x:c r="H27" s="40" t="n">
        <x:v>71.82</x:v>
      </x:c>
      <x:c r="I27" s="44" t="n">
        <x:f>E27*H27</x:f>
        <x:v>21545.999999999996</x:v>
      </x:c>
      <x:c r="J27" s="50" t="n">
        <x:v>46172</x:v>
      </x:c>
      <x:c r="K27" s="14" t="str">
        <x:v>Partial</x:v>
      </x:c>
      <x:c r="L27" s="14" t="str">
        <x:v>Received</x:v>
      </x:c>
      <x:c r="M27" s="50" t="n">
        <x:v>46196</x:v>
      </x:c>
    </x:row>
    <x:row r="28">
      <x:c r="A28" s="14" t="str">
        <x:v>PO-26-0027</x:v>
      </x:c>
      <x:c r="B28" s="50" t="n">
        <x:v>46216</x:v>
      </x:c>
      <x:c r="C28" s="14" t="str">
        <x:v>SUP-005</x:v>
      </x:c>
      <x:c r="D28" s="14" t="str">
        <x:v>SKU-0112</x:v>
      </x:c>
      <x:c r="E28" s="52" t="n">
        <x:v>500</x:v>
      </x:c>
      <x:c r="F28" s="52" t="n">
        <x:v>0</x:v>
      </x:c>
      <x:c r="G28" s="53" t="n">
        <x:f>E28-F28</x:f>
        <x:v>500</x:v>
      </x:c>
      <x:c r="H28" s="40" t="n">
        <x:v>175.75</x:v>
      </x:c>
      <x:c r="I28" s="44" t="n">
        <x:f>E28*H28</x:f>
        <x:v>87875</x:v>
      </x:c>
      <x:c r="J28" s="50" t="n">
        <x:v>46260</x:v>
      </x:c>
      <x:c r="K28" s="14" t="str">
        <x:v>Open</x:v>
      </x:c>
      <x:c r="L28" s="14" t="str">
        <x:v>Received</x:v>
      </x:c>
      <x:c r="M28" s="50" t="n">
        <x:v>46246</x:v>
      </x:c>
    </x:row>
    <x:row r="29">
      <x:c r="A29" s="14" t="str">
        <x:v>PO-26-0028</x:v>
      </x:c>
      <x:c r="B29" s="50" t="n">
        <x:v>46210</x:v>
      </x:c>
      <x:c r="C29" s="14" t="str">
        <x:v>SUP-012</x:v>
      </x:c>
      <x:c r="D29" s="14" t="str">
        <x:v>SKU-0004</x:v>
      </x:c>
      <x:c r="E29" s="52" t="n">
        <x:v>25</x:v>
      </x:c>
      <x:c r="F29" s="52" t="n">
        <x:v>25</x:v>
      </x:c>
      <x:c r="G29" s="53" t="n">
        <x:f>E29-F29</x:f>
        <x:v>0</x:v>
      </x:c>
      <x:c r="H29" s="40" t="n">
        <x:v>164.72</x:v>
      </x:c>
      <x:c r="I29" s="44" t="n">
        <x:f>E29*H29</x:f>
        <x:v>4118</x:v>
      </x:c>
      <x:c r="J29" s="50" t="n">
        <x:v>46255</x:v>
      </x:c>
      <x:c r="K29" s="14" t="str">
        <x:v>Closed</x:v>
      </x:c>
      <x:c r="L29" s="14" t="str">
        <x:v>Paid</x:v>
      </x:c>
      <x:c r="M29" s="50" t="n">
        <x:v>46240</x:v>
      </x:c>
    </x:row>
    <x:row r="30">
      <x:c r="A30" s="14" t="str">
        <x:v>PO-26-0029</x:v>
      </x:c>
      <x:c r="B30" s="50" t="n">
        <x:v>46213</x:v>
      </x:c>
      <x:c r="C30" s="14" t="str">
        <x:v>SUP-011</x:v>
      </x:c>
      <x:c r="D30" s="14" t="str">
        <x:v>SKU-0096</x:v>
      </x:c>
      <x:c r="E30" s="52" t="n">
        <x:v>150</x:v>
      </x:c>
      <x:c r="F30" s="52" t="n">
        <x:v>0</x:v>
      </x:c>
      <x:c r="G30" s="53" t="n">
        <x:f>E30-F30</x:f>
        <x:v>150</x:v>
      </x:c>
      <x:c r="H30" s="40" t="n">
        <x:v>29.46</x:v>
      </x:c>
      <x:c r="I30" s="44" t="n">
        <x:f>E30*H30</x:f>
        <x:v>4419</x:v>
      </x:c>
      <x:c r="J30" s="50" t="n">
        <x:v>46252</x:v>
      </x:c>
      <x:c r="K30" s="14" t="str">
        <x:v>Open</x:v>
      </x:c>
      <x:c r="L30" s="14" t="str">
        <x:v>Approved</x:v>
      </x:c>
      <x:c r="M30" s="50" t="n">
        <x:v>46258</x:v>
      </x:c>
    </x:row>
    <x:row r="31">
      <x:c r="A31" s="14" t="str">
        <x:v>PO-26-0030</x:v>
      </x:c>
      <x:c r="B31" s="50" t="n">
        <x:v>46111</x:v>
      </x:c>
      <x:c r="C31" s="14" t="str">
        <x:v>SUP-003</x:v>
      </x:c>
      <x:c r="D31" s="14" t="str">
        <x:v>SKU-0070</x:v>
      </x:c>
      <x:c r="E31" s="52" t="n">
        <x:v>50</x:v>
      </x:c>
      <x:c r="F31" s="52" t="n">
        <x:v>50</x:v>
      </x:c>
      <x:c r="G31" s="53" t="n">
        <x:f>E31-F31</x:f>
        <x:v>0</x:v>
      </x:c>
      <x:c r="H31" s="40" t="n">
        <x:v>69.06</x:v>
      </x:c>
      <x:c r="I31" s="44" t="n">
        <x:f>E31*H31</x:f>
        <x:v>3453</x:v>
      </x:c>
      <x:c r="J31" s="50" t="n">
        <x:v>46159</x:v>
      </x:c>
      <x:c r="K31" s="14" t="str">
        <x:v>Closed</x:v>
      </x:c>
      <x:c r="L31" s="14" t="str">
        <x:v>Paid</x:v>
      </x:c>
      <x:c r="M31" s="50" t="n">
        <x:v>46156</x:v>
      </x:c>
    </x:row>
    <x:row r="32">
      <x:c r="A32" s="14" t="str">
        <x:v>PO-26-0031</x:v>
      </x:c>
      <x:c r="B32" s="50" t="n">
        <x:v>46153</x:v>
      </x:c>
      <x:c r="C32" s="14" t="str">
        <x:v>SUP-011</x:v>
      </x:c>
      <x:c r="D32" s="14" t="str">
        <x:v>SKU-0131</x:v>
      </x:c>
      <x:c r="E32" s="52" t="n">
        <x:v>25</x:v>
      </x:c>
      <x:c r="F32" s="52" t="n">
        <x:v>25</x:v>
      </x:c>
      <x:c r="G32" s="53" t="n">
        <x:f>E32-F32</x:f>
        <x:v>0</x:v>
      </x:c>
      <x:c r="H32" s="40" t="n">
        <x:v>258.95</x:v>
      </x:c>
      <x:c r="I32" s="44" t="n">
        <x:f>E32*H32</x:f>
        <x:v>6473.75</x:v>
      </x:c>
      <x:c r="J32" s="50" t="n">
        <x:v>46200</x:v>
      </x:c>
      <x:c r="K32" s="14" t="str">
        <x:v>Closed</x:v>
      </x:c>
      <x:c r="L32" s="14" t="str">
        <x:v>Paid</x:v>
      </x:c>
      <x:c r="M32" s="50" t="n">
        <x:v>46183</x:v>
      </x:c>
    </x:row>
    <x:row r="33">
      <x:c r="A33" s="14" t="str">
        <x:v>PO-26-0032</x:v>
      </x:c>
      <x:c r="B33" s="50" t="n">
        <x:v>46219</x:v>
      </x:c>
      <x:c r="C33" s="14" t="str">
        <x:v>SUP-002</x:v>
      </x:c>
      <x:c r="D33" s="14" t="str">
        <x:v>SKU-0066</x:v>
      </x:c>
      <x:c r="E33" s="52" t="n">
        <x:v>1000</x:v>
      </x:c>
      <x:c r="F33" s="52" t="n">
        <x:v>0</x:v>
      </x:c>
      <x:c r="G33" s="53" t="n">
        <x:f>E33-F33</x:f>
        <x:v>1000</x:v>
      </x:c>
      <x:c r="H33" s="40" t="n">
        <x:v>244.68</x:v>
      </x:c>
      <x:c r="I33" s="44" t="n">
        <x:f>E33*H33</x:f>
        <x:v>244680</x:v>
      </x:c>
      <x:c r="J33" s="50" t="n">
        <x:v>46239</x:v>
      </x:c>
      <x:c r="K33" s="14" t="str">
        <x:v>Open</x:v>
      </x:c>
      <x:c r="L33" s="14" t="str">
        <x:v>Not Received</x:v>
      </x:c>
      <x:c r="M33" s="50" t="n">
        <x:v>46249</x:v>
      </x:c>
    </x:row>
    <x:row r="34">
      <x:c r="A34" s="14" t="str">
        <x:v>PO-26-0033</x:v>
      </x:c>
      <x:c r="B34" s="50" t="n">
        <x:v>46183</x:v>
      </x:c>
      <x:c r="C34" s="14" t="str">
        <x:v>SUP-012</x:v>
      </x:c>
      <x:c r="D34" s="14" t="str">
        <x:v>SKU-0004</x:v>
      </x:c>
      <x:c r="E34" s="52" t="n">
        <x:v>25</x:v>
      </x:c>
      <x:c r="F34" s="52" t="n">
        <x:v>25</x:v>
      </x:c>
      <x:c r="G34" s="53" t="n">
        <x:f>E34-F34</x:f>
        <x:v>0</x:v>
      </x:c>
      <x:c r="H34" s="40" t="n">
        <x:v>164.72</x:v>
      </x:c>
      <x:c r="I34" s="44" t="n">
        <x:f>E34*H34</x:f>
        <x:v>4118</x:v>
      </x:c>
      <x:c r="J34" s="50" t="n">
        <x:v>46229</x:v>
      </x:c>
      <x:c r="K34" s="14" t="str">
        <x:v>Closed</x:v>
      </x:c>
      <x:c r="L34" s="14" t="str">
        <x:v>Approved</x:v>
      </x:c>
      <x:c r="M34" s="50" t="n">
        <x:v>46213</x:v>
      </x:c>
    </x:row>
    <x:row r="35">
      <x:c r="A35" s="14" t="str">
        <x:v>PO-26-0034</x:v>
      </x:c>
      <x:c r="B35" s="50" t="n">
        <x:v>46138</x:v>
      </x:c>
      <x:c r="C35" s="14" t="str">
        <x:v>SUP-012</x:v>
      </x:c>
      <x:c r="D35" s="14" t="str">
        <x:v>SKU-0010</x:v>
      </x:c>
      <x:c r="E35" s="52" t="n">
        <x:v>100</x:v>
      </x:c>
      <x:c r="F35" s="52" t="n">
        <x:v>100</x:v>
      </x:c>
      <x:c r="G35" s="53" t="n">
        <x:f>E35-F35</x:f>
        <x:v>0</x:v>
      </x:c>
      <x:c r="H35" s="40" t="n">
        <x:v>137.36</x:v>
      </x:c>
      <x:c r="I35" s="44" t="n">
        <x:f>E35*H35</x:f>
        <x:v>13736.000000000002</x:v>
      </x:c>
      <x:c r="J35" s="50" t="n">
        <x:v>46195</x:v>
      </x:c>
      <x:c r="K35" s="14" t="str">
        <x:v>Closed</x:v>
      </x:c>
      <x:c r="L35" s="14" t="str">
        <x:v>Paid</x:v>
      </x:c>
      <x:c r="M35" s="50" t="n">
        <x:v>46183</x:v>
      </x:c>
    </x:row>
    <x:row r="36">
      <x:c r="A36" s="14" t="str">
        <x:v>PO-26-0035</x:v>
      </x:c>
      <x:c r="B36" s="50" t="n">
        <x:v>46150</x:v>
      </x:c>
      <x:c r="C36" s="14" t="str">
        <x:v>SUP-001</x:v>
      </x:c>
      <x:c r="D36" s="14" t="str">
        <x:v>SKU-0020</x:v>
      </x:c>
      <x:c r="E36" s="52" t="n">
        <x:v>50</x:v>
      </x:c>
      <x:c r="F36" s="52" t="n">
        <x:v>50</x:v>
      </x:c>
      <x:c r="G36" s="53" t="n">
        <x:f>E36-F36</x:f>
        <x:v>0</x:v>
      </x:c>
      <x:c r="H36" s="40" t="n">
        <x:v>163.22</x:v>
      </x:c>
      <x:c r="I36" s="44" t="n">
        <x:f>E36*H36</x:f>
        <x:v>8161</x:v>
      </x:c>
      <x:c r="J36" s="50" t="n">
        <x:v>46190</x:v>
      </x:c>
      <x:c r="K36" s="14" t="str">
        <x:v>Closed</x:v>
      </x:c>
      <x:c r="L36" s="14" t="str">
        <x:v>Approved</x:v>
      </x:c>
      <x:c r="M36" s="50" t="n">
        <x:v>46180</x:v>
      </x:c>
    </x:row>
    <x:row r="37">
      <x:c r="A37" s="14" t="str">
        <x:v>PO-26-0036</x:v>
      </x:c>
      <x:c r="B37" s="50" t="n">
        <x:v>46234</x:v>
      </x:c>
      <x:c r="C37" s="14" t="str">
        <x:v>SUP-006</x:v>
      </x:c>
      <x:c r="D37" s="14" t="str">
        <x:v>SKU-0133</x:v>
      </x:c>
      <x:c r="E37" s="52" t="n">
        <x:v>300</x:v>
      </x:c>
      <x:c r="F37" s="52" t="n">
        <x:v>300</x:v>
      </x:c>
      <x:c r="G37" s="53" t="n">
        <x:f>E37-F37</x:f>
        <x:v>0</x:v>
      </x:c>
      <x:c r="H37" s="40" t="n">
        <x:v>233.3</x:v>
      </x:c>
      <x:c r="I37" s="44" t="n">
        <x:f>E37*H37</x:f>
        <x:v>69990</x:v>
      </x:c>
      <x:c r="J37" s="50" t="n">
        <x:v>46288</x:v>
      </x:c>
      <x:c r="K37" s="14" t="str">
        <x:v>Closed</x:v>
      </x:c>
      <x:c r="L37" s="14" t="str">
        <x:v>Paid</x:v>
      </x:c>
      <x:c r="M37" s="50" t="n">
        <x:v>46279</x:v>
      </x:c>
    </x:row>
    <x:row r="38">
      <x:c r="A38" s="14" t="str">
        <x:v>PO-26-0037</x:v>
      </x:c>
      <x:c r="B38" s="50" t="n">
        <x:v>46223</x:v>
      </x:c>
      <x:c r="C38" s="14" t="str">
        <x:v>SUP-010</x:v>
      </x:c>
      <x:c r="D38" s="14" t="str">
        <x:v>SKU-0084</x:v>
      </x:c>
      <x:c r="E38" s="52" t="n">
        <x:v>750</x:v>
      </x:c>
      <x:c r="F38" s="52" t="n">
        <x:v>750</x:v>
      </x:c>
      <x:c r="G38" s="53" t="n">
        <x:f>E38-F38</x:f>
        <x:v>0</x:v>
      </x:c>
      <x:c r="H38" s="40" t="n">
        <x:v>108.77</x:v>
      </x:c>
      <x:c r="I38" s="44" t="n">
        <x:f>E38*H38</x:f>
        <x:v>81577.5</x:v>
      </x:c>
      <x:c r="J38" s="50" t="n">
        <x:v>46266</x:v>
      </x:c>
      <x:c r="K38" s="14" t="str">
        <x:v>Closed</x:v>
      </x:c>
      <x:c r="L38" s="14" t="str">
        <x:v>Approved</x:v>
      </x:c>
      <x:c r="M38" s="50" t="n">
        <x:v>46268</x:v>
      </x:c>
    </x:row>
    <x:row r="39">
      <x:c r="A39" s="14" t="str">
        <x:v>PO-26-0038</x:v>
      </x:c>
      <x:c r="B39" s="50" t="n">
        <x:v>46168</x:v>
      </x:c>
      <x:c r="C39" s="14" t="str">
        <x:v>SUP-007</x:v>
      </x:c>
      <x:c r="D39" s="14" t="str">
        <x:v>SKU-0145</x:v>
      </x:c>
      <x:c r="E39" s="52" t="n">
        <x:v>1000</x:v>
      </x:c>
      <x:c r="F39" s="52" t="n">
        <x:v>1000</x:v>
      </x:c>
      <x:c r="G39" s="53" t="n">
        <x:f>E39-F39</x:f>
        <x:v>0</x:v>
      </x:c>
      <x:c r="H39" s="40" t="n">
        <x:v>142.06</x:v>
      </x:c>
      <x:c r="I39" s="44" t="n">
        <x:f>E39*H39</x:f>
        <x:v>142060</x:v>
      </x:c>
      <x:c r="J39" s="50" t="n">
        <x:v>46189</x:v>
      </x:c>
      <x:c r="K39" s="14" t="str">
        <x:v>Closed</x:v>
      </x:c>
      <x:c r="L39" s="14" t="str">
        <x:v>Paid</x:v>
      </x:c>
      <x:c r="M39" s="50" t="n">
        <x:v>46198</x:v>
      </x:c>
    </x:row>
    <x:row r="40">
      <x:c r="A40" s="14" t="str">
        <x:v>PO-26-0039</x:v>
      </x:c>
      <x:c r="B40" s="50" t="n">
        <x:v>46183</x:v>
      </x:c>
      <x:c r="C40" s="14" t="str">
        <x:v>SUP-011</x:v>
      </x:c>
      <x:c r="D40" s="14" t="str">
        <x:v>SKU-0140</x:v>
      </x:c>
      <x:c r="E40" s="52" t="n">
        <x:v>75</x:v>
      </x:c>
      <x:c r="F40" s="52" t="n">
        <x:v>75</x:v>
      </x:c>
      <x:c r="G40" s="53" t="n">
        <x:f>E40-F40</x:f>
        <x:v>0</x:v>
      </x:c>
      <x:c r="H40" s="40" t="n">
        <x:v>188.55</x:v>
      </x:c>
      <x:c r="I40" s="44" t="n">
        <x:f>E40*H40</x:f>
        <x:v>14141.25</x:v>
      </x:c>
      <x:c r="J40" s="50" t="n">
        <x:v>46211</x:v>
      </x:c>
      <x:c r="K40" s="14" t="str">
        <x:v>Closed</x:v>
      </x:c>
      <x:c r="L40" s="14" t="str">
        <x:v>Approved</x:v>
      </x:c>
      <x:c r="M40" s="50" t="n">
        <x:v>46213</x:v>
      </x:c>
    </x:row>
    <x:row r="41">
      <x:c r="A41" s="14" t="str">
        <x:v>PO-26-0040</x:v>
      </x:c>
      <x:c r="B41" s="50" t="n">
        <x:v>46157</x:v>
      </x:c>
      <x:c r="C41" s="14" t="str">
        <x:v>SUP-005</x:v>
      </x:c>
      <x:c r="D41" s="14" t="str">
        <x:v>SKU-0139</x:v>
      </x:c>
      <x:c r="E41" s="52" t="n">
        <x:v>25</x:v>
      </x:c>
      <x:c r="F41" s="52" t="n">
        <x:v>0</x:v>
      </x:c>
      <x:c r="G41" s="53" t="n">
        <x:f>E41-F41</x:f>
        <x:v>25</x:v>
      </x:c>
      <x:c r="H41" s="40" t="n">
        <x:v>157.6</x:v>
      </x:c>
      <x:c r="I41" s="44" t="n">
        <x:f>E41*H41</x:f>
        <x:v>3940</x:v>
      </x:c>
      <x:c r="J41" s="50" t="n">
        <x:v>46215</x:v>
      </x:c>
      <x:c r="K41" s="14" t="str">
        <x:v>Open</x:v>
      </x:c>
      <x:c r="L41" s="14" t="str">
        <x:v>Approved</x:v>
      </x:c>
      <x:c r="M41" s="50" t="n">
        <x:v>46187</x:v>
      </x:c>
    </x:row>
    <x:row r="42">
      <x:c r="A42" s="14" t="str">
        <x:v>PO-26-0041</x:v>
      </x:c>
      <x:c r="B42" s="50" t="n">
        <x:v>46110</x:v>
      </x:c>
      <x:c r="C42" s="14" t="str">
        <x:v>SUP-004</x:v>
      </x:c>
      <x:c r="D42" s="14" t="str">
        <x:v>SKU-0053</x:v>
      </x:c>
      <x:c r="E42" s="52" t="n">
        <x:v>100</x:v>
      </x:c>
      <x:c r="F42" s="52" t="n">
        <x:v>100</x:v>
      </x:c>
      <x:c r="G42" s="53" t="n">
        <x:f>E42-F42</x:f>
        <x:v>0</x:v>
      </x:c>
      <x:c r="H42" s="40" t="n">
        <x:v>235.39</x:v>
      </x:c>
      <x:c r="I42" s="44" t="n">
        <x:f>E42*H42</x:f>
        <x:v>23539</x:v>
      </x:c>
      <x:c r="J42" s="50" t="n">
        <x:v>46120</x:v>
      </x:c>
      <x:c r="K42" s="14" t="str">
        <x:v>Closed</x:v>
      </x:c>
      <x:c r="L42" s="14" t="str">
        <x:v>Approved</x:v>
      </x:c>
      <x:c r="M42" s="50" t="n">
        <x:v>46170</x:v>
      </x:c>
    </x:row>
    <x:row r="43">
      <x:c r="A43" s="14" t="str">
        <x:v>PO-26-0042</x:v>
      </x:c>
      <x:c r="B43" s="50" t="n">
        <x:v>46222</x:v>
      </x:c>
      <x:c r="C43" s="14" t="str">
        <x:v>SUP-002</x:v>
      </x:c>
      <x:c r="D43" s="14" t="str">
        <x:v>SKU-0072</x:v>
      </x:c>
      <x:c r="E43" s="52" t="n">
        <x:v>25</x:v>
      </x:c>
      <x:c r="F43" s="52" t="n">
        <x:v>18</x:v>
      </x:c>
      <x:c r="G43" s="53" t="n">
        <x:f>E43-F43</x:f>
        <x:v>7</x:v>
      </x:c>
      <x:c r="H43" s="40" t="n">
        <x:v>153.62</x:v>
      </x:c>
      <x:c r="I43" s="44" t="n">
        <x:f>E43*H43</x:f>
        <x:v>3840.5</x:v>
      </x:c>
      <x:c r="J43" s="50" t="n">
        <x:v>46238</x:v>
      </x:c>
      <x:c r="K43" s="14" t="str">
        <x:v>Partial</x:v>
      </x:c>
      <x:c r="L43" s="14" t="str">
        <x:v>Paid</x:v>
      </x:c>
      <x:c r="M43" s="50" t="n">
        <x:v>46282</x:v>
      </x:c>
    </x:row>
    <x:row r="44">
      <x:c r="A44" s="14" t="str">
        <x:v>PO-26-0043</x:v>
      </x:c>
      <x:c r="B44" s="50" t="n">
        <x:v>46221</x:v>
      </x:c>
      <x:c r="C44" s="14" t="str">
        <x:v>SUP-010</x:v>
      </x:c>
      <x:c r="D44" s="14" t="str">
        <x:v>SKU-0022</x:v>
      </x:c>
      <x:c r="E44" s="52" t="n">
        <x:v>750</x:v>
      </x:c>
      <x:c r="F44" s="52" t="n">
        <x:v>750</x:v>
      </x:c>
      <x:c r="G44" s="53" t="n">
        <x:f>E44-F44</x:f>
        <x:v>0</x:v>
      </x:c>
      <x:c r="H44" s="40" t="n">
        <x:v>167.48</x:v>
      </x:c>
      <x:c r="I44" s="44" t="n">
        <x:f>E44*H44</x:f>
        <x:v>125609.99999999999</x:v>
      </x:c>
      <x:c r="J44" s="50" t="n">
        <x:v>46268</x:v>
      </x:c>
      <x:c r="K44" s="14" t="str">
        <x:v>Closed</x:v>
      </x:c>
      <x:c r="L44" s="14" t="str">
        <x:v>Approved</x:v>
      </x:c>
      <x:c r="M44" s="50" t="n">
        <x:v>46281</x:v>
      </x:c>
    </x:row>
    <x:row r="45">
      <x:c r="A45" s="14" t="str">
        <x:v>PO-26-0044</x:v>
      </x:c>
      <x:c r="B45" s="50" t="n">
        <x:v>46230</x:v>
      </x:c>
      <x:c r="C45" s="14" t="str">
        <x:v>SUP-009</x:v>
      </x:c>
      <x:c r="D45" s="14" t="str">
        <x:v>SKU-0146</x:v>
      </x:c>
      <x:c r="E45" s="52" t="n">
        <x:v>300</x:v>
      </x:c>
      <x:c r="F45" s="52" t="n">
        <x:v>75</x:v>
      </x:c>
      <x:c r="G45" s="53" t="n">
        <x:f>E45-F45</x:f>
        <x:v>225</x:v>
      </x:c>
      <x:c r="H45" s="40" t="n">
        <x:v>261.77</x:v>
      </x:c>
      <x:c r="I45" s="44" t="n">
        <x:f>E45*H45</x:f>
        <x:v>78531</x:v>
      </x:c>
      <x:c r="J45" s="50" t="n">
        <x:v>46244</x:v>
      </x:c>
      <x:c r="K45" s="14" t="str">
        <x:v>Partial</x:v>
      </x:c>
      <x:c r="L45" s="14" t="str">
        <x:v>Approved</x:v>
      </x:c>
      <x:c r="M45" s="50" t="n">
        <x:v>46275</x:v>
      </x:c>
    </x:row>
    <x:row r="46">
      <x:c r="A46" s="14" t="str">
        <x:v>PO-26-0045</x:v>
      </x:c>
      <x:c r="B46" s="50" t="n">
        <x:v>46145</x:v>
      </x:c>
      <x:c r="C46" s="14" t="str">
        <x:v>SUP-009</x:v>
      </x:c>
      <x:c r="D46" s="14" t="str">
        <x:v>SKU-0081</x:v>
      </x:c>
      <x:c r="E46" s="52" t="n">
        <x:v>200</x:v>
      </x:c>
      <x:c r="F46" s="52" t="n">
        <x:v>200</x:v>
      </x:c>
      <x:c r="G46" s="53" t="n">
        <x:f>E46-F46</x:f>
        <x:v>0</x:v>
      </x:c>
      <x:c r="H46" s="40" t="n">
        <x:v>198.25</x:v>
      </x:c>
      <x:c r="I46" s="44" t="n">
        <x:f>E46*H46</x:f>
        <x:v>39650</x:v>
      </x:c>
      <x:c r="J46" s="50" t="n">
        <x:v>46184</x:v>
      </x:c>
      <x:c r="K46" s="14" t="str">
        <x:v>Closed</x:v>
      </x:c>
      <x:c r="L46" s="14" t="str">
        <x:v>Approved</x:v>
      </x:c>
      <x:c r="M46" s="50" t="n">
        <x:v>46175</x:v>
      </x:c>
    </x:row>
    <x:row r="47">
      <x:c r="A47" s="14" t="str">
        <x:v>PO-26-0046</x:v>
      </x:c>
      <x:c r="B47" s="50" t="n">
        <x:v>46211</x:v>
      </x:c>
      <x:c r="C47" s="14" t="str">
        <x:v>SUP-001</x:v>
      </x:c>
      <x:c r="D47" s="14" t="str">
        <x:v>SKU-0052</x:v>
      </x:c>
      <x:c r="E47" s="52" t="n">
        <x:v>1000</x:v>
      </x:c>
      <x:c r="F47" s="52" t="n">
        <x:v>1000</x:v>
      </x:c>
      <x:c r="G47" s="53" t="n">
        <x:f>E47-F47</x:f>
        <x:v>0</x:v>
      </x:c>
      <x:c r="H47" s="40" t="n">
        <x:v>210.35</x:v>
      </x:c>
      <x:c r="I47" s="44" t="n">
        <x:f>E47*H47</x:f>
        <x:v>210350</x:v>
      </x:c>
      <x:c r="J47" s="50" t="n">
        <x:v>46220</x:v>
      </x:c>
      <x:c r="K47" s="14" t="str">
        <x:v>Closed</x:v>
      </x:c>
      <x:c r="L47" s="14" t="str">
        <x:v>Approved</x:v>
      </x:c>
      <x:c r="M47" s="50" t="n">
        <x:v>46256</x:v>
      </x:c>
    </x:row>
    <x:row r="48">
      <x:c r="A48" s="14" t="str">
        <x:v>PO-26-0047</x:v>
      </x:c>
      <x:c r="B48" s="50" t="n">
        <x:v>46165</x:v>
      </x:c>
      <x:c r="C48" s="14" t="str">
        <x:v>SUP-002</x:v>
      </x:c>
      <x:c r="D48" s="14" t="str">
        <x:v>SKU-0120</x:v>
      </x:c>
      <x:c r="E48" s="52" t="n">
        <x:v>300</x:v>
      </x:c>
      <x:c r="F48" s="52" t="n">
        <x:v>300</x:v>
      </x:c>
      <x:c r="G48" s="53" t="n">
        <x:f>E48-F48</x:f>
        <x:v>0</x:v>
      </x:c>
      <x:c r="H48" s="40" t="n">
        <x:v>41.87</x:v>
      </x:c>
      <x:c r="I48" s="44" t="n">
        <x:f>E48*H48</x:f>
        <x:v>12561</x:v>
      </x:c>
      <x:c r="J48" s="50" t="n">
        <x:v>46191</x:v>
      </x:c>
      <x:c r="K48" s="14" t="str">
        <x:v>Closed</x:v>
      </x:c>
      <x:c r="L48" s="14" t="str">
        <x:v>Approved</x:v>
      </x:c>
      <x:c r="M48" s="50" t="n">
        <x:v>46210</x:v>
      </x:c>
    </x:row>
    <x:row r="49">
      <x:c r="A49" s="14" t="str">
        <x:v>PO-26-0048</x:v>
      </x:c>
      <x:c r="B49" s="50" t="n">
        <x:v>46127</x:v>
      </x:c>
      <x:c r="C49" s="14" t="str">
        <x:v>SUP-005</x:v>
      </x:c>
      <x:c r="D49" s="14" t="str">
        <x:v>SKU-0079</x:v>
      </x:c>
      <x:c r="E49" s="52" t="n">
        <x:v>150</x:v>
      </x:c>
      <x:c r="F49" s="52" t="n">
        <x:v>0</x:v>
      </x:c>
      <x:c r="G49" s="53" t="n">
        <x:f>E49-F49</x:f>
        <x:v>150</x:v>
      </x:c>
      <x:c r="H49" s="40" t="n">
        <x:v>124.08</x:v>
      </x:c>
      <x:c r="I49" s="44" t="n">
        <x:f>E49*H49</x:f>
        <x:v>18612</x:v>
      </x:c>
      <x:c r="J49" s="50" t="n">
        <x:v>46185</x:v>
      </x:c>
      <x:c r="K49" s="14" t="str">
        <x:v>Open</x:v>
      </x:c>
      <x:c r="L49" s="14" t="str">
        <x:v>Approved</x:v>
      </x:c>
      <x:c r="M49" s="50" t="n">
        <x:v>46187</x:v>
      </x:c>
    </x:row>
    <x:row r="50">
      <x:c r="A50" s="14" t="str">
        <x:v>PO-26-0049</x:v>
      </x:c>
      <x:c r="B50" s="50" t="n">
        <x:v>46190</x:v>
      </x:c>
      <x:c r="C50" s="14" t="str">
        <x:v>SUP-009</x:v>
      </x:c>
      <x:c r="D50" s="14" t="str">
        <x:v>SKU-0011</x:v>
      </x:c>
      <x:c r="E50" s="52" t="n">
        <x:v>200</x:v>
      </x:c>
      <x:c r="F50" s="52" t="n">
        <x:v>200</x:v>
      </x:c>
      <x:c r="G50" s="53" t="n">
        <x:f>E50-F50</x:f>
        <x:v>0</x:v>
      </x:c>
      <x:c r="H50" s="40" t="n">
        <x:v>244.6</x:v>
      </x:c>
      <x:c r="I50" s="44" t="n">
        <x:f>E50*H50</x:f>
        <x:v>48920</x:v>
      </x:c>
      <x:c r="J50" s="50" t="n">
        <x:v>46243</x:v>
      </x:c>
      <x:c r="K50" s="14" t="str">
        <x:v>Closed</x:v>
      </x:c>
      <x:c r="L50" s="14" t="str">
        <x:v>Paid</x:v>
      </x:c>
      <x:c r="M50" s="50" t="n">
        <x:v>46235</x:v>
      </x:c>
    </x:row>
    <x:row r="51">
      <x:c r="A51" s="14" t="str">
        <x:v>PO-26-0050</x:v>
      </x:c>
      <x:c r="B51" s="50" t="n">
        <x:v>46233</x:v>
      </x:c>
      <x:c r="C51" s="14" t="str">
        <x:v>SUP-008</x:v>
      </x:c>
      <x:c r="D51" s="14" t="str">
        <x:v>SKU-0132</x:v>
      </x:c>
      <x:c r="E51" s="52" t="n">
        <x:v>150</x:v>
      </x:c>
      <x:c r="F51" s="52" t="n">
        <x:v>150</x:v>
      </x:c>
      <x:c r="G51" s="53" t="n">
        <x:f>E51-F51</x:f>
        <x:v>0</x:v>
      </x:c>
      <x:c r="H51" s="40" t="n">
        <x:v>177.71</x:v>
      </x:c>
      <x:c r="I51" s="44" t="n">
        <x:f>E51*H51</x:f>
        <x:v>26656.5</x:v>
      </x:c>
      <x:c r="J51" s="50" t="n">
        <x:v>46244</x:v>
      </x:c>
      <x:c r="K51" s="14" t="str">
        <x:v>Closed</x:v>
      </x:c>
      <x:c r="L51" s="14" t="str">
        <x:v>Approved</x:v>
      </x:c>
      <x:c r="M51" s="50" t="n">
        <x:v>46278</x:v>
      </x:c>
    </x:row>
    <x:row r="52">
      <x:c r="A52" s="14" t="str">
        <x:v>PO-26-0051</x:v>
      </x:c>
      <x:c r="B52" s="50" t="n">
        <x:v>46105</x:v>
      </x:c>
      <x:c r="C52" s="14" t="str">
        <x:v>SUP-011</x:v>
      </x:c>
      <x:c r="D52" s="14" t="str">
        <x:v>SKU-0116</x:v>
      </x:c>
      <x:c r="E52" s="52" t="n">
        <x:v>100</x:v>
      </x:c>
      <x:c r="F52" s="52" t="n">
        <x:v>100</x:v>
      </x:c>
      <x:c r="G52" s="53" t="n">
        <x:f>E52-F52</x:f>
        <x:v>0</x:v>
      </x:c>
      <x:c r="H52" s="40" t="n">
        <x:v>36.42</x:v>
      </x:c>
      <x:c r="I52" s="44" t="n">
        <x:f>E52*H52</x:f>
        <x:v>3642</x:v>
      </x:c>
      <x:c r="J52" s="50" t="n">
        <x:v>46113</x:v>
      </x:c>
      <x:c r="K52" s="14" t="str">
        <x:v>Closed</x:v>
      </x:c>
      <x:c r="L52" s="14" t="str">
        <x:v>Approved</x:v>
      </x:c>
      <x:c r="M52" s="50" t="n">
        <x:v>46135</x:v>
      </x:c>
    </x:row>
    <x:row r="53">
      <x:c r="A53" s="14" t="str">
        <x:v>PO-26-0052</x:v>
      </x:c>
      <x:c r="B53" s="50" t="n">
        <x:v>46230</x:v>
      </x:c>
      <x:c r="C53" s="14" t="str">
        <x:v>SUP-012</x:v>
      </x:c>
      <x:c r="D53" s="14" t="str">
        <x:v>SKU-0004</x:v>
      </x:c>
      <x:c r="E53" s="52" t="n">
        <x:v>100</x:v>
      </x:c>
      <x:c r="F53" s="52" t="n">
        <x:v>100</x:v>
      </x:c>
      <x:c r="G53" s="53" t="n">
        <x:f>E53-F53</x:f>
        <x:v>0</x:v>
      </x:c>
      <x:c r="H53" s="40" t="n">
        <x:v>164.72</x:v>
      </x:c>
      <x:c r="I53" s="44" t="n">
        <x:f>E53*H53</x:f>
        <x:v>16472</x:v>
      </x:c>
      <x:c r="J53" s="50" t="n">
        <x:v>46276</x:v>
      </x:c>
      <x:c r="K53" s="14" t="str">
        <x:v>Closed</x:v>
      </x:c>
      <x:c r="L53" s="14" t="str">
        <x:v>Paid</x:v>
      </x:c>
      <x:c r="M53" s="50" t="n">
        <x:v>46290</x:v>
      </x:c>
    </x:row>
    <x:row r="54">
      <x:c r="A54" s="14" t="str">
        <x:v>PO-26-0053</x:v>
      </x:c>
      <x:c r="B54" s="50" t="n">
        <x:v>46179</x:v>
      </x:c>
      <x:c r="C54" s="14" t="str">
        <x:v>SUP-010</x:v>
      </x:c>
      <x:c r="D54" s="14" t="str">
        <x:v>SKU-0022</x:v>
      </x:c>
      <x:c r="E54" s="52" t="n">
        <x:v>50</x:v>
      </x:c>
      <x:c r="F54" s="52" t="n">
        <x:v>50</x:v>
      </x:c>
      <x:c r="G54" s="53" t="n">
        <x:f>E54-F54</x:f>
        <x:v>0</x:v>
      </x:c>
      <x:c r="H54" s="40" t="n">
        <x:v>167.48</x:v>
      </x:c>
      <x:c r="I54" s="44" t="n">
        <x:f>E54*H54</x:f>
        <x:v>8374</x:v>
      </x:c>
      <x:c r="J54" s="50" t="n">
        <x:v>46216</x:v>
      </x:c>
      <x:c r="K54" s="14" t="str">
        <x:v>Closed</x:v>
      </x:c>
      <x:c r="L54" s="14" t="str">
        <x:v>Approved</x:v>
      </x:c>
      <x:c r="M54" s="50" t="n">
        <x:v>46239</x:v>
      </x:c>
    </x:row>
    <x:row r="55">
      <x:c r="A55" s="14" t="str">
        <x:v>PO-26-0054</x:v>
      </x:c>
      <x:c r="B55" s="50" t="n">
        <x:v>46213</x:v>
      </x:c>
      <x:c r="C55" s="14" t="str">
        <x:v>SUP-006</x:v>
      </x:c>
      <x:c r="D55" s="14" t="str">
        <x:v>SKU-0114</x:v>
      </x:c>
      <x:c r="E55" s="52" t="n">
        <x:v>50</x:v>
      </x:c>
      <x:c r="F55" s="52" t="n">
        <x:v>25</x:v>
      </x:c>
      <x:c r="G55" s="53" t="n">
        <x:f>E55-F55</x:f>
        <x:v>25</x:v>
      </x:c>
      <x:c r="H55" s="40" t="n">
        <x:v>232.11</x:v>
      </x:c>
      <x:c r="I55" s="44" t="n">
        <x:f>E55*H55</x:f>
        <x:v>11605.5</x:v>
      </x:c>
      <x:c r="J55" s="50" t="n">
        <x:v>46238</x:v>
      </x:c>
      <x:c r="K55" s="14" t="str">
        <x:v>Partial</x:v>
      </x:c>
      <x:c r="L55" s="14" t="str">
        <x:v>Not Received</x:v>
      </x:c>
      <x:c r="M55" s="50" t="n">
        <x:v>46258</x:v>
      </x:c>
    </x:row>
    <x:row r="56">
      <x:c r="A56" s="14" t="str">
        <x:v>PO-26-0055</x:v>
      </x:c>
      <x:c r="B56" s="50" t="n">
        <x:v>46202</x:v>
      </x:c>
      <x:c r="C56" s="14" t="str">
        <x:v>SUP-001</x:v>
      </x:c>
      <x:c r="D56" s="14" t="str">
        <x:v>SKU-0013</x:v>
      </x:c>
      <x:c r="E56" s="52" t="n">
        <x:v>1000</x:v>
      </x:c>
      <x:c r="F56" s="52" t="n">
        <x:v>1000</x:v>
      </x:c>
      <x:c r="G56" s="53" t="n">
        <x:f>E56-F56</x:f>
        <x:v>0</x:v>
      </x:c>
      <x:c r="H56" s="40" t="n">
        <x:v>22.2</x:v>
      </x:c>
      <x:c r="I56" s="44" t="n">
        <x:f>E56*H56</x:f>
        <x:v>22200</x:v>
      </x:c>
      <x:c r="J56" s="50" t="n">
        <x:v>46220</x:v>
      </x:c>
      <x:c r="K56" s="14" t="str">
        <x:v>Closed</x:v>
      </x:c>
      <x:c r="L56" s="14" t="str">
        <x:v>Paid</x:v>
      </x:c>
      <x:c r="M56" s="50" t="n">
        <x:v>46232</x:v>
      </x:c>
    </x:row>
    <x:row r="57">
      <x:c r="A57" s="14" t="str">
        <x:v>PO-26-0056</x:v>
      </x:c>
      <x:c r="B57" s="50" t="n">
        <x:v>46136</x:v>
      </x:c>
      <x:c r="C57" s="14" t="str">
        <x:v>SUP-008</x:v>
      </x:c>
      <x:c r="D57" s="14" t="str">
        <x:v>SKU-0098</x:v>
      </x:c>
      <x:c r="E57" s="52" t="n">
        <x:v>75</x:v>
      </x:c>
      <x:c r="F57" s="52" t="n">
        <x:v>75</x:v>
      </x:c>
      <x:c r="G57" s="53" t="n">
        <x:f>E57-F57</x:f>
        <x:v>0</x:v>
      </x:c>
      <x:c r="H57" s="40" t="n">
        <x:v>270.95</x:v>
      </x:c>
      <x:c r="I57" s="44" t="n">
        <x:f>E57*H57</x:f>
        <x:v>20321.25</x:v>
      </x:c>
      <x:c r="J57" s="50" t="n">
        <x:v>46147</x:v>
      </x:c>
      <x:c r="K57" s="14" t="str">
        <x:v>Closed</x:v>
      </x:c>
      <x:c r="L57" s="14" t="str">
        <x:v>Paid</x:v>
      </x:c>
      <x:c r="M57" s="50" t="n">
        <x:v>46181</x:v>
      </x:c>
    </x:row>
    <x:row r="58">
      <x:c r="A58" s="14" t="str">
        <x:v>PO-26-0057</x:v>
      </x:c>
      <x:c r="B58" s="50" t="n">
        <x:v>46207</x:v>
      </x:c>
      <x:c r="C58" s="14" t="str">
        <x:v>SUP-002</x:v>
      </x:c>
      <x:c r="D58" s="14" t="str">
        <x:v>SKU-0115</x:v>
      </x:c>
      <x:c r="E58" s="52" t="n">
        <x:v>25</x:v>
      </x:c>
      <x:c r="F58" s="52" t="n">
        <x:v>6</x:v>
      </x:c>
      <x:c r="G58" s="53" t="n">
        <x:f>E58-F58</x:f>
        <x:v>19</x:v>
      </x:c>
      <x:c r="H58" s="40" t="n">
        <x:v>27.81</x:v>
      </x:c>
      <x:c r="I58" s="44" t="n">
        <x:f>E58*H58</x:f>
        <x:v>695.25</x:v>
      </x:c>
      <x:c r="J58" s="50" t="n">
        <x:v>46241</x:v>
      </x:c>
      <x:c r="K58" s="14" t="str">
        <x:v>Partial</x:v>
      </x:c>
      <x:c r="L58" s="14" t="str">
        <x:v>Paid</x:v>
      </x:c>
      <x:c r="M58" s="50" t="n">
        <x:v>46252</x:v>
      </x:c>
    </x:row>
    <x:row r="59">
      <x:c r="A59" s="14" t="str">
        <x:v>PO-26-0058</x:v>
      </x:c>
      <x:c r="B59" s="50" t="n">
        <x:v>46123</x:v>
      </x:c>
      <x:c r="C59" s="14" t="str">
        <x:v>SUP-004</x:v>
      </x:c>
      <x:c r="D59" s="14" t="str">
        <x:v>SKU-0141</x:v>
      </x:c>
      <x:c r="E59" s="52" t="n">
        <x:v>25</x:v>
      </x:c>
      <x:c r="F59" s="52" t="n">
        <x:v>25</x:v>
      </x:c>
      <x:c r="G59" s="53" t="n">
        <x:f>E59-F59</x:f>
        <x:v>0</x:v>
      </x:c>
      <x:c r="H59" s="40" t="n">
        <x:v>279.99</x:v>
      </x:c>
      <x:c r="I59" s="44" t="n">
        <x:f>E59*H59</x:f>
        <x:v>6999.75</x:v>
      </x:c>
      <x:c r="J59" s="50" t="n">
        <x:v>46186</x:v>
      </x:c>
      <x:c r="K59" s="14" t="str">
        <x:v>Closed</x:v>
      </x:c>
      <x:c r="L59" s="14" t="str">
        <x:v>Approved</x:v>
      </x:c>
      <x:c r="M59" s="50" t="n">
        <x:v>46168</x:v>
      </x:c>
    </x:row>
    <x:row r="60">
      <x:c r="A60" s="14" t="str">
        <x:v>PO-26-0059</x:v>
      </x:c>
      <x:c r="B60" s="50" t="n">
        <x:v>46111</x:v>
      </x:c>
      <x:c r="C60" s="14" t="str">
        <x:v>SUP-001</x:v>
      </x:c>
      <x:c r="D60" s="14" t="str">
        <x:v>SKU-0052</x:v>
      </x:c>
      <x:c r="E60" s="52" t="n">
        <x:v>100</x:v>
      </x:c>
      <x:c r="F60" s="52" t="n">
        <x:v>0</x:v>
      </x:c>
      <x:c r="G60" s="53" t="n">
        <x:f>E60-F60</x:f>
        <x:v>100</x:v>
      </x:c>
      <x:c r="H60" s="40" t="n">
        <x:v>210.35</x:v>
      </x:c>
      <x:c r="I60" s="44" t="n">
        <x:f>E60*H60</x:f>
        <x:v>21035</x:v>
      </x:c>
      <x:c r="J60" s="50" t="n">
        <x:v>46129</x:v>
      </x:c>
      <x:c r="K60" s="14" t="str">
        <x:v>Open</x:v>
      </x:c>
      <x:c r="L60" s="14" t="str">
        <x:v>Approved</x:v>
      </x:c>
      <x:c r="M60" s="50" t="n">
        <x:v>46156</x:v>
      </x:c>
    </x:row>
    <x:row r="61">
      <x:c r="A61" s="14" t="str">
        <x:v>PO-26-0060</x:v>
      </x:c>
      <x:c r="B61" s="50" t="n">
        <x:v>46121</x:v>
      </x:c>
      <x:c r="C61" s="14" t="str">
        <x:v>SUP-011</x:v>
      </x:c>
      <x:c r="D61" s="14" t="str">
        <x:v>SKU-0140</x:v>
      </x:c>
      <x:c r="E61" s="52" t="n">
        <x:v>200</x:v>
      </x:c>
      <x:c r="F61" s="52" t="n">
        <x:v>100</x:v>
      </x:c>
      <x:c r="G61" s="53" t="n">
        <x:f>E61-F61</x:f>
        <x:v>100</x:v>
      </x:c>
      <x:c r="H61" s="40" t="n">
        <x:v>188.55</x:v>
      </x:c>
      <x:c r="I61" s="44" t="n">
        <x:f>E61*H61</x:f>
        <x:v>37710</x:v>
      </x:c>
      <x:c r="J61" s="50" t="n">
        <x:v>46148</x:v>
      </x:c>
      <x:c r="K61" s="14" t="str">
        <x:v>Partial</x:v>
      </x:c>
      <x:c r="L61" s="14" t="str">
        <x:v>Approved</x:v>
      </x:c>
      <x:c r="M61" s="50" t="n">
        <x:v>46151</x:v>
      </x:c>
    </x:row>
    <x:row r="62">
      <x:c r="A62" s="14" t="str">
        <x:v>PO-26-0061</x:v>
      </x:c>
      <x:c r="B62" s="50" t="n">
        <x:v>46164</x:v>
      </x:c>
      <x:c r="C62" s="14" t="str">
        <x:v>SUP-005</x:v>
      </x:c>
      <x:c r="D62" s="14" t="str">
        <x:v>SKU-0007</x:v>
      </x:c>
      <x:c r="E62" s="52" t="n">
        <x:v>1000</x:v>
      </x:c>
      <x:c r="F62" s="52" t="n">
        <x:v>1000</x:v>
      </x:c>
      <x:c r="G62" s="53" t="n">
        <x:f>E62-F62</x:f>
        <x:v>0</x:v>
      </x:c>
      <x:c r="H62" s="40" t="n">
        <x:v>123.15</x:v>
      </x:c>
      <x:c r="I62" s="44" t="n">
        <x:f>E62*H62</x:f>
        <x:v>123150</x:v>
      </x:c>
      <x:c r="J62" s="50" t="n">
        <x:v>46206</x:v>
      </x:c>
      <x:c r="K62" s="14" t="str">
        <x:v>Closed</x:v>
      </x:c>
      <x:c r="L62" s="14" t="str">
        <x:v>Approved</x:v>
      </x:c>
      <x:c r="M62" s="50" t="n">
        <x:v>46209</x:v>
      </x:c>
    </x:row>
    <x:row r="63">
      <x:c r="A63" s="14" t="str">
        <x:v>PO-26-0062</x:v>
      </x:c>
      <x:c r="B63" s="50" t="n">
        <x:v>46154</x:v>
      </x:c>
      <x:c r="C63" s="14" t="str">
        <x:v>SUP-006</x:v>
      </x:c>
      <x:c r="D63" s="14" t="str">
        <x:v>SKU-0136</x:v>
      </x:c>
      <x:c r="E63" s="52" t="n">
        <x:v>1000</x:v>
      </x:c>
      <x:c r="F63" s="52" t="n">
        <x:v>250</x:v>
      </x:c>
      <x:c r="G63" s="53" t="n">
        <x:f>E63-F63</x:f>
        <x:v>750</x:v>
      </x:c>
      <x:c r="H63" s="40" t="n">
        <x:v>105.97</x:v>
      </x:c>
      <x:c r="I63" s="44" t="n">
        <x:f>E63*H63</x:f>
        <x:v>105970</x:v>
      </x:c>
      <x:c r="J63" s="50" t="n">
        <x:v>46197</x:v>
      </x:c>
      <x:c r="K63" s="14" t="str">
        <x:v>Partial</x:v>
      </x:c>
      <x:c r="L63" s="14" t="str">
        <x:v>Received</x:v>
      </x:c>
      <x:c r="M63" s="50" t="n">
        <x:v>46214</x:v>
      </x:c>
    </x:row>
    <x:row r="64">
      <x:c r="A64" s="14" t="str">
        <x:v>PO-26-0063</x:v>
      </x:c>
      <x:c r="B64" s="50" t="n">
        <x:v>46177</x:v>
      </x:c>
      <x:c r="C64" s="14" t="str">
        <x:v>SUP-005</x:v>
      </x:c>
      <x:c r="D64" s="14" t="str">
        <x:v>SKU-0062</x:v>
      </x:c>
      <x:c r="E64" s="52" t="n">
        <x:v>750</x:v>
      </x:c>
      <x:c r="F64" s="52" t="n">
        <x:v>0</x:v>
      </x:c>
      <x:c r="G64" s="53" t="n">
        <x:f>E64-F64</x:f>
        <x:v>750</x:v>
      </x:c>
      <x:c r="H64" s="40" t="n">
        <x:v>63.99</x:v>
      </x:c>
      <x:c r="I64" s="44" t="n">
        <x:f>E64*H64</x:f>
        <x:v>47992.5</x:v>
      </x:c>
      <x:c r="J64" s="50" t="n">
        <x:v>46216</x:v>
      </x:c>
      <x:c r="K64" s="14" t="str">
        <x:v>Open</x:v>
      </x:c>
      <x:c r="L64" s="14" t="str">
        <x:v>Paid</x:v>
      </x:c>
      <x:c r="M64" s="50" t="n">
        <x:v>46222</x:v>
      </x:c>
    </x:row>
    <x:row r="65">
      <x:c r="A65" s="14" t="str">
        <x:v>PO-26-0064</x:v>
      </x:c>
      <x:c r="B65" s="50" t="n">
        <x:v>46200</x:v>
      </x:c>
      <x:c r="C65" s="14" t="str">
        <x:v>SUP-011</x:v>
      </x:c>
      <x:c r="D65" s="14" t="str">
        <x:v>SKU-0045</x:v>
      </x:c>
      <x:c r="E65" s="52" t="n">
        <x:v>100</x:v>
      </x:c>
      <x:c r="F65" s="52" t="n">
        <x:v>50</x:v>
      </x:c>
      <x:c r="G65" s="53" t="n">
        <x:f>E65-F65</x:f>
        <x:v>50</x:v>
      </x:c>
      <x:c r="H65" s="40" t="n">
        <x:v>68.89</x:v>
      </x:c>
      <x:c r="I65" s="44" t="n">
        <x:f>E65*H65</x:f>
        <x:v>6889</x:v>
      </x:c>
      <x:c r="J65" s="50" t="n">
        <x:v>46223</x:v>
      </x:c>
      <x:c r="K65" s="14" t="str">
        <x:v>Partial</x:v>
      </x:c>
      <x:c r="L65" s="14" t="str">
        <x:v>Approved</x:v>
      </x:c>
      <x:c r="M65" s="50" t="n">
        <x:v>46260</x:v>
      </x:c>
    </x:row>
    <x:row r="66">
      <x:c r="A66" s="14" t="str">
        <x:v>PO-26-0065</x:v>
      </x:c>
      <x:c r="B66" s="50" t="n">
        <x:v>46209</x:v>
      </x:c>
      <x:c r="C66" s="14" t="str">
        <x:v>SUP-007</x:v>
      </x:c>
      <x:c r="D66" s="14" t="str">
        <x:v>SKU-0145</x:v>
      </x:c>
      <x:c r="E66" s="52" t="n">
        <x:v>1000</x:v>
      </x:c>
      <x:c r="F66" s="52" t="n">
        <x:v>750</x:v>
      </x:c>
      <x:c r="G66" s="53" t="n">
        <x:f>E66-F66</x:f>
        <x:v>250</x:v>
      </x:c>
      <x:c r="H66" s="40" t="n">
        <x:v>142.06</x:v>
      </x:c>
      <x:c r="I66" s="44" t="n">
        <x:f>E66*H66</x:f>
        <x:v>142060</x:v>
      </x:c>
      <x:c r="J66" s="50" t="n">
        <x:v>46236</x:v>
      </x:c>
      <x:c r="K66" s="14" t="str">
        <x:v>Partial</x:v>
      </x:c>
      <x:c r="L66" s="14" t="str">
        <x:v>Approved</x:v>
      </x:c>
      <x:c r="M66" s="50" t="n">
        <x:v>46239</x:v>
      </x:c>
    </x:row>
    <x:row r="67">
      <x:c r="A67" s="14" t="str">
        <x:v>PO-26-0066</x:v>
      </x:c>
      <x:c r="B67" s="50" t="n">
        <x:v>46236</x:v>
      </x:c>
      <x:c r="C67" s="14" t="str">
        <x:v>SUP-007</x:v>
      </x:c>
      <x:c r="D67" s="14" t="str">
        <x:v>SKU-0126</x:v>
      </x:c>
      <x:c r="E67" s="52" t="n">
        <x:v>50</x:v>
      </x:c>
      <x:c r="F67" s="52" t="n">
        <x:v>50</x:v>
      </x:c>
      <x:c r="G67" s="53" t="n">
        <x:f>E67-F67</x:f>
        <x:v>0</x:v>
      </x:c>
      <x:c r="H67" s="40" t="n">
        <x:v>7.7</x:v>
      </x:c>
      <x:c r="I67" s="44" t="n">
        <x:f>E67*H67</x:f>
        <x:v>385</x:v>
      </x:c>
      <x:c r="J67" s="50" t="n">
        <x:v>46281</x:v>
      </x:c>
      <x:c r="K67" s="14" t="str">
        <x:v>Closed</x:v>
      </x:c>
      <x:c r="L67" s="14" t="str">
        <x:v>Approved</x:v>
      </x:c>
      <x:c r="M67" s="50" t="n">
        <x:v>46296</x:v>
      </x:c>
    </x:row>
    <x:row r="68">
      <x:c r="A68" s="14" t="str">
        <x:v>PO-26-0067</x:v>
      </x:c>
      <x:c r="B68" s="50" t="n">
        <x:v>46245</x:v>
      </x:c>
      <x:c r="C68" s="14" t="str">
        <x:v>SUP-006</x:v>
      </x:c>
      <x:c r="D68" s="14" t="str">
        <x:v>SKU-0123</x:v>
      </x:c>
      <x:c r="E68" s="52" t="n">
        <x:v>200</x:v>
      </x:c>
      <x:c r="F68" s="52" t="n">
        <x:v>50</x:v>
      </x:c>
      <x:c r="G68" s="53" t="n">
        <x:f>E68-F68</x:f>
        <x:v>150</x:v>
      </x:c>
      <x:c r="H68" s="40" t="n">
        <x:v>121.8</x:v>
      </x:c>
      <x:c r="I68" s="44" t="n">
        <x:f>E68*H68</x:f>
        <x:v>24360</x:v>
      </x:c>
      <x:c r="J68" s="50" t="n">
        <x:v>46293</x:v>
      </x:c>
      <x:c r="K68" s="14" t="str">
        <x:v>Partial</x:v>
      </x:c>
      <x:c r="L68" s="14" t="str">
        <x:v>Approved</x:v>
      </x:c>
      <x:c r="M68" s="50" t="n">
        <x:v>46305</x:v>
      </x:c>
    </x:row>
    <x:row r="69">
      <x:c r="A69" s="14" t="str">
        <x:v>PO-26-0068</x:v>
      </x:c>
      <x:c r="B69" s="50" t="n">
        <x:v>46163</x:v>
      </x:c>
      <x:c r="C69" s="14" t="str">
        <x:v>SUP-003</x:v>
      </x:c>
      <x:c r="D69" s="14" t="str">
        <x:v>SKU-0046</x:v>
      </x:c>
      <x:c r="E69" s="52" t="n">
        <x:v>25</x:v>
      </x:c>
      <x:c r="F69" s="52" t="n">
        <x:v>25</x:v>
      </x:c>
      <x:c r="G69" s="53" t="n">
        <x:f>E69-F69</x:f>
        <x:v>0</x:v>
      </x:c>
      <x:c r="H69" s="40" t="n">
        <x:v>66.68</x:v>
      </x:c>
      <x:c r="I69" s="44" t="n">
        <x:f>E69*H69</x:f>
        <x:v>1667.0000000000002</x:v>
      </x:c>
      <x:c r="J69" s="50" t="n">
        <x:v>46195</x:v>
      </x:c>
      <x:c r="K69" s="14" t="str">
        <x:v>Closed</x:v>
      </x:c>
      <x:c r="L69" s="14" t="str">
        <x:v>Approved</x:v>
      </x:c>
      <x:c r="M69" s="50" t="n">
        <x:v>46223</x:v>
      </x:c>
    </x:row>
    <x:row r="70">
      <x:c r="A70" s="14" t="str">
        <x:v>PO-26-0069</x:v>
      </x:c>
      <x:c r="B70" s="50" t="n">
        <x:v>46227</x:v>
      </x:c>
      <x:c r="C70" s="14" t="str">
        <x:v>SUP-005</x:v>
      </x:c>
      <x:c r="D70" s="14" t="str">
        <x:v>SKU-0094</x:v>
      </x:c>
      <x:c r="E70" s="52" t="n">
        <x:v>200</x:v>
      </x:c>
      <x:c r="F70" s="52" t="n">
        <x:v>150</x:v>
      </x:c>
      <x:c r="G70" s="53" t="n">
        <x:f>E70-F70</x:f>
        <x:v>50</x:v>
      </x:c>
      <x:c r="H70" s="40" t="n">
        <x:v>4.75</x:v>
      </x:c>
      <x:c r="I70" s="44" t="n">
        <x:f>E70*H70</x:f>
        <x:v>950</x:v>
      </x:c>
      <x:c r="J70" s="50" t="n">
        <x:v>46279</x:v>
      </x:c>
      <x:c r="K70" s="14" t="str">
        <x:v>Partial</x:v>
      </x:c>
      <x:c r="L70" s="14" t="str">
        <x:v>Approved</x:v>
      </x:c>
      <x:c r="M70" s="50" t="n">
        <x:v>46272</x:v>
      </x:c>
    </x:row>
    <x:row r="71">
      <x:c r="A71" s="14" t="str">
        <x:v>PO-26-0070</x:v>
      </x:c>
      <x:c r="B71" s="50" t="n">
        <x:v>46211</x:v>
      </x:c>
      <x:c r="C71" s="14" t="str">
        <x:v>SUP-003</x:v>
      </x:c>
      <x:c r="D71" s="14" t="str">
        <x:v>SKU-0083</x:v>
      </x:c>
      <x:c r="E71" s="52" t="n">
        <x:v>75</x:v>
      </x:c>
      <x:c r="F71" s="52" t="n">
        <x:v>56</x:v>
      </x:c>
      <x:c r="G71" s="53" t="n">
        <x:f>E71-F71</x:f>
        <x:v>19</x:v>
      </x:c>
      <x:c r="H71" s="40" t="n">
        <x:v>126.42</x:v>
      </x:c>
      <x:c r="I71" s="44" t="n">
        <x:f>E71*H71</x:f>
        <x:v>9481.5</x:v>
      </x:c>
      <x:c r="J71" s="50" t="n">
        <x:v>46257</x:v>
      </x:c>
      <x:c r="K71" s="14" t="str">
        <x:v>Partial</x:v>
      </x:c>
      <x:c r="L71" s="14" t="str">
        <x:v>Approved</x:v>
      </x:c>
      <x:c r="M71" s="50" t="n">
        <x:v>46241</x:v>
      </x:c>
    </x:row>
    <x:row r="72">
      <x:c r="A72" s="14" t="str">
        <x:v>PO-26-0071</x:v>
      </x:c>
      <x:c r="B72" s="50" t="n">
        <x:v>46154</x:v>
      </x:c>
      <x:c r="C72" s="14" t="str">
        <x:v>SUP-009</x:v>
      </x:c>
      <x:c r="D72" s="14" t="str">
        <x:v>SKU-0144</x:v>
      </x:c>
      <x:c r="E72" s="52" t="n">
        <x:v>100</x:v>
      </x:c>
      <x:c r="F72" s="52" t="n">
        <x:v>25</x:v>
      </x:c>
      <x:c r="G72" s="53" t="n">
        <x:f>E72-F72</x:f>
        <x:v>75</x:v>
      </x:c>
      <x:c r="H72" s="40" t="n">
        <x:v>68.87</x:v>
      </x:c>
      <x:c r="I72" s="44" t="n">
        <x:f>E72*H72</x:f>
        <x:v>6887</x:v>
      </x:c>
      <x:c r="J72" s="50" t="n">
        <x:v>46211</x:v>
      </x:c>
      <x:c r="K72" s="14" t="str">
        <x:v>Partial</x:v>
      </x:c>
      <x:c r="L72" s="14" t="str">
        <x:v>Approved</x:v>
      </x:c>
      <x:c r="M72" s="50" t="n">
        <x:v>46214</x:v>
      </x:c>
    </x:row>
    <x:row r="73">
      <x:c r="A73" s="14" t="str">
        <x:v>PO-26-0072</x:v>
      </x:c>
      <x:c r="B73" s="50" t="n">
        <x:v>46213</x:v>
      </x:c>
      <x:c r="C73" s="14" t="str">
        <x:v>SUP-002</x:v>
      </x:c>
      <x:c r="D73" s="14" t="str">
        <x:v>SKU-0076</x:v>
      </x:c>
      <x:c r="E73" s="52" t="n">
        <x:v>75</x:v>
      </x:c>
      <x:c r="F73" s="52" t="n">
        <x:v>56</x:v>
      </x:c>
      <x:c r="G73" s="53" t="n">
        <x:f>E73-F73</x:f>
        <x:v>19</x:v>
      </x:c>
      <x:c r="H73" s="40" t="n">
        <x:v>132.93</x:v>
      </x:c>
      <x:c r="I73" s="44" t="n">
        <x:f>E73*H73</x:f>
        <x:v>9969.75</x:v>
      </x:c>
      <x:c r="J73" s="50" t="n">
        <x:v>46237</x:v>
      </x:c>
      <x:c r="K73" s="14" t="str">
        <x:v>Partial</x:v>
      </x:c>
      <x:c r="L73" s="14" t="str">
        <x:v>Received</x:v>
      </x:c>
      <x:c r="M73" s="50" t="n">
        <x:v>46273</x:v>
      </x:c>
    </x:row>
    <x:row r="74">
      <x:c r="A74" s="14" t="str">
        <x:v>PO-26-0073</x:v>
      </x:c>
      <x:c r="B74" s="50" t="n">
        <x:v>46189</x:v>
      </x:c>
      <x:c r="C74" s="14" t="str">
        <x:v>SUP-002</x:v>
      </x:c>
      <x:c r="D74" s="14" t="str">
        <x:v>SKU-0082</x:v>
      </x:c>
      <x:c r="E74" s="52" t="n">
        <x:v>1000</x:v>
      </x:c>
      <x:c r="F74" s="52" t="n">
        <x:v>1000</x:v>
      </x:c>
      <x:c r="G74" s="53" t="n">
        <x:f>E74-F74</x:f>
        <x:v>0</x:v>
      </x:c>
      <x:c r="H74" s="40" t="n">
        <x:v>79.16</x:v>
      </x:c>
      <x:c r="I74" s="44" t="n">
        <x:f>E74*H74</x:f>
        <x:v>79160</x:v>
      </x:c>
      <x:c r="J74" s="50" t="n">
        <x:v>46258</x:v>
      </x:c>
      <x:c r="K74" s="14" t="str">
        <x:v>Closed</x:v>
      </x:c>
      <x:c r="L74" s="14" t="str">
        <x:v>Approved</x:v>
      </x:c>
      <x:c r="M74" s="50" t="n">
        <x:v>46234</x:v>
      </x:c>
    </x:row>
    <x:row r="75">
      <x:c r="A75" s="14" t="str">
        <x:v>PO-26-0074</x:v>
      </x:c>
      <x:c r="B75" s="50" t="n">
        <x:v>46185</x:v>
      </x:c>
      <x:c r="C75" s="14" t="str">
        <x:v>SUP-001</x:v>
      </x:c>
      <x:c r="D75" s="14" t="str">
        <x:v>SKU-0020</x:v>
      </x:c>
      <x:c r="E75" s="52" t="n">
        <x:v>200</x:v>
      </x:c>
      <x:c r="F75" s="52" t="n">
        <x:v>50</x:v>
      </x:c>
      <x:c r="G75" s="53" t="n">
        <x:f>E75-F75</x:f>
        <x:v>150</x:v>
      </x:c>
      <x:c r="H75" s="40" t="n">
        <x:v>163.22</x:v>
      </x:c>
      <x:c r="I75" s="44" t="n">
        <x:f>E75*H75</x:f>
        <x:v>32644</x:v>
      </x:c>
      <x:c r="J75" s="50" t="n">
        <x:v>46226</x:v>
      </x:c>
      <x:c r="K75" s="14" t="str">
        <x:v>Partial</x:v>
      </x:c>
      <x:c r="L75" s="14" t="str">
        <x:v>Approved</x:v>
      </x:c>
      <x:c r="M75" s="50" t="n">
        <x:v>46230</x:v>
      </x:c>
    </x:row>
    <x:row r="76">
      <x:c r="A76" s="14" t="str">
        <x:v>PO-26-0075</x:v>
      </x:c>
      <x:c r="B76" s="50" t="n">
        <x:v>46178</x:v>
      </x:c>
      <x:c r="C76" s="14" t="str">
        <x:v>SUP-011</x:v>
      </x:c>
      <x:c r="D76" s="14" t="str">
        <x:v>SKU-0003</x:v>
      </x:c>
      <x:c r="E76" s="52" t="n">
        <x:v>100</x:v>
      </x:c>
      <x:c r="F76" s="52" t="n">
        <x:v>100</x:v>
      </x:c>
      <x:c r="G76" s="53" t="n">
        <x:f>E76-F76</x:f>
        <x:v>0</x:v>
      </x:c>
      <x:c r="H76" s="40" t="n">
        <x:v>141.04</x:v>
      </x:c>
      <x:c r="I76" s="44" t="n">
        <x:f>E76*H76</x:f>
        <x:v>14104</x:v>
      </x:c>
      <x:c r="J76" s="50" t="n">
        <x:v>46190</x:v>
      </x:c>
      <x:c r="K76" s="14" t="str">
        <x:v>Closed</x:v>
      </x:c>
      <x:c r="L76" s="14" t="str">
        <x:v>Paid</x:v>
      </x:c>
      <x:c r="M76" s="50" t="n">
        <x:v>46223</x:v>
      </x:c>
    </x:row>
    <x:row r="77">
      <x:c r="A77" s="14" t="str">
        <x:v>PO-26-0076</x:v>
      </x:c>
      <x:c r="B77" s="50" t="n">
        <x:v>46245</x:v>
      </x:c>
      <x:c r="C77" s="14" t="str">
        <x:v>SUP-011</x:v>
      </x:c>
      <x:c r="D77" s="14" t="str">
        <x:v>SKU-0028</x:v>
      </x:c>
      <x:c r="E77" s="52" t="n">
        <x:v>25</x:v>
      </x:c>
      <x:c r="F77" s="52" t="n">
        <x:v>25</x:v>
      </x:c>
      <x:c r="G77" s="53" t="n">
        <x:f>E77-F77</x:f>
        <x:v>0</x:v>
      </x:c>
      <x:c r="H77" s="40" t="n">
        <x:v>274.39</x:v>
      </x:c>
      <x:c r="I77" s="44" t="n">
        <x:f>E77*H77</x:f>
        <x:v>6859.75</x:v>
      </x:c>
      <x:c r="J77" s="50" t="n">
        <x:v>46295</x:v>
      </x:c>
      <x:c r="K77" s="14" t="str">
        <x:v>Closed</x:v>
      </x:c>
      <x:c r="L77" s="14" t="str">
        <x:v>Approved</x:v>
      </x:c>
      <x:c r="M77" s="50" t="n">
        <x:v>46290</x:v>
      </x:c>
    </x:row>
    <x:row r="78">
      <x:c r="A78" s="14" t="str">
        <x:v>PO-26-0077</x:v>
      </x:c>
      <x:c r="B78" s="50" t="n">
        <x:v>46149</x:v>
      </x:c>
      <x:c r="C78" s="14" t="str">
        <x:v>SUP-002</x:v>
      </x:c>
      <x:c r="D78" s="14" t="str">
        <x:v>SKU-0127</x:v>
      </x:c>
      <x:c r="E78" s="52" t="n">
        <x:v>200</x:v>
      </x:c>
      <x:c r="F78" s="52" t="n">
        <x:v>200</x:v>
      </x:c>
      <x:c r="G78" s="53" t="n">
        <x:f>E78-F78</x:f>
        <x:v>0</x:v>
      </x:c>
      <x:c r="H78" s="40" t="n">
        <x:v>114.9</x:v>
      </x:c>
      <x:c r="I78" s="44" t="n">
        <x:f>E78*H78</x:f>
        <x:v>22980</x:v>
      </x:c>
      <x:c r="J78" s="50" t="n">
        <x:v>46207</x:v>
      </x:c>
      <x:c r="K78" s="14" t="str">
        <x:v>Closed</x:v>
      </x:c>
      <x:c r="L78" s="14" t="str">
        <x:v>Paid</x:v>
      </x:c>
      <x:c r="M78" s="50" t="n">
        <x:v>46209</x:v>
      </x:c>
    </x:row>
    <x:row r="79">
      <x:c r="A79" s="14" t="str">
        <x:v>PO-26-0078</x:v>
      </x:c>
      <x:c r="B79" s="50" t="n">
        <x:v>46204</x:v>
      </x:c>
      <x:c r="C79" s="14" t="str">
        <x:v>SUP-010</x:v>
      </x:c>
      <x:c r="D79" s="14" t="str">
        <x:v>SKU-0058</x:v>
      </x:c>
      <x:c r="E79" s="52" t="n">
        <x:v>500</x:v>
      </x:c>
      <x:c r="F79" s="52" t="n">
        <x:v>500</x:v>
      </x:c>
      <x:c r="G79" s="53" t="n">
        <x:f>E79-F79</x:f>
        <x:v>0</x:v>
      </x:c>
      <x:c r="H79" s="40" t="n">
        <x:v>226.78</x:v>
      </x:c>
      <x:c r="I79" s="44" t="n">
        <x:f>E79*H79</x:f>
        <x:v>113390</x:v>
      </x:c>
      <x:c r="J79" s="50" t="n">
        <x:v>46244</x:v>
      </x:c>
      <x:c r="K79" s="14" t="str">
        <x:v>Closed</x:v>
      </x:c>
      <x:c r="L79" s="14" t="str">
        <x:v>Paid</x:v>
      </x:c>
      <x:c r="M79" s="50" t="n">
        <x:v>46234</x:v>
      </x:c>
    </x:row>
    <x:row r="80">
      <x:c r="A80" s="14" t="str">
        <x:v>PO-26-0079</x:v>
      </x:c>
      <x:c r="B80" s="50" t="n">
        <x:v>46179</x:v>
      </x:c>
      <x:c r="C80" s="14" t="str">
        <x:v>SUP-002</x:v>
      </x:c>
      <x:c r="D80" s="14" t="str">
        <x:v>SKU-0082</x:v>
      </x:c>
      <x:c r="E80" s="52" t="n">
        <x:v>50</x:v>
      </x:c>
      <x:c r="F80" s="52" t="n">
        <x:v>50</x:v>
      </x:c>
      <x:c r="G80" s="53" t="n">
        <x:f>E80-F80</x:f>
        <x:v>0</x:v>
      </x:c>
      <x:c r="H80" s="40" t="n">
        <x:v>79.16</x:v>
      </x:c>
      <x:c r="I80" s="44" t="n">
        <x:f>E80*H80</x:f>
        <x:v>3958</x:v>
      </x:c>
      <x:c r="J80" s="50" t="n">
        <x:v>46238</x:v>
      </x:c>
      <x:c r="K80" s="14" t="str">
        <x:v>Closed</x:v>
      </x:c>
      <x:c r="L80" s="14" t="str">
        <x:v>Paid</x:v>
      </x:c>
      <x:c r="M80" s="50" t="n">
        <x:v>46209</x:v>
      </x:c>
    </x:row>
    <x:row r="81">
      <x:c r="A81" s="14" t="str">
        <x:v>PO-26-0080</x:v>
      </x:c>
      <x:c r="B81" s="50" t="n">
        <x:v>46105</x:v>
      </x:c>
      <x:c r="C81" s="14" t="str">
        <x:v>SUP-001</x:v>
      </x:c>
      <x:c r="D81" s="14" t="str">
        <x:v>SKU-0020</x:v>
      </x:c>
      <x:c r="E81" s="52" t="n">
        <x:v>50</x:v>
      </x:c>
      <x:c r="F81" s="52" t="n">
        <x:v>50</x:v>
      </x:c>
      <x:c r="G81" s="53" t="n">
        <x:f>E81-F81</x:f>
        <x:v>0</x:v>
      </x:c>
      <x:c r="H81" s="40" t="n">
        <x:v>163.22</x:v>
      </x:c>
      <x:c r="I81" s="44" t="n">
        <x:f>E81*H81</x:f>
        <x:v>8161</x:v>
      </x:c>
      <x:c r="J81" s="50" t="n">
        <x:v>46159</x:v>
      </x:c>
      <x:c r="K81" s="14" t="str">
        <x:v>Closed</x:v>
      </x:c>
      <x:c r="L81" s="14" t="str">
        <x:v>Approved</x:v>
      </x:c>
      <x:c r="M81" s="50" t="n">
        <x:v>46150</x:v>
      </x:c>
    </x:row>
    <x:row r="82">
      <x:c r="A82" s="14" t="str">
        <x:v>PO-26-0081</x:v>
      </x:c>
      <x:c r="B82" s="50" t="n">
        <x:v>46134</x:v>
      </x:c>
      <x:c r="C82" s="14" t="str">
        <x:v>SUP-003</x:v>
      </x:c>
      <x:c r="D82" s="14" t="str">
        <x:v>SKU-0043</x:v>
      </x:c>
      <x:c r="E82" s="52" t="n">
        <x:v>75</x:v>
      </x:c>
      <x:c r="F82" s="52" t="n">
        <x:v>75</x:v>
      </x:c>
      <x:c r="G82" s="53" t="n">
        <x:f>E82-F82</x:f>
        <x:v>0</x:v>
      </x:c>
      <x:c r="H82" s="40" t="n">
        <x:v>224.89</x:v>
      </x:c>
      <x:c r="I82" s="44" t="n">
        <x:f>E82*H82</x:f>
        <x:v>16866.75</x:v>
      </x:c>
      <x:c r="J82" s="50" t="n">
        <x:v>46194</x:v>
      </x:c>
      <x:c r="K82" s="14" t="str">
        <x:v>Closed</x:v>
      </x:c>
      <x:c r="L82" s="14" t="str">
        <x:v>Approved</x:v>
      </x:c>
      <x:c r="M82" s="50" t="n">
        <x:v>46164</x:v>
      </x:c>
    </x:row>
    <x:row r="83">
      <x:c r="A83" s="14" t="str">
        <x:v>PO-26-0082</x:v>
      </x:c>
      <x:c r="B83" s="50" t="n">
        <x:v>46107</x:v>
      </x:c>
      <x:c r="C83" s="14" t="str">
        <x:v>SUP-001</x:v>
      </x:c>
      <x:c r="D83" s="14" t="str">
        <x:v>SKU-0105</x:v>
      </x:c>
      <x:c r="E83" s="52" t="n">
        <x:v>150</x:v>
      </x:c>
      <x:c r="F83" s="52" t="n">
        <x:v>75</x:v>
      </x:c>
      <x:c r="G83" s="53" t="n">
        <x:f>E83-F83</x:f>
        <x:v>75</x:v>
      </x:c>
      <x:c r="H83" s="40" t="n">
        <x:v>112.98</x:v>
      </x:c>
      <x:c r="I83" s="44" t="n">
        <x:f>E83*H83</x:f>
        <x:v>16947</x:v>
      </x:c>
      <x:c r="J83" s="50" t="n">
        <x:v>46158</x:v>
      </x:c>
      <x:c r="K83" s="14" t="str">
        <x:v>Partial</x:v>
      </x:c>
      <x:c r="L83" s="14" t="str">
        <x:v>Not Received</x:v>
      </x:c>
      <x:c r="M83" s="50" t="n">
        <x:v>46137</x:v>
      </x:c>
    </x:row>
    <x:row r="84">
      <x:c r="A84" s="14" t="str">
        <x:v>PO-26-0083</x:v>
      </x:c>
      <x:c r="B84" s="50" t="n">
        <x:v>46105</x:v>
      </x:c>
      <x:c r="C84" s="14" t="str">
        <x:v>SUP-010</x:v>
      </x:c>
      <x:c r="D84" s="14" t="str">
        <x:v>SKU-0101</x:v>
      </x:c>
      <x:c r="E84" s="52" t="n">
        <x:v>500</x:v>
      </x:c>
      <x:c r="F84" s="52" t="n">
        <x:v>500</x:v>
      </x:c>
      <x:c r="G84" s="53" t="n">
        <x:f>E84-F84</x:f>
        <x:v>0</x:v>
      </x:c>
      <x:c r="H84" s="40" t="n">
        <x:v>63.93</x:v>
      </x:c>
      <x:c r="I84" s="44" t="n">
        <x:f>E84*H84</x:f>
        <x:v>31965</x:v>
      </x:c>
      <x:c r="J84" s="50" t="n">
        <x:v>46159</x:v>
      </x:c>
      <x:c r="K84" s="14" t="str">
        <x:v>Closed</x:v>
      </x:c>
      <x:c r="L84" s="14" t="str">
        <x:v>Approved</x:v>
      </x:c>
      <x:c r="M84" s="50" t="n">
        <x:v>46150</x:v>
      </x:c>
    </x:row>
    <x:row r="85">
      <x:c r="A85" s="14" t="str">
        <x:v>PO-26-0084</x:v>
      </x:c>
      <x:c r="B85" s="50" t="n">
        <x:v>46170</x:v>
      </x:c>
      <x:c r="C85" s="14" t="str">
        <x:v>SUP-004</x:v>
      </x:c>
      <x:c r="D85" s="14" t="str">
        <x:v>SKU-0023</x:v>
      </x:c>
      <x:c r="E85" s="52" t="n">
        <x:v>1000</x:v>
      </x:c>
      <x:c r="F85" s="52" t="n">
        <x:v>1000</x:v>
      </x:c>
      <x:c r="G85" s="53" t="n">
        <x:f>E85-F85</x:f>
        <x:v>0</x:v>
      </x:c>
      <x:c r="H85" s="40" t="n">
        <x:v>76.21</x:v>
      </x:c>
      <x:c r="I85" s="44" t="n">
        <x:f>E85*H85</x:f>
        <x:v>76210</x:v>
      </x:c>
      <x:c r="J85" s="50" t="n">
        <x:v>46223</x:v>
      </x:c>
      <x:c r="K85" s="14" t="str">
        <x:v>Closed</x:v>
      </x:c>
      <x:c r="L85" s="14" t="str">
        <x:v>Approved</x:v>
      </x:c>
      <x:c r="M85" s="50" t="n">
        <x:v>46200</x:v>
      </x:c>
    </x:row>
    <x:row r="86">
      <x:c r="A86" s="14" t="str">
        <x:v>PO-26-0085</x:v>
      </x:c>
      <x:c r="B86" s="50" t="n">
        <x:v>46171</x:v>
      </x:c>
      <x:c r="C86" s="14" t="str">
        <x:v>SUP-009</x:v>
      </x:c>
      <x:c r="D86" s="14" t="str">
        <x:v>SKU-0044</x:v>
      </x:c>
      <x:c r="E86" s="52" t="n">
        <x:v>50</x:v>
      </x:c>
      <x:c r="F86" s="52" t="n">
        <x:v>50</x:v>
      </x:c>
      <x:c r="G86" s="53" t="n">
        <x:f>E86-F86</x:f>
        <x:v>0</x:v>
      </x:c>
      <x:c r="H86" s="40" t="n">
        <x:v>126.24</x:v>
      </x:c>
      <x:c r="I86" s="44" t="n">
        <x:f>E86*H86</x:f>
        <x:v>6312</x:v>
      </x:c>
      <x:c r="J86" s="50" t="n">
        <x:v>46224</x:v>
      </x:c>
      <x:c r="K86" s="14" t="str">
        <x:v>Closed</x:v>
      </x:c>
      <x:c r="L86" s="14" t="str">
        <x:v>Paid</x:v>
      </x:c>
      <x:c r="M86" s="50" t="n">
        <x:v>46216</x:v>
      </x:c>
    </x:row>
    <x:row r="87">
      <x:c r="A87" s="14" t="str">
        <x:v>PO-26-0086</x:v>
      </x:c>
      <x:c r="B87" s="50" t="n">
        <x:v>46120</x:v>
      </x:c>
      <x:c r="C87" s="14" t="str">
        <x:v>SUP-006</x:v>
      </x:c>
      <x:c r="D87" s="14" t="str">
        <x:v>SKU-0121</x:v>
      </x:c>
      <x:c r="E87" s="52" t="n">
        <x:v>150</x:v>
      </x:c>
      <x:c r="F87" s="52" t="n">
        <x:v>150</x:v>
      </x:c>
      <x:c r="G87" s="53" t="n">
        <x:f>E87-F87</x:f>
        <x:v>0</x:v>
      </x:c>
      <x:c r="H87" s="40" t="n">
        <x:v>88.98</x:v>
      </x:c>
      <x:c r="I87" s="44" t="n">
        <x:f>E87*H87</x:f>
        <x:v>13347</x:v>
      </x:c>
      <x:c r="J87" s="50" t="n">
        <x:v>46142</x:v>
      </x:c>
      <x:c r="K87" s="14" t="str">
        <x:v>Closed</x:v>
      </x:c>
      <x:c r="L87" s="14" t="str">
        <x:v>Paid</x:v>
      </x:c>
      <x:c r="M87" s="50" t="n">
        <x:v>46150</x:v>
      </x:c>
    </x:row>
    <x:row r="88">
      <x:c r="A88" s="14" t="str">
        <x:v>PO-26-0087</x:v>
      </x:c>
      <x:c r="B88" s="50" t="n">
        <x:v>46148</x:v>
      </x:c>
      <x:c r="C88" s="14" t="str">
        <x:v>SUP-010</x:v>
      </x:c>
      <x:c r="D88" s="14" t="str">
        <x:v>SKU-0095</x:v>
      </x:c>
      <x:c r="E88" s="52" t="n">
        <x:v>200</x:v>
      </x:c>
      <x:c r="F88" s="52" t="n">
        <x:v>200</x:v>
      </x:c>
      <x:c r="G88" s="53" t="n">
        <x:f>E88-F88</x:f>
        <x:v>0</x:v>
      </x:c>
      <x:c r="H88" s="40" t="n">
        <x:v>225.04</x:v>
      </x:c>
      <x:c r="I88" s="44" t="n">
        <x:f>E88*H88</x:f>
        <x:v>45008</x:v>
      </x:c>
      <x:c r="J88" s="50" t="n">
        <x:v>46199</x:v>
      </x:c>
      <x:c r="K88" s="14" t="str">
        <x:v>Closed</x:v>
      </x:c>
      <x:c r="L88" s="14" t="str">
        <x:v>Paid</x:v>
      </x:c>
      <x:c r="M88" s="50" t="n">
        <x:v>46193</x:v>
      </x:c>
    </x:row>
    <x:row r="89">
      <x:c r="A89" s="14" t="str">
        <x:v>PO-26-0088</x:v>
      </x:c>
      <x:c r="B89" s="50" t="n">
        <x:v>46178</x:v>
      </x:c>
      <x:c r="C89" s="14" t="str">
        <x:v>SUP-002</x:v>
      </x:c>
      <x:c r="D89" s="14" t="str">
        <x:v>SKU-0120</x:v>
      </x:c>
      <x:c r="E89" s="52" t="n">
        <x:v>100</x:v>
      </x:c>
      <x:c r="F89" s="52" t="n">
        <x:v>0</x:v>
      </x:c>
      <x:c r="G89" s="53" t="n">
        <x:f>E89-F89</x:f>
        <x:v>100</x:v>
      </x:c>
      <x:c r="H89" s="40" t="n">
        <x:v>41.87</x:v>
      </x:c>
      <x:c r="I89" s="44" t="n">
        <x:f>E89*H89</x:f>
        <x:v>4187</x:v>
      </x:c>
      <x:c r="J89" s="50" t="n">
        <x:v>46197</x:v>
      </x:c>
      <x:c r="K89" s="14" t="str">
        <x:v>Open</x:v>
      </x:c>
      <x:c r="L89" s="14" t="str">
        <x:v>Not Received</x:v>
      </x:c>
      <x:c r="M89" s="50" t="n">
        <x:v>46208</x:v>
      </x:c>
    </x:row>
    <x:row r="90">
      <x:c r="A90" s="14" t="str">
        <x:v>PO-26-0089</x:v>
      </x:c>
      <x:c r="B90" s="50" t="n">
        <x:v>46107</x:v>
      </x:c>
      <x:c r="C90" s="14" t="str">
        <x:v>SUP-008</x:v>
      </x:c>
      <x:c r="D90" s="14" t="str">
        <x:v>SKU-0089</x:v>
      </x:c>
      <x:c r="E90" s="52" t="n">
        <x:v>300</x:v>
      </x:c>
      <x:c r="F90" s="52" t="n">
        <x:v>75</x:v>
      </x:c>
      <x:c r="G90" s="53" t="n">
        <x:f>E90-F90</x:f>
        <x:v>225</x:v>
      </x:c>
      <x:c r="H90" s="40" t="n">
        <x:v>48.67</x:v>
      </x:c>
      <x:c r="I90" s="44" t="n">
        <x:f>E90*H90</x:f>
        <x:v>14601</x:v>
      </x:c>
      <x:c r="J90" s="50" t="n">
        <x:v>46144</x:v>
      </x:c>
      <x:c r="K90" s="14" t="str">
        <x:v>Partial</x:v>
      </x:c>
      <x:c r="L90" s="14" t="str">
        <x:v>Not Received</x:v>
      </x:c>
      <x:c r="M90" s="50" t="n">
        <x:v>46152</x:v>
      </x:c>
    </x:row>
    <x:row r="91">
      <x:c r="A91" s="14" t="str">
        <x:v>PO-26-0090</x:v>
      </x:c>
      <x:c r="B91" s="50" t="n">
        <x:v>46138</x:v>
      </x:c>
      <x:c r="C91" s="14" t="str">
        <x:v>SUP-008</x:v>
      </x:c>
      <x:c r="D91" s="14" t="str">
        <x:v>SKU-0134</x:v>
      </x:c>
      <x:c r="E91" s="52" t="n">
        <x:v>750</x:v>
      </x:c>
      <x:c r="F91" s="52" t="n">
        <x:v>562</x:v>
      </x:c>
      <x:c r="G91" s="53" t="n">
        <x:f>E91-F91</x:f>
        <x:v>188</x:v>
      </x:c>
      <x:c r="H91" s="40" t="n">
        <x:v>254.76</x:v>
      </x:c>
      <x:c r="I91" s="44" t="n">
        <x:f>E91*H91</x:f>
        <x:v>191070</x:v>
      </x:c>
      <x:c r="J91" s="50" t="n">
        <x:v>46179</x:v>
      </x:c>
      <x:c r="K91" s="14" t="str">
        <x:v>Partial</x:v>
      </x:c>
      <x:c r="L91" s="14" t="str">
        <x:v>Paid</x:v>
      </x:c>
      <x:c r="M91" s="50" t="n">
        <x:v>46183</x:v>
      </x:c>
    </x:row>
    <x:row r="92">
      <x:c r="A92" s="14" t="str">
        <x:v>PO-26-0091</x:v>
      </x:c>
      <x:c r="B92" s="50" t="n">
        <x:v>46144</x:v>
      </x:c>
      <x:c r="C92" s="14" t="str">
        <x:v>SUP-001</x:v>
      </x:c>
      <x:c r="D92" s="14" t="str">
        <x:v>SKU-0021</x:v>
      </x:c>
      <x:c r="E92" s="52" t="n">
        <x:v>25</x:v>
      </x:c>
      <x:c r="F92" s="52" t="n">
        <x:v>25</x:v>
      </x:c>
      <x:c r="G92" s="53" t="n">
        <x:f>E92-F92</x:f>
        <x:v>0</x:v>
      </x:c>
      <x:c r="H92" s="40" t="n">
        <x:v>269.12</x:v>
      </x:c>
      <x:c r="I92" s="44" t="n">
        <x:f>E92*H92</x:f>
        <x:v>6728</x:v>
      </x:c>
      <x:c r="J92" s="50" t="n">
        <x:v>46205</x:v>
      </x:c>
      <x:c r="K92" s="14" t="str">
        <x:v>Closed</x:v>
      </x:c>
      <x:c r="L92" s="14" t="str">
        <x:v>Approved</x:v>
      </x:c>
      <x:c r="M92" s="50" t="n">
        <x:v>46174</x:v>
      </x:c>
    </x:row>
    <x:row r="93">
      <x:c r="A93" s="14" t="str">
        <x:v>PO-26-0092</x:v>
      </x:c>
      <x:c r="B93" s="50" t="n">
        <x:v>46201</x:v>
      </x:c>
      <x:c r="C93" s="14" t="str">
        <x:v>SUP-002</x:v>
      </x:c>
      <x:c r="D93" s="14" t="str">
        <x:v>SKU-0115</x:v>
      </x:c>
      <x:c r="E93" s="52" t="n">
        <x:v>75</x:v>
      </x:c>
      <x:c r="F93" s="52" t="n">
        <x:v>18</x:v>
      </x:c>
      <x:c r="G93" s="53" t="n">
        <x:f>E93-F93</x:f>
        <x:v>57</x:v>
      </x:c>
      <x:c r="H93" s="40" t="n">
        <x:v>27.81</x:v>
      </x:c>
      <x:c r="I93" s="44" t="n">
        <x:f>E93*H93</x:f>
        <x:v>2085.75</x:v>
      </x:c>
      <x:c r="J93" s="50" t="n">
        <x:v>46230</x:v>
      </x:c>
      <x:c r="K93" s="14" t="str">
        <x:v>Partial</x:v>
      </x:c>
      <x:c r="L93" s="14" t="str">
        <x:v>Not Received</x:v>
      </x:c>
      <x:c r="M93" s="50" t="n">
        <x:v>46246</x:v>
      </x:c>
    </x:row>
    <x:row r="94">
      <x:c r="A94" s="14" t="str">
        <x:v>PO-26-0093</x:v>
      </x:c>
      <x:c r="B94" s="50" t="n">
        <x:v>46134</x:v>
      </x:c>
      <x:c r="C94" s="14" t="str">
        <x:v>SUP-001</x:v>
      </x:c>
      <x:c r="D94" s="14" t="str">
        <x:v>SKU-0021</x:v>
      </x:c>
      <x:c r="E94" s="52" t="n">
        <x:v>100</x:v>
      </x:c>
      <x:c r="F94" s="52" t="n">
        <x:v>25</x:v>
      </x:c>
      <x:c r="G94" s="53" t="n">
        <x:f>E94-F94</x:f>
        <x:v>75</x:v>
      </x:c>
      <x:c r="H94" s="40" t="n">
        <x:v>269.12</x:v>
      </x:c>
      <x:c r="I94" s="44" t="n">
        <x:f>E94*H94</x:f>
        <x:v>26912</x:v>
      </x:c>
      <x:c r="J94" s="50" t="n">
        <x:v>46187</x:v>
      </x:c>
      <x:c r="K94" s="14" t="str">
        <x:v>Partial</x:v>
      </x:c>
      <x:c r="L94" s="14" t="str">
        <x:v>Approved</x:v>
      </x:c>
      <x:c r="M94" s="50" t="n">
        <x:v>46194</x:v>
      </x:c>
    </x:row>
    <x:row r="95">
      <x:c r="A95" s="14" t="str">
        <x:v>PO-26-0094</x:v>
      </x:c>
      <x:c r="B95" s="50" t="n">
        <x:v>46223</x:v>
      </x:c>
      <x:c r="C95" s="14" t="str">
        <x:v>SUP-004</x:v>
      </x:c>
      <x:c r="D95" s="14" t="str">
        <x:v>SKU-0018</x:v>
      </x:c>
      <x:c r="E95" s="52" t="n">
        <x:v>300</x:v>
      </x:c>
      <x:c r="F95" s="52" t="n">
        <x:v>300</x:v>
      </x:c>
      <x:c r="G95" s="53" t="n">
        <x:f>E95-F95</x:f>
        <x:v>0</x:v>
      </x:c>
      <x:c r="H95" s="40" t="n">
        <x:v>48.65</x:v>
      </x:c>
      <x:c r="I95" s="44" t="n">
        <x:f>E95*H95</x:f>
        <x:v>14595</x:v>
      </x:c>
      <x:c r="J95" s="50" t="n">
        <x:v>46252</x:v>
      </x:c>
      <x:c r="K95" s="14" t="str">
        <x:v>Closed</x:v>
      </x:c>
      <x:c r="L95" s="14" t="str">
        <x:v>Paid</x:v>
      </x:c>
      <x:c r="M95" s="50" t="n">
        <x:v>46268</x:v>
      </x:c>
    </x:row>
    <x:row r="96">
      <x:c r="A96" s="14" t="str">
        <x:v>PO-26-0095</x:v>
      </x:c>
      <x:c r="B96" s="50" t="n">
        <x:v>46128</x:v>
      </x:c>
      <x:c r="C96" s="14" t="str">
        <x:v>SUP-008</x:v>
      </x:c>
      <x:c r="D96" s="14" t="str">
        <x:v>SKU-0134</x:v>
      </x:c>
      <x:c r="E96" s="52" t="n">
        <x:v>25</x:v>
      </x:c>
      <x:c r="F96" s="52" t="n">
        <x:v>18</x:v>
      </x:c>
      <x:c r="G96" s="53" t="n">
        <x:f>E96-F96</x:f>
        <x:v>7</x:v>
      </x:c>
      <x:c r="H96" s="40" t="n">
        <x:v>254.76</x:v>
      </x:c>
      <x:c r="I96" s="44" t="n">
        <x:f>E96*H96</x:f>
        <x:v>6369</x:v>
      </x:c>
      <x:c r="J96" s="50" t="n">
        <x:v>46165</x:v>
      </x:c>
      <x:c r="K96" s="14" t="str">
        <x:v>Partial</x:v>
      </x:c>
      <x:c r="L96" s="14" t="str">
        <x:v>Paid</x:v>
      </x:c>
      <x:c r="M96" s="50" t="n">
        <x:v>46158</x:v>
      </x:c>
    </x:row>
    <x:row r="97">
      <x:c r="A97" s="14" t="str">
        <x:v>PO-26-0096</x:v>
      </x:c>
      <x:c r="B97" s="50" t="n">
        <x:v>46220</x:v>
      </x:c>
      <x:c r="C97" s="14" t="str">
        <x:v>SUP-010</x:v>
      </x:c>
      <x:c r="D97" s="14" t="str">
        <x:v>SKU-0038</x:v>
      </x:c>
      <x:c r="E97" s="52" t="n">
        <x:v>50</x:v>
      </x:c>
      <x:c r="F97" s="52" t="n">
        <x:v>50</x:v>
      </x:c>
      <x:c r="G97" s="53" t="n">
        <x:f>E97-F97</x:f>
        <x:v>0</x:v>
      </x:c>
      <x:c r="H97" s="40" t="n">
        <x:v>160.43</x:v>
      </x:c>
      <x:c r="I97" s="44" t="n">
        <x:f>E97*H97</x:f>
        <x:v>8021.5</x:v>
      </x:c>
      <x:c r="J97" s="50" t="n">
        <x:v>46238</x:v>
      </x:c>
      <x:c r="K97" s="14" t="str">
        <x:v>Closed</x:v>
      </x:c>
      <x:c r="L97" s="14" t="str">
        <x:v>Paid</x:v>
      </x:c>
      <x:c r="M97" s="50" t="n">
        <x:v>46280</x:v>
      </x:c>
    </x:row>
    <x:row r="98">
      <x:c r="A98" s="14" t="str">
        <x:v>PO-26-0097</x:v>
      </x:c>
      <x:c r="B98" s="50" t="n">
        <x:v>46140</x:v>
      </x:c>
      <x:c r="C98" s="14" t="str">
        <x:v>SUP-008</x:v>
      </x:c>
      <x:c r="D98" s="14" t="str">
        <x:v>SKU-0089</x:v>
      </x:c>
      <x:c r="E98" s="52" t="n">
        <x:v>150</x:v>
      </x:c>
      <x:c r="F98" s="52" t="n">
        <x:v>150</x:v>
      </x:c>
      <x:c r="G98" s="53" t="n">
        <x:f>E98-F98</x:f>
        <x:v>0</x:v>
      </x:c>
      <x:c r="H98" s="40" t="n">
        <x:v>48.67</x:v>
      </x:c>
      <x:c r="I98" s="44" t="n">
        <x:f>E98*H98</x:f>
        <x:v>7300.5</x:v>
      </x:c>
      <x:c r="J98" s="50" t="n">
        <x:v>46175</x:v>
      </x:c>
      <x:c r="K98" s="14" t="str">
        <x:v>Closed</x:v>
      </x:c>
      <x:c r="L98" s="14" t="str">
        <x:v>Paid</x:v>
      </x:c>
      <x:c r="M98" s="50" t="n">
        <x:v>46170</x:v>
      </x:c>
    </x:row>
    <x:row r="99">
      <x:c r="A99" s="14" t="str">
        <x:v>PO-26-0098</x:v>
      </x:c>
      <x:c r="B99" s="50" t="n">
        <x:v>46175</x:v>
      </x:c>
      <x:c r="C99" s="14" t="str">
        <x:v>SUP-011</x:v>
      </x:c>
      <x:c r="D99" s="14" t="str">
        <x:v>SKU-0045</x:v>
      </x:c>
      <x:c r="E99" s="52" t="n">
        <x:v>300</x:v>
      </x:c>
      <x:c r="F99" s="52" t="n">
        <x:v>300</x:v>
      </x:c>
      <x:c r="G99" s="53" t="n">
        <x:f>E99-F99</x:f>
        <x:v>0</x:v>
      </x:c>
      <x:c r="H99" s="40" t="n">
        <x:v>68.89</x:v>
      </x:c>
      <x:c r="I99" s="44" t="n">
        <x:f>E99*H99</x:f>
        <x:v>20667</x:v>
      </x:c>
      <x:c r="J99" s="50" t="n">
        <x:v>46210</x:v>
      </x:c>
      <x:c r="K99" s="14" t="str">
        <x:v>Closed</x:v>
      </x:c>
      <x:c r="L99" s="14" t="str">
        <x:v>Approved</x:v>
      </x:c>
      <x:c r="M99" s="50" t="n">
        <x:v>46220</x:v>
      </x:c>
    </x:row>
    <x:row r="100">
      <x:c r="A100" s="14" t="str">
        <x:v>PO-26-0099</x:v>
      </x:c>
      <x:c r="B100" s="50" t="n">
        <x:v>46185</x:v>
      </x:c>
      <x:c r="C100" s="14" t="str">
        <x:v>SUP-011</x:v>
      </x:c>
      <x:c r="D100" s="14" t="str">
        <x:v>SKU-0085</x:v>
      </x:c>
      <x:c r="E100" s="52" t="n">
        <x:v>25</x:v>
      </x:c>
      <x:c r="F100" s="52" t="n">
        <x:v>12</x:v>
      </x:c>
      <x:c r="G100" s="53" t="n">
        <x:f>E100-F100</x:f>
        <x:v>13</x:v>
      </x:c>
      <x:c r="H100" s="40" t="n">
        <x:v>222.39</x:v>
      </x:c>
      <x:c r="I100" s="44" t="n">
        <x:f>E100*H100</x:f>
        <x:v>5559.75</x:v>
      </x:c>
      <x:c r="J100" s="50" t="n">
        <x:v>46230</x:v>
      </x:c>
      <x:c r="K100" s="14" t="str">
        <x:v>Partial</x:v>
      </x:c>
      <x:c r="L100" s="14" t="str">
        <x:v>Not Received</x:v>
      </x:c>
      <x:c r="M100" s="50" t="n">
        <x:v>46230</x:v>
      </x:c>
    </x:row>
    <x:row r="101">
      <x:c r="A101" s="14" t="str">
        <x:v>PO-26-0100</x:v>
      </x:c>
      <x:c r="B101" s="50" t="n">
        <x:v>46166</x:v>
      </x:c>
      <x:c r="C101" s="14" t="str">
        <x:v>SUP-007</x:v>
      </x:c>
      <x:c r="D101" s="14" t="str">
        <x:v>SKU-0078</x:v>
      </x:c>
      <x:c r="E101" s="52" t="n">
        <x:v>150</x:v>
      </x:c>
      <x:c r="F101" s="52" t="n">
        <x:v>0</x:v>
      </x:c>
      <x:c r="G101" s="53" t="n">
        <x:f>E101-F101</x:f>
        <x:v>150</x:v>
      </x:c>
      <x:c r="H101" s="40" t="n">
        <x:v>17.54</x:v>
      </x:c>
      <x:c r="I101" s="44" t="n">
        <x:f>E101*H101</x:f>
        <x:v>2631</x:v>
      </x:c>
      <x:c r="J101" s="50" t="n">
        <x:v>46203</x:v>
      </x:c>
      <x:c r="K101" s="14" t="str">
        <x:v>Open</x:v>
      </x:c>
      <x:c r="L101" s="14" t="str">
        <x:v>Received</x:v>
      </x:c>
      <x:c r="M101" s="50" t="n">
        <x:v>46211</x:v>
      </x:c>
    </x:row>
    <x:row r="102">
      <x:c r="A102" s="14" t="str">
        <x:v>PO-26-0101</x:v>
      </x:c>
      <x:c r="B102" s="50" t="n">
        <x:v>46163</x:v>
      </x:c>
      <x:c r="C102" s="14" t="str">
        <x:v>SUP-006</x:v>
      </x:c>
      <x:c r="D102" s="14" t="str">
        <x:v>SKU-0114</x:v>
      </x:c>
      <x:c r="E102" s="52" t="n">
        <x:v>150</x:v>
      </x:c>
      <x:c r="F102" s="52" t="n">
        <x:v>0</x:v>
      </x:c>
      <x:c r="G102" s="53" t="n">
        <x:f>E102-F102</x:f>
        <x:v>150</x:v>
      </x:c>
      <x:c r="H102" s="40" t="n">
        <x:v>232.11</x:v>
      </x:c>
      <x:c r="I102" s="44" t="n">
        <x:f>E102*H102</x:f>
        <x:v>34816.5</x:v>
      </x:c>
      <x:c r="J102" s="50" t="n">
        <x:v>46191</x:v>
      </x:c>
      <x:c r="K102" s="14" t="str">
        <x:v>Open</x:v>
      </x:c>
      <x:c r="L102" s="14" t="str">
        <x:v>Paid</x:v>
      </x:c>
      <x:c r="M102" s="50" t="n">
        <x:v>46193</x:v>
      </x:c>
    </x:row>
    <x:row r="103">
      <x:c r="A103" s="14" t="str">
        <x:v>PO-26-0102</x:v>
      </x:c>
      <x:c r="B103" s="50" t="n">
        <x:v>46121</x:v>
      </x:c>
      <x:c r="C103" s="14" t="str">
        <x:v>SUP-001</x:v>
      </x:c>
      <x:c r="D103" s="14" t="str">
        <x:v>SKU-0105</x:v>
      </x:c>
      <x:c r="E103" s="52" t="n">
        <x:v>750</x:v>
      </x:c>
      <x:c r="F103" s="52" t="n">
        <x:v>0</x:v>
      </x:c>
      <x:c r="G103" s="53" t="n">
        <x:f>E103-F103</x:f>
        <x:v>750</x:v>
      </x:c>
      <x:c r="H103" s="40" t="n">
        <x:v>112.98</x:v>
      </x:c>
      <x:c r="I103" s="44" t="n">
        <x:f>E103*H103</x:f>
        <x:v>84735</x:v>
      </x:c>
      <x:c r="J103" s="50" t="n">
        <x:v>46181</x:v>
      </x:c>
      <x:c r="K103" s="14" t="str">
        <x:v>Open</x:v>
      </x:c>
      <x:c r="L103" s="14" t="str">
        <x:v>Received</x:v>
      </x:c>
      <x:c r="M103" s="50" t="n">
        <x:v>46151</x:v>
      </x:c>
    </x:row>
    <x:row r="104">
      <x:c r="A104" s="14" t="str">
        <x:v>PO-26-0103</x:v>
      </x:c>
      <x:c r="B104" s="50" t="n">
        <x:v>46116</x:v>
      </x:c>
      <x:c r="C104" s="14" t="str">
        <x:v>SUP-009</x:v>
      </x:c>
      <x:c r="D104" s="14" t="str">
        <x:v>SKU-0080</x:v>
      </x:c>
      <x:c r="E104" s="52" t="n">
        <x:v>300</x:v>
      </x:c>
      <x:c r="F104" s="52" t="n">
        <x:v>300</x:v>
      </x:c>
      <x:c r="G104" s="53" t="n">
        <x:f>E104-F104</x:f>
        <x:v>0</x:v>
      </x:c>
      <x:c r="H104" s="40" t="n">
        <x:v>115.72</x:v>
      </x:c>
      <x:c r="I104" s="44" t="n">
        <x:f>E104*H104</x:f>
        <x:v>34716</x:v>
      </x:c>
      <x:c r="J104" s="50" t="n">
        <x:v>46141</x:v>
      </x:c>
      <x:c r="K104" s="14" t="str">
        <x:v>Closed</x:v>
      </x:c>
      <x:c r="L104" s="14" t="str">
        <x:v>Approved</x:v>
      </x:c>
      <x:c r="M104" s="50" t="n">
        <x:v>46146</x:v>
      </x:c>
    </x:row>
    <x:row r="105">
      <x:c r="A105" s="14" t="str">
        <x:v>PO-26-0104</x:v>
      </x:c>
      <x:c r="B105" s="50" t="n">
        <x:v>46194</x:v>
      </x:c>
      <x:c r="C105" s="14" t="str">
        <x:v>SUP-010</x:v>
      </x:c>
      <x:c r="D105" s="14" t="str">
        <x:v>SKU-0050</x:v>
      </x:c>
      <x:c r="E105" s="52" t="n">
        <x:v>25</x:v>
      </x:c>
      <x:c r="F105" s="52" t="n">
        <x:v>25</x:v>
      </x:c>
      <x:c r="G105" s="53" t="n">
        <x:f>E105-F105</x:f>
        <x:v>0</x:v>
      </x:c>
      <x:c r="H105" s="40" t="n">
        <x:v>150.72</x:v>
      </x:c>
      <x:c r="I105" s="44" t="n">
        <x:f>E105*H105</x:f>
        <x:v>3768</x:v>
      </x:c>
      <x:c r="J105" s="50" t="n">
        <x:v>46215</x:v>
      </x:c>
      <x:c r="K105" s="14" t="str">
        <x:v>Closed</x:v>
      </x:c>
      <x:c r="L105" s="14" t="str">
        <x:v>Approved</x:v>
      </x:c>
      <x:c r="M105" s="50" t="n">
        <x:v>46239</x:v>
      </x:c>
    </x:row>
    <x:row r="106">
      <x:c r="A106" s="14" t="str">
        <x:v>PO-26-0105</x:v>
      </x:c>
      <x:c r="B106" s="50" t="n">
        <x:v>46175</x:v>
      </x:c>
      <x:c r="C106" s="14" t="str">
        <x:v>SUP-001</x:v>
      </x:c>
      <x:c r="D106" s="14" t="str">
        <x:v>SKU-0051</x:v>
      </x:c>
      <x:c r="E106" s="52" t="n">
        <x:v>200</x:v>
      </x:c>
      <x:c r="F106" s="52" t="n">
        <x:v>150</x:v>
      </x:c>
      <x:c r="G106" s="53" t="n">
        <x:f>E106-F106</x:f>
        <x:v>50</x:v>
      </x:c>
      <x:c r="H106" s="40" t="n">
        <x:v>74.69</x:v>
      </x:c>
      <x:c r="I106" s="44" t="n">
        <x:f>E106*H106</x:f>
        <x:v>14938</x:v>
      </x:c>
      <x:c r="J106" s="50" t="n">
        <x:v>46197</x:v>
      </x:c>
      <x:c r="K106" s="14" t="str">
        <x:v>Partial</x:v>
      </x:c>
      <x:c r="L106" s="14" t="str">
        <x:v>Not Received</x:v>
      </x:c>
      <x:c r="M106" s="50" t="n">
        <x:v>46205</x:v>
      </x:c>
    </x:row>
    <x:row r="107">
      <x:c r="A107" s="14" t="str">
        <x:v>PO-26-0106</x:v>
      </x:c>
      <x:c r="B107" s="50" t="n">
        <x:v>46120</x:v>
      </x:c>
      <x:c r="C107" s="14" t="str">
        <x:v>SUP-011</x:v>
      </x:c>
      <x:c r="D107" s="14" t="str">
        <x:v>SKU-0096</x:v>
      </x:c>
      <x:c r="E107" s="52" t="n">
        <x:v>1000</x:v>
      </x:c>
      <x:c r="F107" s="52" t="n">
        <x:v>1000</x:v>
      </x:c>
      <x:c r="G107" s="53" t="n">
        <x:f>E107-F107</x:f>
        <x:v>0</x:v>
      </x:c>
      <x:c r="H107" s="40" t="n">
        <x:v>29.46</x:v>
      </x:c>
      <x:c r="I107" s="44" t="n">
        <x:f>E107*H107</x:f>
        <x:v>29460</x:v>
      </x:c>
      <x:c r="J107" s="50" t="n">
        <x:v>46174</x:v>
      </x:c>
      <x:c r="K107" s="14" t="str">
        <x:v>Closed</x:v>
      </x:c>
      <x:c r="L107" s="14" t="str">
        <x:v>Paid</x:v>
      </x:c>
      <x:c r="M107" s="50" t="n">
        <x:v>46165</x:v>
      </x:c>
    </x:row>
    <x:row r="108">
      <x:c r="A108" s="14" t="str">
        <x:v>PO-26-0107</x:v>
      </x:c>
      <x:c r="B108" s="50" t="n">
        <x:v>46179</x:v>
      </x:c>
      <x:c r="C108" s="14" t="str">
        <x:v>SUP-002</x:v>
      </x:c>
      <x:c r="D108" s="14" t="str">
        <x:v>SKU-0042</x:v>
      </x:c>
      <x:c r="E108" s="52" t="n">
        <x:v>50</x:v>
      </x:c>
      <x:c r="F108" s="52" t="n">
        <x:v>50</x:v>
      </x:c>
      <x:c r="G108" s="53" t="n">
        <x:f>E108-F108</x:f>
        <x:v>0</x:v>
      </x:c>
      <x:c r="H108" s="40" t="n">
        <x:v>218.51</x:v>
      </x:c>
      <x:c r="I108" s="44" t="n">
        <x:f>E108*H108</x:f>
        <x:v>10925.5</x:v>
      </x:c>
      <x:c r="J108" s="50" t="n">
        <x:v>46222</x:v>
      </x:c>
      <x:c r="K108" s="14" t="str">
        <x:v>Closed</x:v>
      </x:c>
      <x:c r="L108" s="14" t="str">
        <x:v>Approved</x:v>
      </x:c>
      <x:c r="M108" s="50" t="n">
        <x:v>46209</x:v>
      </x:c>
    </x:row>
    <x:row r="109">
      <x:c r="A109" s="14" t="str">
        <x:v>PO-26-0108</x:v>
      </x:c>
      <x:c r="B109" s="50" t="n">
        <x:v>46191</x:v>
      </x:c>
      <x:c r="C109" s="14" t="str">
        <x:v>SUP-007</x:v>
      </x:c>
      <x:c r="D109" s="14" t="str">
        <x:v>SKU-0147</x:v>
      </x:c>
      <x:c r="E109" s="52" t="n">
        <x:v>100</x:v>
      </x:c>
      <x:c r="F109" s="52" t="n">
        <x:v>25</x:v>
      </x:c>
      <x:c r="G109" s="53" t="n">
        <x:f>E109-F109</x:f>
        <x:v>75</x:v>
      </x:c>
      <x:c r="H109" s="40" t="n">
        <x:v>27.95</x:v>
      </x:c>
      <x:c r="I109" s="44" t="n">
        <x:f>E109*H109</x:f>
        <x:v>2795</x:v>
      </x:c>
      <x:c r="J109" s="50" t="n">
        <x:v>46227</x:v>
      </x:c>
      <x:c r="K109" s="14" t="str">
        <x:v>Partial</x:v>
      </x:c>
      <x:c r="L109" s="14" t="str">
        <x:v>Paid</x:v>
      </x:c>
      <x:c r="M109" s="50" t="n">
        <x:v>46251</x:v>
      </x:c>
    </x:row>
    <x:row r="110">
      <x:c r="A110" s="14" t="str">
        <x:v>PO-26-0109</x:v>
      </x:c>
      <x:c r="B110" s="50" t="n">
        <x:v>46243</x:v>
      </x:c>
      <x:c r="C110" s="14" t="str">
        <x:v>SUP-009</x:v>
      </x:c>
      <x:c r="D110" s="14" t="str">
        <x:v>SKU-0006</x:v>
      </x:c>
      <x:c r="E110" s="52" t="n">
        <x:v>500</x:v>
      </x:c>
      <x:c r="F110" s="52" t="n">
        <x:v>125</x:v>
      </x:c>
      <x:c r="G110" s="53" t="n">
        <x:f>E110-F110</x:f>
        <x:v>375</x:v>
      </x:c>
      <x:c r="H110" s="40" t="n">
        <x:v>241.37</x:v>
      </x:c>
      <x:c r="I110" s="44" t="n">
        <x:f>E110*H110</x:f>
        <x:v>120685</x:v>
      </x:c>
      <x:c r="J110" s="50" t="n">
        <x:v>46293</x:v>
      </x:c>
      <x:c r="K110" s="14" t="str">
        <x:v>Partial</x:v>
      </x:c>
      <x:c r="L110" s="14" t="str">
        <x:v>Received</x:v>
      </x:c>
      <x:c r="M110" s="50" t="n">
        <x:v>46288</x:v>
      </x:c>
    </x:row>
    <x:row r="111">
      <x:c r="A111" s="14" t="str">
        <x:v>PO-26-0110</x:v>
      </x:c>
      <x:c r="B111" s="50" t="n">
        <x:v>46175</x:v>
      </x:c>
      <x:c r="C111" s="14" t="str">
        <x:v>SUP-005</x:v>
      </x:c>
      <x:c r="D111" s="14" t="str">
        <x:v>SKU-0079</x:v>
      </x:c>
      <x:c r="E111" s="52" t="n">
        <x:v>300</x:v>
      </x:c>
      <x:c r="F111" s="52" t="n">
        <x:v>150</x:v>
      </x:c>
      <x:c r="G111" s="53" t="n">
        <x:f>E111-F111</x:f>
        <x:v>150</x:v>
      </x:c>
      <x:c r="H111" s="40" t="n">
        <x:v>124.08</x:v>
      </x:c>
      <x:c r="I111" s="44" t="n">
        <x:f>E111*H111</x:f>
        <x:v>37224</x:v>
      </x:c>
      <x:c r="J111" s="50" t="n">
        <x:v>46242</x:v>
      </x:c>
      <x:c r="K111" s="14" t="str">
        <x:v>Partial</x:v>
      </x:c>
      <x:c r="L111" s="14" t="str">
        <x:v>Approved</x:v>
      </x:c>
      <x:c r="M111" s="50" t="n">
        <x:v>46205</x:v>
      </x:c>
    </x:row>
    <x:row r="112">
      <x:c r="A112" s="14" t="str">
        <x:v>PO-26-0111</x:v>
      </x:c>
      <x:c r="B112" s="50" t="n">
        <x:v>46168</x:v>
      </x:c>
      <x:c r="C112" s="14" t="str">
        <x:v>SUP-002</x:v>
      </x:c>
      <x:c r="D112" s="14" t="str">
        <x:v>SKU-0120</x:v>
      </x:c>
      <x:c r="E112" s="52" t="n">
        <x:v>750</x:v>
      </x:c>
      <x:c r="F112" s="52" t="n">
        <x:v>562</x:v>
      </x:c>
      <x:c r="G112" s="53" t="n">
        <x:f>E112-F112</x:f>
        <x:v>188</x:v>
      </x:c>
      <x:c r="H112" s="40" t="n">
        <x:v>41.87</x:v>
      </x:c>
      <x:c r="I112" s="44" t="n">
        <x:f>E112*H112</x:f>
        <x:v>31402.499999999996</x:v>
      </x:c>
      <x:c r="J112" s="50" t="n">
        <x:v>46186</x:v>
      </x:c>
      <x:c r="K112" s="14" t="str">
        <x:v>Partial</x:v>
      </x:c>
      <x:c r="L112" s="14" t="str">
        <x:v>Not Received</x:v>
      </x:c>
      <x:c r="M112" s="50" t="n">
        <x:v>46228</x:v>
      </x:c>
    </x:row>
    <x:row r="113">
      <x:c r="A113" s="14" t="str">
        <x:v>PO-26-0112</x:v>
      </x:c>
      <x:c r="B113" s="50" t="n">
        <x:v>46173</x:v>
      </x:c>
      <x:c r="C113" s="14" t="str">
        <x:v>SUP-011</x:v>
      </x:c>
      <x:c r="D113" s="14" t="str">
        <x:v>SKU-0096</x:v>
      </x:c>
      <x:c r="E113" s="52" t="n">
        <x:v>150</x:v>
      </x:c>
      <x:c r="F113" s="52" t="n">
        <x:v>112</x:v>
      </x:c>
      <x:c r="G113" s="53" t="n">
        <x:f>E113-F113</x:f>
        <x:v>38</x:v>
      </x:c>
      <x:c r="H113" s="40" t="n">
        <x:v>29.46</x:v>
      </x:c>
      <x:c r="I113" s="44" t="n">
        <x:f>E113*H113</x:f>
        <x:v>4419</x:v>
      </x:c>
      <x:c r="J113" s="50" t="n">
        <x:v>46214</x:v>
      </x:c>
      <x:c r="K113" s="14" t="str">
        <x:v>Partial</x:v>
      </x:c>
      <x:c r="L113" s="14" t="str">
        <x:v>Approved</x:v>
      </x:c>
      <x:c r="M113" s="50" t="n">
        <x:v>46218</x:v>
      </x:c>
    </x:row>
    <x:row r="114">
      <x:c r="A114" s="14" t="str">
        <x:v>PO-26-0113</x:v>
      </x:c>
      <x:c r="B114" s="50" t="n">
        <x:v>46175</x:v>
      </x:c>
      <x:c r="C114" s="14" t="str">
        <x:v>SUP-010</x:v>
      </x:c>
      <x:c r="D114" s="14" t="str">
        <x:v>SKU-0084</x:v>
      </x:c>
      <x:c r="E114" s="52" t="n">
        <x:v>150</x:v>
      </x:c>
      <x:c r="F114" s="52" t="n">
        <x:v>75</x:v>
      </x:c>
      <x:c r="G114" s="53" t="n">
        <x:f>E114-F114</x:f>
        <x:v>75</x:v>
      </x:c>
      <x:c r="H114" s="40" t="n">
        <x:v>108.77</x:v>
      </x:c>
      <x:c r="I114" s="44" t="n">
        <x:f>E114*H114</x:f>
        <x:v>16315.5</x:v>
      </x:c>
      <x:c r="J114" s="50" t="n">
        <x:v>46213</x:v>
      </x:c>
      <x:c r="K114" s="14" t="str">
        <x:v>Partial</x:v>
      </x:c>
      <x:c r="L114" s="14" t="str">
        <x:v>Received</x:v>
      </x:c>
      <x:c r="M114" s="50" t="n">
        <x:v>46235</x:v>
      </x:c>
    </x:row>
    <x:row r="115">
      <x:c r="A115" s="14" t="str">
        <x:v>PO-26-0114</x:v>
      </x:c>
      <x:c r="B115" s="50" t="n">
        <x:v>46231</x:v>
      </x:c>
      <x:c r="C115" s="14" t="str">
        <x:v>SUP-005</x:v>
      </x:c>
      <x:c r="D115" s="14" t="str">
        <x:v>SKU-0062</x:v>
      </x:c>
      <x:c r="E115" s="52" t="n">
        <x:v>1000</x:v>
      </x:c>
      <x:c r="F115" s="52" t="n">
        <x:v>1000</x:v>
      </x:c>
      <x:c r="G115" s="53" t="n">
        <x:f>E115-F115</x:f>
        <x:v>0</x:v>
      </x:c>
      <x:c r="H115" s="40" t="n">
        <x:v>63.99</x:v>
      </x:c>
      <x:c r="I115" s="44" t="n">
        <x:f>E115*H115</x:f>
        <x:v>63990</x:v>
      </x:c>
      <x:c r="J115" s="50" t="n">
        <x:v>46273</x:v>
      </x:c>
      <x:c r="K115" s="14" t="str">
        <x:v>Closed</x:v>
      </x:c>
      <x:c r="L115" s="14" t="str">
        <x:v>Approved</x:v>
      </x:c>
      <x:c r="M115" s="50" t="n">
        <x:v>46291</x:v>
      </x:c>
    </x:row>
    <x:row r="116">
      <x:c r="A116" s="14" t="str">
        <x:v>PO-26-0115</x:v>
      </x:c>
      <x:c r="B116" s="50" t="n">
        <x:v>46118</x:v>
      </x:c>
      <x:c r="C116" s="14" t="str">
        <x:v>SUP-005</x:v>
      </x:c>
      <x:c r="D116" s="14" t="str">
        <x:v>SKU-0007</x:v>
      </x:c>
      <x:c r="E116" s="52" t="n">
        <x:v>150</x:v>
      </x:c>
      <x:c r="F116" s="52" t="n">
        <x:v>150</x:v>
      </x:c>
      <x:c r="G116" s="53" t="n">
        <x:f>E116-F116</x:f>
        <x:v>0</x:v>
      </x:c>
      <x:c r="H116" s="40" t="n">
        <x:v>123.15</x:v>
      </x:c>
      <x:c r="I116" s="44" t="n">
        <x:f>E116*H116</x:f>
        <x:v>18472.5</x:v>
      </x:c>
      <x:c r="J116" s="50" t="n">
        <x:v>46165</x:v>
      </x:c>
      <x:c r="K116" s="14" t="str">
        <x:v>Closed</x:v>
      </x:c>
      <x:c r="L116" s="14" t="str">
        <x:v>Paid</x:v>
      </x:c>
      <x:c r="M116" s="50" t="n">
        <x:v>46163</x:v>
      </x:c>
    </x:row>
    <x:row r="117">
      <x:c r="A117" s="14" t="str">
        <x:v>PO-26-0116</x:v>
      </x:c>
      <x:c r="B117" s="50" t="n">
        <x:v>46197</x:v>
      </x:c>
      <x:c r="C117" s="14" t="str">
        <x:v>SUP-012</x:v>
      </x:c>
      <x:c r="D117" s="14" t="str">
        <x:v>SKU-0010</x:v>
      </x:c>
      <x:c r="E117" s="52" t="n">
        <x:v>200</x:v>
      </x:c>
      <x:c r="F117" s="52" t="n">
        <x:v>50</x:v>
      </x:c>
      <x:c r="G117" s="53" t="n">
        <x:f>E117-F117</x:f>
        <x:v>150</x:v>
      </x:c>
      <x:c r="H117" s="40" t="n">
        <x:v>137.36</x:v>
      </x:c>
      <x:c r="I117" s="44" t="n">
        <x:f>E117*H117</x:f>
        <x:v>27472.000000000004</x:v>
      </x:c>
      <x:c r="J117" s="50" t="n">
        <x:v>46258</x:v>
      </x:c>
      <x:c r="K117" s="14" t="str">
        <x:v>Partial</x:v>
      </x:c>
      <x:c r="L117" s="14" t="str">
        <x:v>Paid</x:v>
      </x:c>
      <x:c r="M117" s="50" t="n">
        <x:v>46257</x:v>
      </x:c>
    </x:row>
    <x:row r="118">
      <x:c r="A118" s="14" t="str">
        <x:v>PO-26-0117</x:v>
      </x:c>
      <x:c r="B118" s="50" t="n">
        <x:v>46116</x:v>
      </x:c>
      <x:c r="C118" s="14" t="str">
        <x:v>SUP-002</x:v>
      </x:c>
      <x:c r="D118" s="14" t="str">
        <x:v>SKU-0092</x:v>
      </x:c>
      <x:c r="E118" s="52" t="n">
        <x:v>150</x:v>
      </x:c>
      <x:c r="F118" s="52" t="n">
        <x:v>37</x:v>
      </x:c>
      <x:c r="G118" s="53" t="n">
        <x:f>E118-F118</x:f>
        <x:v>113</x:v>
      </x:c>
      <x:c r="H118" s="40" t="n">
        <x:v>125.08</x:v>
      </x:c>
      <x:c r="I118" s="44" t="n">
        <x:f>E118*H118</x:f>
        <x:v>18762</x:v>
      </x:c>
      <x:c r="J118" s="50" t="n">
        <x:v>46171</x:v>
      </x:c>
      <x:c r="K118" s="14" t="str">
        <x:v>Partial</x:v>
      </x:c>
      <x:c r="L118" s="14" t="str">
        <x:v>Not Received</x:v>
      </x:c>
      <x:c r="M118" s="50" t="n">
        <x:v>46161</x:v>
      </x:c>
    </x:row>
    <x:row r="119">
      <x:c r="A119" s="14" t="str">
        <x:v>PO-26-0118</x:v>
      </x:c>
      <x:c r="B119" s="50" t="n">
        <x:v>46179</x:v>
      </x:c>
      <x:c r="C119" s="14" t="str">
        <x:v>SUP-001</x:v>
      </x:c>
      <x:c r="D119" s="14" t="str">
        <x:v>SKU-0033</x:v>
      </x:c>
      <x:c r="E119" s="52" t="n">
        <x:v>750</x:v>
      </x:c>
      <x:c r="F119" s="52" t="n">
        <x:v>187</x:v>
      </x:c>
      <x:c r="G119" s="53" t="n">
        <x:f>E119-F119</x:f>
        <x:v>563</x:v>
      </x:c>
      <x:c r="H119" s="40" t="n">
        <x:v>185.66</x:v>
      </x:c>
      <x:c r="I119" s="44" t="n">
        <x:f>E119*H119</x:f>
        <x:v>139245</x:v>
      </x:c>
      <x:c r="J119" s="50" t="n">
        <x:v>46213</x:v>
      </x:c>
      <x:c r="K119" s="14" t="str">
        <x:v>Partial</x:v>
      </x:c>
      <x:c r="L119" s="14" t="str">
        <x:v>Not Received</x:v>
      </x:c>
      <x:c r="M119" s="50" t="n">
        <x:v>46209</x:v>
      </x:c>
    </x:row>
    <x:row r="120">
      <x:c r="A120" s="14" t="str">
        <x:v>PO-26-0119</x:v>
      </x:c>
      <x:c r="B120" s="50" t="n">
        <x:v>46188</x:v>
      </x:c>
      <x:c r="C120" s="14" t="str">
        <x:v>SUP-010</x:v>
      </x:c>
      <x:c r="D120" s="14" t="str">
        <x:v>SKU-0091</x:v>
      </x:c>
      <x:c r="E120" s="52" t="n">
        <x:v>150</x:v>
      </x:c>
      <x:c r="F120" s="52" t="n">
        <x:v>150</x:v>
      </x:c>
      <x:c r="G120" s="53" t="n">
        <x:f>E120-F120</x:f>
        <x:v>0</x:v>
      </x:c>
      <x:c r="H120" s="40" t="n">
        <x:v>42.22</x:v>
      </x:c>
      <x:c r="I120" s="44" t="n">
        <x:f>E120*H120</x:f>
        <x:v>6333</x:v>
      </x:c>
      <x:c r="J120" s="50" t="n">
        <x:v>46200</x:v>
      </x:c>
      <x:c r="K120" s="14" t="str">
        <x:v>Closed</x:v>
      </x:c>
      <x:c r="L120" s="14" t="str">
        <x:v>Paid</x:v>
      </x:c>
      <x:c r="M120" s="50" t="n">
        <x:v>46233</x:v>
      </x:c>
    </x:row>
    <x:row r="121">
      <x:c r="A121" s="14" t="str">
        <x:v>PO-26-0120</x:v>
      </x:c>
      <x:c r="B121" s="50" t="n">
        <x:v>46170</x:v>
      </x:c>
      <x:c r="C121" s="14" t="str">
        <x:v>SUP-005</x:v>
      </x:c>
      <x:c r="D121" s="14" t="str">
        <x:v>SKU-0150</x:v>
      </x:c>
      <x:c r="E121" s="52" t="n">
        <x:v>500</x:v>
      </x:c>
      <x:c r="F121" s="52" t="n">
        <x:v>375</x:v>
      </x:c>
      <x:c r="G121" s="53" t="n">
        <x:f>E121-F121</x:f>
        <x:v>125</x:v>
      </x:c>
      <x:c r="H121" s="40" t="n">
        <x:v>62.34</x:v>
      </x:c>
      <x:c r="I121" s="44" t="n">
        <x:f>E121*H121</x:f>
        <x:v>31170</x:v>
      </x:c>
      <x:c r="J121" s="50" t="n">
        <x:v>46200</x:v>
      </x:c>
      <x:c r="K121" s="14" t="str">
        <x:v>Partial</x:v>
      </x:c>
      <x:c r="L121" s="14" t="str">
        <x:v>Not Received</x:v>
      </x:c>
      <x:c r="M121" s="50" t="n">
        <x:v>46215</x:v>
      </x:c>
    </x:row>
    <x:row r="122">
      <x:c r="A122" s="14" t="str">
        <x:v>PO-26-0121</x:v>
      </x:c>
      <x:c r="B122" s="50" t="n">
        <x:v>46117</x:v>
      </x:c>
      <x:c r="C122" s="14" t="str">
        <x:v>SUP-010</x:v>
      </x:c>
      <x:c r="D122" s="14" t="str">
        <x:v>SKU-0050</x:v>
      </x:c>
      <x:c r="E122" s="52" t="n">
        <x:v>50</x:v>
      </x:c>
      <x:c r="F122" s="52" t="n">
        <x:v>37</x:v>
      </x:c>
      <x:c r="G122" s="53" t="n">
        <x:f>E122-F122</x:f>
        <x:v>13</x:v>
      </x:c>
      <x:c r="H122" s="40" t="n">
        <x:v>150.72</x:v>
      </x:c>
      <x:c r="I122" s="44" t="n">
        <x:f>E122*H122</x:f>
        <x:v>7536</x:v>
      </x:c>
      <x:c r="J122" s="50" t="n">
        <x:v>46140</x:v>
      </x:c>
      <x:c r="K122" s="14" t="str">
        <x:v>Partial</x:v>
      </x:c>
      <x:c r="L122" s="14" t="str">
        <x:v>Approved</x:v>
      </x:c>
      <x:c r="M122" s="50" t="n">
        <x:v>46162</x:v>
      </x:c>
    </x:row>
    <x:row r="123">
      <x:c r="A123" s="14" t="str">
        <x:v>PO-26-0122</x:v>
      </x:c>
      <x:c r="B123" s="50" t="n">
        <x:v>46207</x:v>
      </x:c>
      <x:c r="C123" s="14" t="str">
        <x:v>SUP-004</x:v>
      </x:c>
      <x:c r="D123" s="14" t="str">
        <x:v>SKU-0014</x:v>
      </x:c>
      <x:c r="E123" s="52" t="n">
        <x:v>75</x:v>
      </x:c>
      <x:c r="F123" s="52" t="n">
        <x:v>37</x:v>
      </x:c>
      <x:c r="G123" s="53" t="n">
        <x:f>E123-F123</x:f>
        <x:v>38</x:v>
      </x:c>
      <x:c r="H123" s="40" t="n">
        <x:v>152.14</x:v>
      </x:c>
      <x:c r="I123" s="44" t="n">
        <x:f>E123*H123</x:f>
        <x:v>11410.499999999998</x:v>
      </x:c>
      <x:c r="J123" s="50" t="n">
        <x:v>46237</x:v>
      </x:c>
      <x:c r="K123" s="14" t="str">
        <x:v>Partial</x:v>
      </x:c>
      <x:c r="L123" s="14" t="str">
        <x:v>Paid</x:v>
      </x:c>
      <x:c r="M123" s="50" t="n">
        <x:v>46237</x:v>
      </x:c>
    </x:row>
    <x:row r="124">
      <x:c r="A124" s="14" t="str">
        <x:v>PO-26-0123</x:v>
      </x:c>
      <x:c r="B124" s="50" t="n">
        <x:v>46199</x:v>
      </x:c>
      <x:c r="C124" s="14" t="str">
        <x:v>SUP-009</x:v>
      </x:c>
      <x:c r="D124" s="14" t="str">
        <x:v>SKU-0081</x:v>
      </x:c>
      <x:c r="E124" s="52" t="n">
        <x:v>50</x:v>
      </x:c>
      <x:c r="F124" s="52" t="n">
        <x:v>50</x:v>
      </x:c>
      <x:c r="G124" s="53" t="n">
        <x:f>E124-F124</x:f>
        <x:v>0</x:v>
      </x:c>
      <x:c r="H124" s="40" t="n">
        <x:v>198.25</x:v>
      </x:c>
      <x:c r="I124" s="44" t="n">
        <x:f>E124*H124</x:f>
        <x:v>9912.5</x:v>
      </x:c>
      <x:c r="J124" s="50" t="n">
        <x:v>46235</x:v>
      </x:c>
      <x:c r="K124" s="14" t="str">
        <x:v>Closed</x:v>
      </x:c>
      <x:c r="L124" s="14" t="str">
        <x:v>Paid</x:v>
      </x:c>
      <x:c r="M124" s="50" t="n">
        <x:v>46259</x:v>
      </x:c>
    </x:row>
    <x:row r="125">
      <x:c r="A125" s="14" t="str">
        <x:v>PO-26-0124</x:v>
      </x:c>
      <x:c r="B125" s="50" t="n">
        <x:v>46244</x:v>
      </x:c>
      <x:c r="C125" s="14" t="str">
        <x:v>SUP-002</x:v>
      </x:c>
      <x:c r="D125" s="14" t="str">
        <x:v>SKU-0015</x:v>
      </x:c>
      <x:c r="E125" s="52" t="n">
        <x:v>500</x:v>
      </x:c>
      <x:c r="F125" s="52" t="n">
        <x:v>500</x:v>
      </x:c>
      <x:c r="G125" s="53" t="n">
        <x:f>E125-F125</x:f>
        <x:v>0</x:v>
      </x:c>
      <x:c r="H125" s="40" t="n">
        <x:v>185.37</x:v>
      </x:c>
      <x:c r="I125" s="44" t="n">
        <x:f>E125*H125</x:f>
        <x:v>92685</x:v>
      </x:c>
      <x:c r="J125" s="50" t="n">
        <x:v>46294</x:v>
      </x:c>
      <x:c r="K125" s="14" t="str">
        <x:v>Closed</x:v>
      </x:c>
      <x:c r="L125" s="14" t="str">
        <x:v>Approved</x:v>
      </x:c>
      <x:c r="M125" s="50" t="n">
        <x:v>46289</x:v>
      </x:c>
    </x:row>
    <x:row r="126">
      <x:c r="A126" s="14" t="str">
        <x:v>PO-26-0125</x:v>
      </x:c>
      <x:c r="B126" s="50" t="n">
        <x:v>46212</x:v>
      </x:c>
      <x:c r="C126" s="14" t="str">
        <x:v>SUP-004</x:v>
      </x:c>
      <x:c r="D126" s="14" t="str">
        <x:v>SKU-0023</x:v>
      </x:c>
      <x:c r="E126" s="52" t="n">
        <x:v>1000</x:v>
      </x:c>
      <x:c r="F126" s="52" t="n">
        <x:v>1000</x:v>
      </x:c>
      <x:c r="G126" s="53" t="n">
        <x:f>E126-F126</x:f>
        <x:v>0</x:v>
      </x:c>
      <x:c r="H126" s="40" t="n">
        <x:v>76.21</x:v>
      </x:c>
      <x:c r="I126" s="44" t="n">
        <x:f>E126*H126</x:f>
        <x:v>76210</x:v>
      </x:c>
      <x:c r="J126" s="50" t="n">
        <x:v>46275</x:v>
      </x:c>
      <x:c r="K126" s="14" t="str">
        <x:v>Closed</x:v>
      </x:c>
      <x:c r="L126" s="14" t="str">
        <x:v>Paid</x:v>
      </x:c>
      <x:c r="M126" s="50" t="n">
        <x:v>46257</x:v>
      </x:c>
    </x:row>
    <x:row r="127">
      <x:c r="A127" s="14" t="str">
        <x:v>PO-26-0126</x:v>
      </x:c>
      <x:c r="B127" s="50" t="n">
        <x:v>46147</x:v>
      </x:c>
      <x:c r="C127" s="14" t="str">
        <x:v>SUP-006</x:v>
      </x:c>
      <x:c r="D127" s="14" t="str">
        <x:v>SKU-0123</x:v>
      </x:c>
      <x:c r="E127" s="52" t="n">
        <x:v>25</x:v>
      </x:c>
      <x:c r="F127" s="52" t="n">
        <x:v>25</x:v>
      </x:c>
      <x:c r="G127" s="53" t="n">
        <x:f>E127-F127</x:f>
        <x:v>0</x:v>
      </x:c>
      <x:c r="H127" s="40" t="n">
        <x:v>121.8</x:v>
      </x:c>
      <x:c r="I127" s="44" t="n">
        <x:f>E127*H127</x:f>
        <x:v>3045</x:v>
      </x:c>
      <x:c r="J127" s="50" t="n">
        <x:v>46197</x:v>
      </x:c>
      <x:c r="K127" s="14" t="str">
        <x:v>Closed</x:v>
      </x:c>
      <x:c r="L127" s="14" t="str">
        <x:v>Paid</x:v>
      </x:c>
      <x:c r="M127" s="50" t="n">
        <x:v>46177</x:v>
      </x:c>
    </x:row>
    <x:row r="128">
      <x:c r="A128" s="14" t="str">
        <x:v>PO-26-0127</x:v>
      </x:c>
      <x:c r="B128" s="50" t="n">
        <x:v>46110</x:v>
      </x:c>
      <x:c r="C128" s="14" t="str">
        <x:v>SUP-003</x:v>
      </x:c>
      <x:c r="D128" s="14" t="str">
        <x:v>SKU-0083</x:v>
      </x:c>
      <x:c r="E128" s="52" t="n">
        <x:v>100</x:v>
      </x:c>
      <x:c r="F128" s="52" t="n">
        <x:v>100</x:v>
      </x:c>
      <x:c r="G128" s="53" t="n">
        <x:f>E128-F128</x:f>
        <x:v>0</x:v>
      </x:c>
      <x:c r="H128" s="40" t="n">
        <x:v>126.42</x:v>
      </x:c>
      <x:c r="I128" s="44" t="n">
        <x:f>E128*H128</x:f>
        <x:v>12642</x:v>
      </x:c>
      <x:c r="J128" s="50" t="n">
        <x:v>46141</x:v>
      </x:c>
      <x:c r="K128" s="14" t="str">
        <x:v>Closed</x:v>
      </x:c>
      <x:c r="L128" s="14" t="str">
        <x:v>Approved</x:v>
      </x:c>
      <x:c r="M128" s="50" t="n">
        <x:v>46140</x:v>
      </x:c>
    </x:row>
    <x:row r="129">
      <x:c r="A129" s="14" t="str">
        <x:v>PO-26-0128</x:v>
      </x:c>
      <x:c r="B129" s="50" t="n">
        <x:v>46166</x:v>
      </x:c>
      <x:c r="C129" s="14" t="str">
        <x:v>SUP-008</x:v>
      </x:c>
      <x:c r="D129" s="14" t="str">
        <x:v>SKU-0089</x:v>
      </x:c>
      <x:c r="E129" s="52" t="n">
        <x:v>75</x:v>
      </x:c>
      <x:c r="F129" s="52" t="n">
        <x:v>75</x:v>
      </x:c>
      <x:c r="G129" s="53" t="n">
        <x:f>E129-F129</x:f>
        <x:v>0</x:v>
      </x:c>
      <x:c r="H129" s="40" t="n">
        <x:v>48.67</x:v>
      </x:c>
      <x:c r="I129" s="44" t="n">
        <x:f>E129*H129</x:f>
        <x:v>3650.25</x:v>
      </x:c>
      <x:c r="J129" s="50" t="n">
        <x:v>46202</x:v>
      </x:c>
      <x:c r="K129" s="14" t="str">
        <x:v>Closed</x:v>
      </x:c>
      <x:c r="L129" s="14" t="str">
        <x:v>Paid</x:v>
      </x:c>
      <x:c r="M129" s="50" t="n">
        <x:v>46196</x:v>
      </x:c>
    </x:row>
    <x:row r="130">
      <x:c r="A130" s="14" t="str">
        <x:v>PO-26-0129</x:v>
      </x:c>
      <x:c r="B130" s="50" t="n">
        <x:v>46234</x:v>
      </x:c>
      <x:c r="C130" s="14" t="str">
        <x:v>SUP-008</x:v>
      </x:c>
      <x:c r="D130" s="14" t="str">
        <x:v>SKU-0017</x:v>
      </x:c>
      <x:c r="E130" s="52" t="n">
        <x:v>150</x:v>
      </x:c>
      <x:c r="F130" s="52" t="n">
        <x:v>112</x:v>
      </x:c>
      <x:c r="G130" s="53" t="n">
        <x:f>E130-F130</x:f>
        <x:v>38</x:v>
      </x:c>
      <x:c r="H130" s="40" t="n">
        <x:v>71.82</x:v>
      </x:c>
      <x:c r="I130" s="44" t="n">
        <x:f>E130*H130</x:f>
        <x:v>10772.999999999998</x:v>
      </x:c>
      <x:c r="J130" s="50" t="n">
        <x:v>46255</x:v>
      </x:c>
      <x:c r="K130" s="14" t="str">
        <x:v>Partial</x:v>
      </x:c>
      <x:c r="L130" s="14" t="str">
        <x:v>Approved</x:v>
      </x:c>
      <x:c r="M130" s="50" t="n">
        <x:v>46279</x:v>
      </x:c>
    </x:row>
    <x:row r="131">
      <x:c r="A131" s="14" t="str">
        <x:v>PO-26-0130</x:v>
      </x:c>
      <x:c r="B131" s="50" t="n">
        <x:v>46158</x:v>
      </x:c>
      <x:c r="C131" s="14" t="str">
        <x:v>SUP-007</x:v>
      </x:c>
      <x:c r="D131" s="14" t="str">
        <x:v>SKU-0035</x:v>
      </x:c>
      <x:c r="E131" s="52" t="n">
        <x:v>500</x:v>
      </x:c>
      <x:c r="F131" s="52" t="n">
        <x:v>500</x:v>
      </x:c>
      <x:c r="G131" s="53" t="n">
        <x:f>E131-F131</x:f>
        <x:v>0</x:v>
      </x:c>
      <x:c r="H131" s="40" t="n">
        <x:v>170.72</x:v>
      </x:c>
      <x:c r="I131" s="44" t="n">
        <x:f>E131*H131</x:f>
        <x:v>85360</x:v>
      </x:c>
      <x:c r="J131" s="50" t="n">
        <x:v>46182</x:v>
      </x:c>
      <x:c r="K131" s="14" t="str">
        <x:v>Closed</x:v>
      </x:c>
      <x:c r="L131" s="14" t="str">
        <x:v>Approved</x:v>
      </x:c>
      <x:c r="M131" s="50" t="n">
        <x:v>46203</x:v>
      </x:c>
    </x:row>
    <x:row r="132">
      <x:c r="A132" s="14" t="str">
        <x:v>PO-26-0131</x:v>
      </x:c>
      <x:c r="B132" s="50" t="n">
        <x:v>46187</x:v>
      </x:c>
      <x:c r="C132" s="14" t="str">
        <x:v>SUP-003</x:v>
      </x:c>
      <x:c r="D132" s="14" t="str">
        <x:v>SKU-0005</x:v>
      </x:c>
      <x:c r="E132" s="52" t="n">
        <x:v>100</x:v>
      </x:c>
      <x:c r="F132" s="52" t="n">
        <x:v>25</x:v>
      </x:c>
      <x:c r="G132" s="53" t="n">
        <x:f>E132-F132</x:f>
        <x:v>75</x:v>
      </x:c>
      <x:c r="H132" s="40" t="n">
        <x:v>176.62</x:v>
      </x:c>
      <x:c r="I132" s="44" t="n">
        <x:f>E132*H132</x:f>
        <x:v>17662</x:v>
      </x:c>
      <x:c r="J132" s="50" t="n">
        <x:v>46219</x:v>
      </x:c>
      <x:c r="K132" s="14" t="str">
        <x:v>Partial</x:v>
      </x:c>
      <x:c r="L132" s="14" t="str">
        <x:v>Not Received</x:v>
      </x:c>
      <x:c r="M132" s="50" t="n">
        <x:v>46247</x:v>
      </x:c>
    </x:row>
    <x:row r="133">
      <x:c r="A133" s="14" t="str">
        <x:v>PO-26-0132</x:v>
      </x:c>
      <x:c r="B133" s="50" t="n">
        <x:v>46202</x:v>
      </x:c>
      <x:c r="C133" s="14" t="str">
        <x:v>SUP-003</x:v>
      </x:c>
      <x:c r="D133" s="14" t="str">
        <x:v>SKU-0130</x:v>
      </x:c>
      <x:c r="E133" s="52" t="n">
        <x:v>50</x:v>
      </x:c>
      <x:c r="F133" s="52" t="n">
        <x:v>50</x:v>
      </x:c>
      <x:c r="G133" s="53" t="n">
        <x:f>E133-F133</x:f>
        <x:v>0</x:v>
      </x:c>
      <x:c r="H133" s="40" t="n">
        <x:v>73.53</x:v>
      </x:c>
      <x:c r="I133" s="44" t="n">
        <x:f>E133*H133</x:f>
        <x:v>3676.5</x:v>
      </x:c>
      <x:c r="J133" s="50" t="n">
        <x:v>46216</x:v>
      </x:c>
      <x:c r="K133" s="14" t="str">
        <x:v>Closed</x:v>
      </x:c>
      <x:c r="L133" s="14" t="str">
        <x:v>Paid</x:v>
      </x:c>
      <x:c r="M133" s="50" t="n">
        <x:v>46262</x:v>
      </x:c>
    </x:row>
    <x:row r="134">
      <x:c r="A134" s="14" t="str">
        <x:v>PO-26-0133</x:v>
      </x:c>
      <x:c r="B134" s="50" t="n">
        <x:v>46109</x:v>
      </x:c>
      <x:c r="C134" s="14" t="str">
        <x:v>SUP-002</x:v>
      </x:c>
      <x:c r="D134" s="14" t="str">
        <x:v>SKU-0066</x:v>
      </x:c>
      <x:c r="E134" s="52" t="n">
        <x:v>1000</x:v>
      </x:c>
      <x:c r="F134" s="52" t="n">
        <x:v>1000</x:v>
      </x:c>
      <x:c r="G134" s="53" t="n">
        <x:f>E134-F134</x:f>
        <x:v>0</x:v>
      </x:c>
      <x:c r="H134" s="40" t="n">
        <x:v>244.68</x:v>
      </x:c>
      <x:c r="I134" s="44" t="n">
        <x:f>E134*H134</x:f>
        <x:v>244680</x:v>
      </x:c>
      <x:c r="J134" s="50" t="n">
        <x:v>46123</x:v>
      </x:c>
      <x:c r="K134" s="14" t="str">
        <x:v>Closed</x:v>
      </x:c>
      <x:c r="L134" s="14" t="str">
        <x:v>Approved</x:v>
      </x:c>
      <x:c r="M134" s="50" t="n">
        <x:v>46169</x:v>
      </x:c>
    </x:row>
    <x:row r="135">
      <x:c r="A135" s="14" t="str">
        <x:v>PO-26-0134</x:v>
      </x:c>
      <x:c r="B135" s="50" t="n">
        <x:v>46233</x:v>
      </x:c>
      <x:c r="C135" s="14" t="str">
        <x:v>SUP-009</x:v>
      </x:c>
      <x:c r="D135" s="14" t="str">
        <x:v>SKU-0006</x:v>
      </x:c>
      <x:c r="E135" s="52" t="n">
        <x:v>50</x:v>
      </x:c>
      <x:c r="F135" s="52" t="n">
        <x:v>50</x:v>
      </x:c>
      <x:c r="G135" s="53" t="n">
        <x:f>E135-F135</x:f>
        <x:v>0</x:v>
      </x:c>
      <x:c r="H135" s="40" t="n">
        <x:v>241.37</x:v>
      </x:c>
      <x:c r="I135" s="44" t="n">
        <x:f>E135*H135</x:f>
        <x:v>12068.5</x:v>
      </x:c>
      <x:c r="J135" s="50" t="n">
        <x:v>46295</x:v>
      </x:c>
      <x:c r="K135" s="14" t="str">
        <x:v>Closed</x:v>
      </x:c>
      <x:c r="L135" s="14" t="str">
        <x:v>Approved</x:v>
      </x:c>
      <x:c r="M135" s="50" t="n">
        <x:v>46293</x:v>
      </x:c>
    </x:row>
    <x:row r="136">
      <x:c r="A136" s="14" t="str">
        <x:v>PO-26-0135</x:v>
      </x:c>
      <x:c r="B136" s="50" t="n">
        <x:v>46124</x:v>
      </x:c>
      <x:c r="C136" s="14" t="str">
        <x:v>SUP-006</x:v>
      </x:c>
      <x:c r="D136" s="14" t="str">
        <x:v>SKU-0065</x:v>
      </x:c>
      <x:c r="E136" s="52" t="n">
        <x:v>75</x:v>
      </x:c>
      <x:c r="F136" s="52" t="n">
        <x:v>75</x:v>
      </x:c>
      <x:c r="G136" s="53" t="n">
        <x:f>E136-F136</x:f>
        <x:v>0</x:v>
      </x:c>
      <x:c r="H136" s="40" t="n">
        <x:v>52.3</x:v>
      </x:c>
      <x:c r="I136" s="44" t="n">
        <x:f>E136*H136</x:f>
        <x:v>3922.5</x:v>
      </x:c>
      <x:c r="J136" s="50" t="n">
        <x:v>46129</x:v>
      </x:c>
      <x:c r="K136" s="14" t="str">
        <x:v>Closed</x:v>
      </x:c>
      <x:c r="L136" s="14" t="str">
        <x:v>Paid</x:v>
      </x:c>
      <x:c r="M136" s="50" t="n">
        <x:v>46169</x:v>
      </x:c>
    </x:row>
    <x:row r="137">
      <x:c r="A137" s="14" t="str">
        <x:v>PO-26-0136</x:v>
      </x:c>
      <x:c r="B137" s="50" t="n">
        <x:v>46112</x:v>
      </x:c>
      <x:c r="C137" s="14" t="str">
        <x:v>SUP-002</x:v>
      </x:c>
      <x:c r="D137" s="14" t="str">
        <x:v>SKU-0026</x:v>
      </x:c>
      <x:c r="E137" s="52" t="n">
        <x:v>150</x:v>
      </x:c>
      <x:c r="F137" s="52" t="n">
        <x:v>37</x:v>
      </x:c>
      <x:c r="G137" s="53" t="n">
        <x:f>E137-F137</x:f>
        <x:v>113</x:v>
      </x:c>
      <x:c r="H137" s="40" t="n">
        <x:v>249.4</x:v>
      </x:c>
      <x:c r="I137" s="44" t="n">
        <x:f>E137*H137</x:f>
        <x:v>37410</x:v>
      </x:c>
      <x:c r="J137" s="50" t="n">
        <x:v>46140</x:v>
      </x:c>
      <x:c r="K137" s="14" t="str">
        <x:v>Partial</x:v>
      </x:c>
      <x:c r="L137" s="14" t="str">
        <x:v>Not Received</x:v>
      </x:c>
      <x:c r="M137" s="50" t="n">
        <x:v>46172</x:v>
      </x:c>
    </x:row>
    <x:row r="138">
      <x:c r="A138" s="14" t="str">
        <x:v>PO-26-0137</x:v>
      </x:c>
      <x:c r="B138" s="50" t="n">
        <x:v>46173</x:v>
      </x:c>
      <x:c r="C138" s="14" t="str">
        <x:v>SUP-003</x:v>
      </x:c>
      <x:c r="D138" s="14" t="str">
        <x:v>SKU-0031</x:v>
      </x:c>
      <x:c r="E138" s="52" t="n">
        <x:v>50</x:v>
      </x:c>
      <x:c r="F138" s="52" t="n">
        <x:v>37</x:v>
      </x:c>
      <x:c r="G138" s="53" t="n">
        <x:f>E138-F138</x:f>
        <x:v>13</x:v>
      </x:c>
      <x:c r="H138" s="40" t="n">
        <x:v>247.09</x:v>
      </x:c>
      <x:c r="I138" s="44" t="n">
        <x:f>E138*H138</x:f>
        <x:v>12354.5</x:v>
      </x:c>
      <x:c r="J138" s="50" t="n">
        <x:v>46232</x:v>
      </x:c>
      <x:c r="K138" s="14" t="str">
        <x:v>Partial</x:v>
      </x:c>
      <x:c r="L138" s="14" t="str">
        <x:v>Received</x:v>
      </x:c>
      <x:c r="M138" s="50" t="n">
        <x:v>46218</x:v>
      </x:c>
    </x:row>
    <x:row r="139">
      <x:c r="A139" s="14" t="str">
        <x:v>PO-26-0138</x:v>
      </x:c>
      <x:c r="B139" s="50" t="n">
        <x:v>46194</x:v>
      </x:c>
      <x:c r="C139" s="14" t="str">
        <x:v>SUP-008</x:v>
      </x:c>
      <x:c r="D139" s="14" t="str">
        <x:v>SKU-0134</x:v>
      </x:c>
      <x:c r="E139" s="52" t="n">
        <x:v>200</x:v>
      </x:c>
      <x:c r="F139" s="52" t="n">
        <x:v>100</x:v>
      </x:c>
      <x:c r="G139" s="53" t="n">
        <x:f>E139-F139</x:f>
        <x:v>100</x:v>
      </x:c>
      <x:c r="H139" s="40" t="n">
        <x:v>254.76</x:v>
      </x:c>
      <x:c r="I139" s="44" t="n">
        <x:f>E139*H139</x:f>
        <x:v>50952</x:v>
      </x:c>
      <x:c r="J139" s="50" t="n">
        <x:v>46233</x:v>
      </x:c>
      <x:c r="K139" s="14" t="str">
        <x:v>Partial</x:v>
      </x:c>
      <x:c r="L139" s="14" t="str">
        <x:v>Not Received</x:v>
      </x:c>
      <x:c r="M139" s="50" t="n">
        <x:v>46254</x:v>
      </x:c>
    </x:row>
    <x:row r="140">
      <x:c r="A140" s="14" t="str">
        <x:v>PO-26-0139</x:v>
      </x:c>
      <x:c r="B140" s="50" t="n">
        <x:v>46192</x:v>
      </x:c>
      <x:c r="C140" s="14" t="str">
        <x:v>SUP-002</x:v>
      </x:c>
      <x:c r="D140" s="14" t="str">
        <x:v>SKU-0128</x:v>
      </x:c>
      <x:c r="E140" s="52" t="n">
        <x:v>500</x:v>
      </x:c>
      <x:c r="F140" s="52" t="n">
        <x:v>500</x:v>
      </x:c>
      <x:c r="G140" s="53" t="n">
        <x:f>E140-F140</x:f>
        <x:v>0</x:v>
      </x:c>
      <x:c r="H140" s="40" t="n">
        <x:v>70.02</x:v>
      </x:c>
      <x:c r="I140" s="44" t="n">
        <x:f>E140*H140</x:f>
        <x:v>35010</x:v>
      </x:c>
      <x:c r="J140" s="50" t="n">
        <x:v>46241</x:v>
      </x:c>
      <x:c r="K140" s="14" t="str">
        <x:v>Closed</x:v>
      </x:c>
      <x:c r="L140" s="14" t="str">
        <x:v>Approved</x:v>
      </x:c>
      <x:c r="M140" s="50" t="n">
        <x:v>46252</x:v>
      </x:c>
    </x:row>
    <x:row r="141">
      <x:c r="A141" s="14" t="str">
        <x:v>PO-26-0140</x:v>
      </x:c>
      <x:c r="B141" s="50" t="n">
        <x:v>46217</x:v>
      </x:c>
      <x:c r="C141" s="14" t="str">
        <x:v>SUP-004</x:v>
      </x:c>
      <x:c r="D141" s="14" t="str">
        <x:v>SKU-0023</x:v>
      </x:c>
      <x:c r="E141" s="52" t="n">
        <x:v>1000</x:v>
      </x:c>
      <x:c r="F141" s="52" t="n">
        <x:v>250</x:v>
      </x:c>
      <x:c r="G141" s="53" t="n">
        <x:f>E141-F141</x:f>
        <x:v>750</x:v>
      </x:c>
      <x:c r="H141" s="40" t="n">
        <x:v>76.21</x:v>
      </x:c>
      <x:c r="I141" s="44" t="n">
        <x:f>E141*H141</x:f>
        <x:v>76210</x:v>
      </x:c>
      <x:c r="J141" s="50" t="n">
        <x:v>46269</x:v>
      </x:c>
      <x:c r="K141" s="14" t="str">
        <x:v>Partial</x:v>
      </x:c>
      <x:c r="L141" s="14" t="str">
        <x:v>Not Received</x:v>
      </x:c>
      <x:c r="M141" s="50" t="n">
        <x:v>46277</x:v>
      </x:c>
    </x:row>
    <x:row r="142">
      <x:c r="A142" s="14" t="str">
        <x:v>PO-26-0141</x:v>
      </x:c>
      <x:c r="B142" s="50" t="n">
        <x:v>46180</x:v>
      </x:c>
      <x:c r="C142" s="14" t="str">
        <x:v>SUP-002</x:v>
      </x:c>
      <x:c r="D142" s="14" t="str">
        <x:v>SKU-0026</x:v>
      </x:c>
      <x:c r="E142" s="52" t="n">
        <x:v>100</x:v>
      </x:c>
      <x:c r="F142" s="52" t="n">
        <x:v>100</x:v>
      </x:c>
      <x:c r="G142" s="53" t="n">
        <x:f>E142-F142</x:f>
        <x:v>0</x:v>
      </x:c>
      <x:c r="H142" s="40" t="n">
        <x:v>249.4</x:v>
      </x:c>
      <x:c r="I142" s="44" t="n">
        <x:f>E142*H142</x:f>
        <x:v>24940</x:v>
      </x:c>
      <x:c r="J142" s="50" t="n">
        <x:v>46204</x:v>
      </x:c>
      <x:c r="K142" s="14" t="str">
        <x:v>Closed</x:v>
      </x:c>
      <x:c r="L142" s="14" t="str">
        <x:v>Paid</x:v>
      </x:c>
      <x:c r="M142" s="50" t="n">
        <x:v>46225</x:v>
      </x:c>
    </x:row>
    <x:row r="143">
      <x:c r="A143" s="14" t="str">
        <x:v>PO-26-0142</x:v>
      </x:c>
      <x:c r="B143" s="50" t="n">
        <x:v>46220</x:v>
      </x:c>
      <x:c r="C143" s="14" t="str">
        <x:v>SUP-001</x:v>
      </x:c>
      <x:c r="D143" s="14" t="str">
        <x:v>SKU-0013</x:v>
      </x:c>
      <x:c r="E143" s="52" t="n">
        <x:v>75</x:v>
      </x:c>
      <x:c r="F143" s="52" t="n">
        <x:v>37</x:v>
      </x:c>
      <x:c r="G143" s="53" t="n">
        <x:f>E143-F143</x:f>
        <x:v>38</x:v>
      </x:c>
      <x:c r="H143" s="40" t="n">
        <x:v>22.2</x:v>
      </x:c>
      <x:c r="I143" s="44" t="n">
        <x:f>E143*H143</x:f>
        <x:v>1665</x:v>
      </x:c>
      <x:c r="J143" s="50" t="n">
        <x:v>46237</x:v>
      </x:c>
      <x:c r="K143" s="14" t="str">
        <x:v>Partial</x:v>
      </x:c>
      <x:c r="L143" s="14" t="str">
        <x:v>Approved</x:v>
      </x:c>
      <x:c r="M143" s="50" t="n">
        <x:v>46265</x:v>
      </x:c>
    </x:row>
    <x:row r="144">
      <x:c r="A144" s="14" t="str">
        <x:v>PO-26-0143</x:v>
      </x:c>
      <x:c r="B144" s="50" t="n">
        <x:v>46221</x:v>
      </x:c>
      <x:c r="C144" s="14" t="str">
        <x:v>SUP-004</x:v>
      </x:c>
      <x:c r="D144" s="14" t="str">
        <x:v>SKU-0030</x:v>
      </x:c>
      <x:c r="E144" s="52" t="n">
        <x:v>25</x:v>
      </x:c>
      <x:c r="F144" s="52" t="n">
        <x:v>25</x:v>
      </x:c>
      <x:c r="G144" s="53" t="n">
        <x:f>E144-F144</x:f>
        <x:v>0</x:v>
      </x:c>
      <x:c r="H144" s="40" t="n">
        <x:v>191.77</x:v>
      </x:c>
      <x:c r="I144" s="44" t="n">
        <x:f>E144*H144</x:f>
        <x:v>4794.25</x:v>
      </x:c>
      <x:c r="J144" s="50" t="n">
        <x:v>46266</x:v>
      </x:c>
      <x:c r="K144" s="14" t="str">
        <x:v>Closed</x:v>
      </x:c>
      <x:c r="L144" s="14" t="str">
        <x:v>Approved</x:v>
      </x:c>
      <x:c r="M144" s="50" t="n">
        <x:v>46266</x:v>
      </x:c>
    </x:row>
    <x:row r="145">
      <x:c r="A145" s="14" t="str">
        <x:v>PO-26-0144</x:v>
      </x:c>
      <x:c r="B145" s="50" t="n">
        <x:v>46133</x:v>
      </x:c>
      <x:c r="C145" s="14" t="str">
        <x:v>SUP-002</x:v>
      </x:c>
      <x:c r="D145" s="14" t="str">
        <x:v>SKU-0092</x:v>
      </x:c>
      <x:c r="E145" s="52" t="n">
        <x:v>1000</x:v>
      </x:c>
      <x:c r="F145" s="52" t="n">
        <x:v>1000</x:v>
      </x:c>
      <x:c r="G145" s="53" t="n">
        <x:f>E145-F145</x:f>
        <x:v>0</x:v>
      </x:c>
      <x:c r="H145" s="40" t="n">
        <x:v>125.08</x:v>
      </x:c>
      <x:c r="I145" s="44" t="n">
        <x:f>E145*H145</x:f>
        <x:v>125080</x:v>
      </x:c>
      <x:c r="J145" s="50" t="n">
        <x:v>46181</x:v>
      </x:c>
      <x:c r="K145" s="14" t="str">
        <x:v>Closed</x:v>
      </x:c>
      <x:c r="L145" s="14" t="str">
        <x:v>Paid</x:v>
      </x:c>
      <x:c r="M145" s="50" t="n">
        <x:v>46178</x:v>
      </x:c>
    </x:row>
    <x:row r="146">
      <x:c r="A146" s="14" t="str">
        <x:v>PO-26-0145</x:v>
      </x:c>
      <x:c r="B146" s="50" t="n">
        <x:v>46216</x:v>
      </x:c>
      <x:c r="C146" s="14" t="str">
        <x:v>SUP-004</x:v>
      </x:c>
      <x:c r="D146" s="14" t="str">
        <x:v>SKU-0047</x:v>
      </x:c>
      <x:c r="E146" s="52" t="n">
        <x:v>300</x:v>
      </x:c>
      <x:c r="F146" s="52" t="n">
        <x:v>300</x:v>
      </x:c>
      <x:c r="G146" s="53" t="n">
        <x:f>E146-F146</x:f>
        <x:v>0</x:v>
      </x:c>
      <x:c r="H146" s="40" t="n">
        <x:v>233.63</x:v>
      </x:c>
      <x:c r="I146" s="44" t="n">
        <x:f>E146*H146</x:f>
        <x:v>70089</x:v>
      </x:c>
      <x:c r="J146" s="50" t="n">
        <x:v>46280</x:v>
      </x:c>
      <x:c r="K146" s="14" t="str">
        <x:v>Closed</x:v>
      </x:c>
      <x:c r="L146" s="14" t="str">
        <x:v>Paid</x:v>
      </x:c>
      <x:c r="M146" s="50" t="n">
        <x:v>46261</x:v>
      </x:c>
    </x:row>
    <x:row r="147">
      <x:c r="A147" s="14" t="str">
        <x:v>PO-26-0146</x:v>
      </x:c>
      <x:c r="B147" s="50" t="n">
        <x:v>46138</x:v>
      </x:c>
      <x:c r="C147" s="14" t="str">
        <x:v>SUP-006</x:v>
      </x:c>
      <x:c r="D147" s="14" t="str">
        <x:v>SKU-0123</x:v>
      </x:c>
      <x:c r="E147" s="52" t="n">
        <x:v>75</x:v>
      </x:c>
      <x:c r="F147" s="52" t="n">
        <x:v>75</x:v>
      </x:c>
      <x:c r="G147" s="53" t="n">
        <x:f>E147-F147</x:f>
        <x:v>0</x:v>
      </x:c>
      <x:c r="H147" s="40" t="n">
        <x:v>121.8</x:v>
      </x:c>
      <x:c r="I147" s="44" t="n">
        <x:f>E147*H147</x:f>
        <x:v>9135</x:v>
      </x:c>
      <x:c r="J147" s="50" t="n">
        <x:v>46183</x:v>
      </x:c>
      <x:c r="K147" s="14" t="str">
        <x:v>Closed</x:v>
      </x:c>
      <x:c r="L147" s="14" t="str">
        <x:v>Approved</x:v>
      </x:c>
      <x:c r="M147" s="50" t="n">
        <x:v>46168</x:v>
      </x:c>
    </x:row>
    <x:row r="148">
      <x:c r="A148" s="14" t="str">
        <x:v>PO-26-0147</x:v>
      </x:c>
      <x:c r="B148" s="50" t="n">
        <x:v>46122</x:v>
      </x:c>
      <x:c r="C148" s="14" t="str">
        <x:v>SUP-006</x:v>
      </x:c>
      <x:c r="D148" s="14" t="str">
        <x:v>SKU-0107</x:v>
      </x:c>
      <x:c r="E148" s="52" t="n">
        <x:v>1000</x:v>
      </x:c>
      <x:c r="F148" s="52" t="n">
        <x:v>250</x:v>
      </x:c>
      <x:c r="G148" s="53" t="n">
        <x:f>E148-F148</x:f>
        <x:v>750</x:v>
      </x:c>
      <x:c r="H148" s="40" t="n">
        <x:v>217.39</x:v>
      </x:c>
      <x:c r="I148" s="44" t="n">
        <x:f>E148*H148</x:f>
        <x:v>217390</x:v>
      </x:c>
      <x:c r="J148" s="50" t="n">
        <x:v>46144</x:v>
      </x:c>
      <x:c r="K148" s="14" t="str">
        <x:v>Partial</x:v>
      </x:c>
      <x:c r="L148" s="14" t="str">
        <x:v>Approved</x:v>
      </x:c>
      <x:c r="M148" s="50" t="n">
        <x:v>46182</x:v>
      </x:c>
    </x:row>
    <x:row r="149">
      <x:c r="A149" s="14" t="str">
        <x:v>PO-26-0148</x:v>
      </x:c>
      <x:c r="B149" s="50" t="n">
        <x:v>46212</x:v>
      </x:c>
      <x:c r="C149" s="14" t="str">
        <x:v>SUP-011</x:v>
      </x:c>
      <x:c r="D149" s="14" t="str">
        <x:v>SKU-0008</x:v>
      </x:c>
      <x:c r="E149" s="52" t="n">
        <x:v>500</x:v>
      </x:c>
      <x:c r="F149" s="52" t="n">
        <x:v>0</x:v>
      </x:c>
      <x:c r="G149" s="53" t="n">
        <x:f>E149-F149</x:f>
        <x:v>500</x:v>
      </x:c>
      <x:c r="H149" s="40" t="n">
        <x:v>143.38</x:v>
      </x:c>
      <x:c r="I149" s="44" t="n">
        <x:f>E149*H149</x:f>
        <x:v>71690</x:v>
      </x:c>
      <x:c r="J149" s="50" t="n">
        <x:v>46276</x:v>
      </x:c>
      <x:c r="K149" s="14" t="str">
        <x:v>Open</x:v>
      </x:c>
      <x:c r="L149" s="14" t="str">
        <x:v>Paid</x:v>
      </x:c>
      <x:c r="M149" s="50" t="n">
        <x:v>46242</x:v>
      </x:c>
    </x:row>
    <x:row r="150">
      <x:c r="A150" s="14" t="str">
        <x:v>PO-26-0149</x:v>
      </x:c>
      <x:c r="B150" s="50" t="n">
        <x:v>46179</x:v>
      </x:c>
      <x:c r="C150" s="14" t="str">
        <x:v>SUP-008</x:v>
      </x:c>
      <x:c r="D150" s="14" t="str">
        <x:v>SKU-0017</x:v>
      </x:c>
      <x:c r="E150" s="52" t="n">
        <x:v>200</x:v>
      </x:c>
      <x:c r="F150" s="52" t="n">
        <x:v>200</x:v>
      </x:c>
      <x:c r="G150" s="53" t="n">
        <x:f>E150-F150</x:f>
        <x:v>0</x:v>
      </x:c>
      <x:c r="H150" s="40" t="n">
        <x:v>71.82</x:v>
      </x:c>
      <x:c r="I150" s="44" t="n">
        <x:f>E150*H150</x:f>
        <x:v>14363.999999999998</x:v>
      </x:c>
      <x:c r="J150" s="50" t="n">
        <x:v>46200</x:v>
      </x:c>
      <x:c r="K150" s="14" t="str">
        <x:v>Closed</x:v>
      </x:c>
      <x:c r="L150" s="14" t="str">
        <x:v>Approved</x:v>
      </x:c>
      <x:c r="M150" s="50" t="n">
        <x:v>46239</x:v>
      </x:c>
    </x:row>
    <x:row r="151">
      <x:c r="A151" s="14" t="str">
        <x:v>PO-26-0150</x:v>
      </x:c>
      <x:c r="B151" s="50" t="n">
        <x:v>46113</x:v>
      </x:c>
      <x:c r="C151" s="14" t="str">
        <x:v>SUP-010</x:v>
      </x:c>
      <x:c r="D151" s="14" t="str">
        <x:v>SKU-0087</x:v>
      </x:c>
      <x:c r="E151" s="52" t="n">
        <x:v>750</x:v>
      </x:c>
      <x:c r="F151" s="52" t="n">
        <x:v>0</x:v>
      </x:c>
      <x:c r="G151" s="53" t="n">
        <x:f>E151-F151</x:f>
        <x:v>750</x:v>
      </x:c>
      <x:c r="H151" s="40" t="n">
        <x:v>194.73</x:v>
      </x:c>
      <x:c r="I151" s="44" t="n">
        <x:f>E151*H151</x:f>
        <x:v>146047.5</x:v>
      </x:c>
      <x:c r="J151" s="50" t="n">
        <x:v>46152</x:v>
      </x:c>
      <x:c r="K151" s="14" t="str">
        <x:v>Open</x:v>
      </x:c>
      <x:c r="L151" s="14" t="str">
        <x:v>Received</x:v>
      </x:c>
      <x:c r="M151" s="50" t="n">
        <x:v>46158</x:v>
      </x:c>
    </x:row>
    <x:row r="152">
      <x:c r="A152" s="14" t="str">
        <x:v>PO-26-0151</x:v>
      </x:c>
      <x:c r="B152" s="50" t="n">
        <x:v>46147</x:v>
      </x:c>
      <x:c r="C152" s="14" t="str">
        <x:v>SUP-008</x:v>
      </x:c>
      <x:c r="D152" s="14" t="str">
        <x:v>SKU-0089</x:v>
      </x:c>
      <x:c r="E152" s="52" t="n">
        <x:v>75</x:v>
      </x:c>
      <x:c r="F152" s="52" t="n">
        <x:v>0</x:v>
      </x:c>
      <x:c r="G152" s="53" t="n">
        <x:f>E152-F152</x:f>
        <x:v>75</x:v>
      </x:c>
      <x:c r="H152" s="40" t="n">
        <x:v>48.67</x:v>
      </x:c>
      <x:c r="I152" s="44" t="n">
        <x:f>E152*H152</x:f>
        <x:v>3650.25</x:v>
      </x:c>
      <x:c r="J152" s="50" t="n">
        <x:v>46167</x:v>
      </x:c>
      <x:c r="K152" s="14" t="str">
        <x:v>Open</x:v>
      </x:c>
      <x:c r="L152" s="14" t="str">
        <x:v>Received</x:v>
      </x:c>
      <x:c r="M152" s="50" t="n">
        <x:v>46207</x:v>
      </x:c>
    </x:row>
    <x:row r="153">
      <x:c r="A153" s="14" t="str">
        <x:v>PO-26-0152</x:v>
      </x:c>
      <x:c r="B153" s="50" t="n">
        <x:v>46119</x:v>
      </x:c>
      <x:c r="C153" s="14" t="str">
        <x:v>SUP-006</x:v>
      </x:c>
      <x:c r="D153" s="14" t="str">
        <x:v>SKU-0121</x:v>
      </x:c>
      <x:c r="E153" s="52" t="n">
        <x:v>75</x:v>
      </x:c>
      <x:c r="F153" s="52" t="n">
        <x:v>75</x:v>
      </x:c>
      <x:c r="G153" s="53" t="n">
        <x:f>E153-F153</x:f>
        <x:v>0</x:v>
      </x:c>
      <x:c r="H153" s="40" t="n">
        <x:v>88.98</x:v>
      </x:c>
      <x:c r="I153" s="44" t="n">
        <x:f>E153*H153</x:f>
        <x:v>6673.5</x:v>
      </x:c>
      <x:c r="J153" s="50" t="n">
        <x:v>46139</x:v>
      </x:c>
      <x:c r="K153" s="14" t="str">
        <x:v>Closed</x:v>
      </x:c>
      <x:c r="L153" s="14" t="str">
        <x:v>Paid</x:v>
      </x:c>
      <x:c r="M153" s="50" t="n">
        <x:v>46149</x:v>
      </x:c>
    </x:row>
    <x:row r="154">
      <x:c r="A154" s="14" t="str">
        <x:v>PO-26-0153</x:v>
      </x:c>
      <x:c r="B154" s="50" t="n">
        <x:v>46174</x:v>
      </x:c>
      <x:c r="C154" s="14" t="str">
        <x:v>SUP-011</x:v>
      </x:c>
      <x:c r="D154" s="14" t="str">
        <x:v>SKU-0085</x:v>
      </x:c>
      <x:c r="E154" s="52" t="n">
        <x:v>25</x:v>
      </x:c>
      <x:c r="F154" s="52" t="n">
        <x:v>25</x:v>
      </x:c>
      <x:c r="G154" s="53" t="n">
        <x:f>E154-F154</x:f>
        <x:v>0</x:v>
      </x:c>
      <x:c r="H154" s="40" t="n">
        <x:v>222.39</x:v>
      </x:c>
      <x:c r="I154" s="44" t="n">
        <x:f>E154*H154</x:f>
        <x:v>5559.75</x:v>
      </x:c>
      <x:c r="J154" s="50" t="n">
        <x:v>46225</x:v>
      </x:c>
      <x:c r="K154" s="14" t="str">
        <x:v>Closed</x:v>
      </x:c>
      <x:c r="L154" s="14" t="str">
        <x:v>Paid</x:v>
      </x:c>
      <x:c r="M154" s="50" t="n">
        <x:v>46219</x:v>
      </x:c>
    </x:row>
    <x:row r="155">
      <x:c r="A155" s="14" t="str">
        <x:v>PO-26-0154</x:v>
      </x:c>
      <x:c r="B155" s="50" t="n">
        <x:v>46225</x:v>
      </x:c>
      <x:c r="C155" s="14" t="str">
        <x:v>SUP-004</x:v>
      </x:c>
      <x:c r="D155" s="14" t="str">
        <x:v>SKU-0061</x:v>
      </x:c>
      <x:c r="E155" s="52" t="n">
        <x:v>500</x:v>
      </x:c>
      <x:c r="F155" s="52" t="n">
        <x:v>500</x:v>
      </x:c>
      <x:c r="G155" s="53" t="n">
        <x:f>E155-F155</x:f>
        <x:v>0</x:v>
      </x:c>
      <x:c r="H155" s="40" t="n">
        <x:v>202.32</x:v>
      </x:c>
      <x:c r="I155" s="44" t="n">
        <x:f>E155*H155</x:f>
        <x:v>101160</x:v>
      </x:c>
      <x:c r="J155" s="50" t="n">
        <x:v>46282</x:v>
      </x:c>
      <x:c r="K155" s="14" t="str">
        <x:v>Closed</x:v>
      </x:c>
      <x:c r="L155" s="14" t="str">
        <x:v>Approved</x:v>
      </x:c>
      <x:c r="M155" s="50" t="n">
        <x:v>46270</x:v>
      </x:c>
    </x:row>
    <x:row r="156">
      <x:c r="A156" s="14" t="str">
        <x:v>PO-26-0155</x:v>
      </x:c>
      <x:c r="B156" s="50" t="n">
        <x:v>46165</x:v>
      </x:c>
      <x:c r="C156" s="14" t="str">
        <x:v>SUP-002</x:v>
      </x:c>
      <x:c r="D156" s="14" t="str">
        <x:v>SKU-0115</x:v>
      </x:c>
      <x:c r="E156" s="52" t="n">
        <x:v>50</x:v>
      </x:c>
      <x:c r="F156" s="52" t="n">
        <x:v>0</x:v>
      </x:c>
      <x:c r="G156" s="53" t="n">
        <x:f>E156-F156</x:f>
        <x:v>50</x:v>
      </x:c>
      <x:c r="H156" s="40" t="n">
        <x:v>27.81</x:v>
      </x:c>
      <x:c r="I156" s="44" t="n">
        <x:f>E156*H156</x:f>
        <x:v>1390.5</x:v>
      </x:c>
      <x:c r="J156" s="50" t="n">
        <x:v>46193</x:v>
      </x:c>
      <x:c r="K156" s="14" t="str">
        <x:v>Open</x:v>
      </x:c>
      <x:c r="L156" s="14" t="str">
        <x:v>Paid</x:v>
      </x:c>
      <x:c r="M156" s="50" t="n">
        <x:v>46210</x:v>
      </x:c>
    </x:row>
    <x:row r="157">
      <x:c r="A157" s="14" t="str">
        <x:v>PO-26-0156</x:v>
      </x:c>
      <x:c r="B157" s="50" t="n">
        <x:v>46105</x:v>
      </x:c>
      <x:c r="C157" s="14" t="str">
        <x:v>SUP-012</x:v>
      </x:c>
      <x:c r="D157" s="14" t="str">
        <x:v>SKU-0010</x:v>
      </x:c>
      <x:c r="E157" s="52" t="n">
        <x:v>25</x:v>
      </x:c>
      <x:c r="F157" s="52" t="n">
        <x:v>12</x:v>
      </x:c>
      <x:c r="G157" s="53" t="n">
        <x:f>E157-F157</x:f>
        <x:v>13</x:v>
      </x:c>
      <x:c r="H157" s="40" t="n">
        <x:v>137.36</x:v>
      </x:c>
      <x:c r="I157" s="44" t="n">
        <x:f>E157*H157</x:f>
        <x:v>3434.0000000000005</x:v>
      </x:c>
      <x:c r="J157" s="50" t="n">
        <x:v>46165</x:v>
      </x:c>
      <x:c r="K157" s="14" t="str">
        <x:v>Partial</x:v>
      </x:c>
      <x:c r="L157" s="14" t="str">
        <x:v>Received</x:v>
      </x:c>
      <x:c r="M157" s="50" t="n">
        <x:v>46165</x:v>
      </x:c>
    </x:row>
    <x:row r="158">
      <x:c r="A158" s="14" t="str">
        <x:v>PO-26-0157</x:v>
      </x:c>
      <x:c r="B158" s="50" t="n">
        <x:v>46158</x:v>
      </x:c>
      <x:c r="C158" s="14" t="str">
        <x:v>SUP-010</x:v>
      </x:c>
      <x:c r="D158" s="14" t="str">
        <x:v>SKU-0117</x:v>
      </x:c>
      <x:c r="E158" s="52" t="n">
        <x:v>200</x:v>
      </x:c>
      <x:c r="F158" s="52" t="n">
        <x:v>50</x:v>
      </x:c>
      <x:c r="G158" s="53" t="n">
        <x:f>E158-F158</x:f>
        <x:v>150</x:v>
      </x:c>
      <x:c r="H158" s="40" t="n">
        <x:v>143.31</x:v>
      </x:c>
      <x:c r="I158" s="44" t="n">
        <x:f>E158*H158</x:f>
        <x:v>28662</x:v>
      </x:c>
      <x:c r="J158" s="50" t="n">
        <x:v>46209</x:v>
      </x:c>
      <x:c r="K158" s="14" t="str">
        <x:v>Partial</x:v>
      </x:c>
      <x:c r="L158" s="14" t="str">
        <x:v>Approved</x:v>
      </x:c>
      <x:c r="M158" s="50" t="n">
        <x:v>46218</x:v>
      </x:c>
    </x:row>
    <x:row r="159">
      <x:c r="A159" s="14" t="str">
        <x:v>PO-26-0158</x:v>
      </x:c>
      <x:c r="B159" s="50" t="n">
        <x:v>46152</x:v>
      </x:c>
      <x:c r="C159" s="14" t="str">
        <x:v>SUP-011</x:v>
      </x:c>
      <x:c r="D159" s="14" t="str">
        <x:v>SKU-0122</x:v>
      </x:c>
      <x:c r="E159" s="52" t="n">
        <x:v>500</x:v>
      </x:c>
      <x:c r="F159" s="52" t="n">
        <x:v>500</x:v>
      </x:c>
      <x:c r="G159" s="53" t="n">
        <x:f>E159-F159</x:f>
        <x:v>0</x:v>
      </x:c>
      <x:c r="H159" s="40" t="n">
        <x:v>25.14</x:v>
      </x:c>
      <x:c r="I159" s="44" t="n">
        <x:f>E159*H159</x:f>
        <x:v>12570</x:v>
      </x:c>
      <x:c r="J159" s="50" t="n">
        <x:v>46187</x:v>
      </x:c>
      <x:c r="K159" s="14" t="str">
        <x:v>Closed</x:v>
      </x:c>
      <x:c r="L159" s="14" t="str">
        <x:v>Approved</x:v>
      </x:c>
      <x:c r="M159" s="50" t="n">
        <x:v>46197</x:v>
      </x:c>
    </x:row>
    <x:row r="160">
      <x:c r="A160" s="14" t="str">
        <x:v>PO-26-0159</x:v>
      </x:c>
      <x:c r="B160" s="50" t="n">
        <x:v>46171</x:v>
      </x:c>
      <x:c r="C160" s="14" t="str">
        <x:v>SUP-010</x:v>
      </x:c>
      <x:c r="D160" s="14" t="str">
        <x:v>SKU-0091</x:v>
      </x:c>
      <x:c r="E160" s="52" t="n">
        <x:v>750</x:v>
      </x:c>
      <x:c r="F160" s="52" t="n">
        <x:v>750</x:v>
      </x:c>
      <x:c r="G160" s="53" t="n">
        <x:f>E160-F160</x:f>
        <x:v>0</x:v>
      </x:c>
      <x:c r="H160" s="40" t="n">
        <x:v>42.22</x:v>
      </x:c>
      <x:c r="I160" s="44" t="n">
        <x:f>E160*H160</x:f>
        <x:v>31665</x:v>
      </x:c>
      <x:c r="J160" s="50" t="n">
        <x:v>46176</x:v>
      </x:c>
      <x:c r="K160" s="14" t="str">
        <x:v>Closed</x:v>
      </x:c>
      <x:c r="L160" s="14" t="str">
        <x:v>Approved</x:v>
      </x:c>
      <x:c r="M160" s="50" t="n">
        <x:v>46201</x:v>
      </x:c>
    </x:row>
    <x:row r="161">
      <x:c r="A161" s="14" t="str">
        <x:v>PO-26-0160</x:v>
      </x:c>
      <x:c r="B161" s="50" t="n">
        <x:v>46210</x:v>
      </x:c>
      <x:c r="C161" s="14" t="str">
        <x:v>SUP-002</x:v>
      </x:c>
      <x:c r="D161" s="14" t="str">
        <x:v>SKU-0127</x:v>
      </x:c>
      <x:c r="E161" s="52" t="n">
        <x:v>300</x:v>
      </x:c>
      <x:c r="F161" s="52" t="n">
        <x:v>300</x:v>
      </x:c>
      <x:c r="G161" s="53" t="n">
        <x:f>E161-F161</x:f>
        <x:v>0</x:v>
      </x:c>
      <x:c r="H161" s="40" t="n">
        <x:v>114.9</x:v>
      </x:c>
      <x:c r="I161" s="44" t="n">
        <x:f>E161*H161</x:f>
        <x:v>34470</x:v>
      </x:c>
      <x:c r="J161" s="50" t="n">
        <x:v>46271</x:v>
      </x:c>
      <x:c r="K161" s="14" t="str">
        <x:v>Closed</x:v>
      </x:c>
      <x:c r="L161" s="14" t="str">
        <x:v>Approved</x:v>
      </x:c>
      <x:c r="M161" s="50" t="n">
        <x:v>46240</x:v>
      </x:c>
    </x:row>
    <x:row r="162">
      <x:c r="A162" s="14" t="str">
        <x:v>PO-26-0161</x:v>
      </x:c>
      <x:c r="B162" s="50" t="n">
        <x:v>46190</x:v>
      </x:c>
      <x:c r="C162" s="14" t="str">
        <x:v>SUP-010</x:v>
      </x:c>
      <x:c r="D162" s="14" t="str">
        <x:v>SKU-0101</x:v>
      </x:c>
      <x:c r="E162" s="52" t="n">
        <x:v>500</x:v>
      </x:c>
      <x:c r="F162" s="52" t="n">
        <x:v>125</x:v>
      </x:c>
      <x:c r="G162" s="53" t="n">
        <x:f>E162-F162</x:f>
        <x:v>375</x:v>
      </x:c>
      <x:c r="H162" s="40" t="n">
        <x:v>63.93</x:v>
      </x:c>
      <x:c r="I162" s="44" t="n">
        <x:f>E162*H162</x:f>
        <x:v>31965</x:v>
      </x:c>
      <x:c r="J162" s="50" t="n">
        <x:v>46243</x:v>
      </x:c>
      <x:c r="K162" s="14" t="str">
        <x:v>Partial</x:v>
      </x:c>
      <x:c r="L162" s="14" t="str">
        <x:v>Not Received</x:v>
      </x:c>
      <x:c r="M162" s="50" t="n">
        <x:v>46235</x:v>
      </x:c>
    </x:row>
    <x:row r="163">
      <x:c r="A163" s="14" t="str">
        <x:v>PO-26-0162</x:v>
      </x:c>
      <x:c r="B163" s="50" t="n">
        <x:v>46214</x:v>
      </x:c>
      <x:c r="C163" s="14" t="str">
        <x:v>SUP-008</x:v>
      </x:c>
      <x:c r="D163" s="14" t="str">
        <x:v>SKU-0012</x:v>
      </x:c>
      <x:c r="E163" s="52" t="n">
        <x:v>500</x:v>
      </x:c>
      <x:c r="F163" s="52" t="n">
        <x:v>500</x:v>
      </x:c>
      <x:c r="G163" s="53" t="n">
        <x:f>E163-F163</x:f>
        <x:v>0</x:v>
      </x:c>
      <x:c r="H163" s="40" t="n">
        <x:v>252.14</x:v>
      </x:c>
      <x:c r="I163" s="44" t="n">
        <x:f>E163*H163</x:f>
        <x:v>126070</x:v>
      </x:c>
      <x:c r="J163" s="50" t="n">
        <x:v>46233</x:v>
      </x:c>
      <x:c r="K163" s="14" t="str">
        <x:v>Closed</x:v>
      </x:c>
      <x:c r="L163" s="14" t="str">
        <x:v>Approved</x:v>
      </x:c>
      <x:c r="M163" s="50" t="n">
        <x:v>46259</x:v>
      </x:c>
    </x:row>
    <x:row r="164">
      <x:c r="A164" s="14" t="str">
        <x:v>PO-26-0163</x:v>
      </x:c>
      <x:c r="B164" s="50" t="n">
        <x:v>46110</x:v>
      </x:c>
      <x:c r="C164" s="14" t="str">
        <x:v>SUP-001</x:v>
      </x:c>
      <x:c r="D164" s="14" t="str">
        <x:v>SKU-0002</x:v>
      </x:c>
      <x:c r="E164" s="52" t="n">
        <x:v>25</x:v>
      </x:c>
      <x:c r="F164" s="52" t="n">
        <x:v>25</x:v>
      </x:c>
      <x:c r="G164" s="53" t="n">
        <x:f>E164-F164</x:f>
        <x:v>0</x:v>
      </x:c>
      <x:c r="H164" s="40" t="n">
        <x:v>66.06</x:v>
      </x:c>
      <x:c r="I164" s="44" t="n">
        <x:f>E164*H164</x:f>
        <x:v>1651.5</x:v>
      </x:c>
      <x:c r="J164" s="50" t="n">
        <x:v>46138</x:v>
      </x:c>
      <x:c r="K164" s="14" t="str">
        <x:v>Closed</x:v>
      </x:c>
      <x:c r="L164" s="14" t="str">
        <x:v>Paid</x:v>
      </x:c>
      <x:c r="M164" s="50" t="n">
        <x:v>46170</x:v>
      </x:c>
    </x:row>
    <x:row r="165">
      <x:c r="A165" s="14" t="str">
        <x:v>PO-26-0164</x:v>
      </x:c>
      <x:c r="B165" s="50" t="n">
        <x:v>46201</x:v>
      </x:c>
      <x:c r="C165" s="14" t="str">
        <x:v>SUP-003</x:v>
      </x:c>
      <x:c r="D165" s="14" t="str">
        <x:v>SKU-0046</x:v>
      </x:c>
      <x:c r="E165" s="52" t="n">
        <x:v>75</x:v>
      </x:c>
      <x:c r="F165" s="52" t="n">
        <x:v>75</x:v>
      </x:c>
      <x:c r="G165" s="53" t="n">
        <x:f>E165-F165</x:f>
        <x:v>0</x:v>
      </x:c>
      <x:c r="H165" s="40" t="n">
        <x:v>66.68</x:v>
      </x:c>
      <x:c r="I165" s="44" t="n">
        <x:f>E165*H165</x:f>
        <x:v>5001.000000000001</x:v>
      </x:c>
      <x:c r="J165" s="50" t="n">
        <x:v>46239</x:v>
      </x:c>
      <x:c r="K165" s="14" t="str">
        <x:v>Closed</x:v>
      </x:c>
      <x:c r="L165" s="14" t="str">
        <x:v>Paid</x:v>
      </x:c>
      <x:c r="M165" s="50" t="n">
        <x:v>46246</x:v>
      </x:c>
    </x:row>
    <x:row r="166">
      <x:c r="A166" s="14" t="str">
        <x:v>PO-26-0165</x:v>
      </x:c>
      <x:c r="B166" s="50" t="n">
        <x:v>46175</x:v>
      </x:c>
      <x:c r="C166" s="14" t="str">
        <x:v>SUP-004</x:v>
      </x:c>
      <x:c r="D166" s="14" t="str">
        <x:v>SKU-0064</x:v>
      </x:c>
      <x:c r="E166" s="52" t="n">
        <x:v>300</x:v>
      </x:c>
      <x:c r="F166" s="52" t="n">
        <x:v>150</x:v>
      </x:c>
      <x:c r="G166" s="53" t="n">
        <x:f>E166-F166</x:f>
        <x:v>150</x:v>
      </x:c>
      <x:c r="H166" s="40" t="n">
        <x:v>62.55</x:v>
      </x:c>
      <x:c r="I166" s="44" t="n">
        <x:f>E166*H166</x:f>
        <x:v>18765</x:v>
      </x:c>
      <x:c r="J166" s="50" t="n">
        <x:v>46209</x:v>
      </x:c>
      <x:c r="K166" s="14" t="str">
        <x:v>Partial</x:v>
      </x:c>
      <x:c r="L166" s="14" t="str">
        <x:v>Received</x:v>
      </x:c>
      <x:c r="M166" s="50" t="n">
        <x:v>46205</x:v>
      </x:c>
    </x:row>
    <x:row r="167">
      <x:c r="A167" s="14" t="str">
        <x:v>PO-26-0166</x:v>
      </x:c>
      <x:c r="B167" s="50" t="n">
        <x:v>46114</x:v>
      </x:c>
      <x:c r="C167" s="14" t="str">
        <x:v>SUP-001</x:v>
      </x:c>
      <x:c r="D167" s="14" t="str">
        <x:v>SKU-0106</x:v>
      </x:c>
      <x:c r="E167" s="52" t="n">
        <x:v>150</x:v>
      </x:c>
      <x:c r="F167" s="52" t="n">
        <x:v>75</x:v>
      </x:c>
      <x:c r="G167" s="53" t="n">
        <x:f>E167-F167</x:f>
        <x:v>75</x:v>
      </x:c>
      <x:c r="H167" s="40" t="n">
        <x:v>220.84</x:v>
      </x:c>
      <x:c r="I167" s="44" t="n">
        <x:f>E167*H167</x:f>
        <x:v>33126</x:v>
      </x:c>
      <x:c r="J167" s="50" t="n">
        <x:v>46137</x:v>
      </x:c>
      <x:c r="K167" s="14" t="str">
        <x:v>Partial</x:v>
      </x:c>
      <x:c r="L167" s="14" t="str">
        <x:v>Received</x:v>
      </x:c>
      <x:c r="M167" s="50" t="n">
        <x:v>46144</x:v>
      </x:c>
    </x:row>
    <x:row r="168">
      <x:c r="A168" s="14" t="str">
        <x:v>PO-26-0167</x:v>
      </x:c>
      <x:c r="B168" s="50" t="n">
        <x:v>46171</x:v>
      </x:c>
      <x:c r="C168" s="14" t="str">
        <x:v>SUP-006</x:v>
      </x:c>
      <x:c r="D168" s="14" t="str">
        <x:v>SKU-0054</x:v>
      </x:c>
      <x:c r="E168" s="52" t="n">
        <x:v>200</x:v>
      </x:c>
      <x:c r="F168" s="52" t="n">
        <x:v>50</x:v>
      </x:c>
      <x:c r="G168" s="53" t="n">
        <x:f>E168-F168</x:f>
        <x:v>150</x:v>
      </x:c>
      <x:c r="H168" s="40" t="n">
        <x:v>49.06</x:v>
      </x:c>
      <x:c r="I168" s="44" t="n">
        <x:f>E168*H168</x:f>
        <x:v>9812</x:v>
      </x:c>
      <x:c r="J168" s="50" t="n">
        <x:v>46197</x:v>
      </x:c>
      <x:c r="K168" s="14" t="str">
        <x:v>Partial</x:v>
      </x:c>
      <x:c r="L168" s="14" t="str">
        <x:v>Approved</x:v>
      </x:c>
      <x:c r="M168" s="50" t="n">
        <x:v>46231</x:v>
      </x:c>
    </x:row>
    <x:row r="169">
      <x:c r="A169" s="14" t="str">
        <x:v>PO-26-0168</x:v>
      </x:c>
      <x:c r="B169" s="50" t="n">
        <x:v>46155</x:v>
      </x:c>
      <x:c r="C169" s="14" t="str">
        <x:v>SUP-004</x:v>
      </x:c>
      <x:c r="D169" s="14" t="str">
        <x:v>SKU-0030</x:v>
      </x:c>
      <x:c r="E169" s="52" t="n">
        <x:v>750</x:v>
      </x:c>
      <x:c r="F169" s="52" t="n">
        <x:v>750</x:v>
      </x:c>
      <x:c r="G169" s="53" t="n">
        <x:f>E169-F169</x:f>
        <x:v>0</x:v>
      </x:c>
      <x:c r="H169" s="40" t="n">
        <x:v>191.77</x:v>
      </x:c>
      <x:c r="I169" s="44" t="n">
        <x:f>E169*H169</x:f>
        <x:v>143827.5</x:v>
      </x:c>
      <x:c r="J169" s="50" t="n">
        <x:v>46209</x:v>
      </x:c>
      <x:c r="K169" s="14" t="str">
        <x:v>Closed</x:v>
      </x:c>
      <x:c r="L169" s="14" t="str">
        <x:v>Paid</x:v>
      </x:c>
      <x:c r="M169" s="50" t="n">
        <x:v>46200</x:v>
      </x:c>
    </x:row>
    <x:row r="170">
      <x:c r="A170" s="14" t="str">
        <x:v>PO-26-0169</x:v>
      </x:c>
      <x:c r="B170" s="50" t="n">
        <x:v>46112</x:v>
      </x:c>
      <x:c r="C170" s="14" t="str">
        <x:v>SUP-012</x:v>
      </x:c>
      <x:c r="D170" s="14" t="str">
        <x:v>SKU-0004</x:v>
      </x:c>
      <x:c r="E170" s="52" t="n">
        <x:v>50</x:v>
      </x:c>
      <x:c r="F170" s="52" t="n">
        <x:v>50</x:v>
      </x:c>
      <x:c r="G170" s="53" t="n">
        <x:f>E170-F170</x:f>
        <x:v>0</x:v>
      </x:c>
      <x:c r="H170" s="40" t="n">
        <x:v>164.72</x:v>
      </x:c>
      <x:c r="I170" s="44" t="n">
        <x:f>E170*H170</x:f>
        <x:v>8236</x:v>
      </x:c>
      <x:c r="J170" s="50" t="n">
        <x:v>46150</x:v>
      </x:c>
      <x:c r="K170" s="14" t="str">
        <x:v>Closed</x:v>
      </x:c>
      <x:c r="L170" s="14" t="str">
        <x:v>Approved</x:v>
      </x:c>
      <x:c r="M170" s="50" t="n">
        <x:v>46172</x:v>
      </x:c>
    </x:row>
    <x:row r="171">
      <x:c r="A171" s="14" t="str">
        <x:v>PO-26-0170</x:v>
      </x:c>
      <x:c r="B171" s="50" t="n">
        <x:v>46194</x:v>
      </x:c>
      <x:c r="C171" s="14" t="str">
        <x:v>SUP-002</x:v>
      </x:c>
      <x:c r="D171" s="14" t="str">
        <x:v>SKU-0015</x:v>
      </x:c>
      <x:c r="E171" s="52" t="n">
        <x:v>150</x:v>
      </x:c>
      <x:c r="F171" s="52" t="n">
        <x:v>37</x:v>
      </x:c>
      <x:c r="G171" s="53" t="n">
        <x:f>E171-F171</x:f>
        <x:v>113</x:v>
      </x:c>
      <x:c r="H171" s="40" t="n">
        <x:v>185.37</x:v>
      </x:c>
      <x:c r="I171" s="44" t="n">
        <x:f>E171*H171</x:f>
        <x:v>27805.5</x:v>
      </x:c>
      <x:c r="J171" s="50" t="n">
        <x:v>46248</x:v>
      </x:c>
      <x:c r="K171" s="14" t="str">
        <x:v>Partial</x:v>
      </x:c>
      <x:c r="L171" s="14" t="str">
        <x:v>Approved</x:v>
      </x:c>
      <x:c r="M171" s="50" t="n">
        <x:v>46224</x:v>
      </x:c>
    </x:row>
    <x:row r="172">
      <x:c r="A172" s="14" t="str">
        <x:v>PO-26-0171</x:v>
      </x:c>
      <x:c r="B172" s="50" t="n">
        <x:v>46170</x:v>
      </x:c>
      <x:c r="C172" s="14" t="str">
        <x:v>SUP-007</x:v>
      </x:c>
      <x:c r="D172" s="14" t="str">
        <x:v>SKU-0016</x:v>
      </x:c>
      <x:c r="E172" s="52" t="n">
        <x:v>100</x:v>
      </x:c>
      <x:c r="F172" s="52" t="n">
        <x:v>0</x:v>
      </x:c>
      <x:c r="G172" s="53" t="n">
        <x:f>E172-F172</x:f>
        <x:v>100</x:v>
      </x:c>
      <x:c r="H172" s="40" t="n">
        <x:v>204.58</x:v>
      </x:c>
      <x:c r="I172" s="44" t="n">
        <x:f>E172*H172</x:f>
        <x:v>20458</x:v>
      </x:c>
      <x:c r="J172" s="50" t="n">
        <x:v>46217</x:v>
      </x:c>
      <x:c r="K172" s="14" t="str">
        <x:v>Open</x:v>
      </x:c>
      <x:c r="L172" s="14" t="str">
        <x:v>Paid</x:v>
      </x:c>
      <x:c r="M172" s="50" t="n">
        <x:v>46200</x:v>
      </x:c>
    </x:row>
    <x:row r="173">
      <x:c r="A173" s="14" t="str">
        <x:v>PO-26-0172</x:v>
      </x:c>
      <x:c r="B173" s="50" t="n">
        <x:v>46188</x:v>
      </x:c>
      <x:c r="C173" s="14" t="str">
        <x:v>SUP-009</x:v>
      </x:c>
      <x:c r="D173" s="14" t="str">
        <x:v>SKU-0144</x:v>
      </x:c>
      <x:c r="E173" s="52" t="n">
        <x:v>750</x:v>
      </x:c>
      <x:c r="F173" s="52" t="n">
        <x:v>750</x:v>
      </x:c>
      <x:c r="G173" s="53" t="n">
        <x:f>E173-F173</x:f>
        <x:v>0</x:v>
      </x:c>
      <x:c r="H173" s="40" t="n">
        <x:v>68.87</x:v>
      </x:c>
      <x:c r="I173" s="44" t="n">
        <x:f>E173*H173</x:f>
        <x:v>51652.5</x:v>
      </x:c>
      <x:c r="J173" s="50" t="n">
        <x:v>46249</x:v>
      </x:c>
      <x:c r="K173" s="14" t="str">
        <x:v>Closed</x:v>
      </x:c>
      <x:c r="L173" s="14" t="str">
        <x:v>Paid</x:v>
      </x:c>
      <x:c r="M173" s="50" t="n">
        <x:v>46248</x:v>
      </x:c>
    </x:row>
    <x:row r="174">
      <x:c r="A174" s="14" t="str">
        <x:v>PO-26-0173</x:v>
      </x:c>
      <x:c r="B174" s="50" t="n">
        <x:v>46148</x:v>
      </x:c>
      <x:c r="C174" s="14" t="str">
        <x:v>SUP-001</x:v>
      </x:c>
      <x:c r="D174" s="14" t="str">
        <x:v>SKU-0013</x:v>
      </x:c>
      <x:c r="E174" s="52" t="n">
        <x:v>300</x:v>
      </x:c>
      <x:c r="F174" s="52" t="n">
        <x:v>300</x:v>
      </x:c>
      <x:c r="G174" s="53" t="n">
        <x:f>E174-F174</x:f>
        <x:v>0</x:v>
      </x:c>
      <x:c r="H174" s="40" t="n">
        <x:v>22.2</x:v>
      </x:c>
      <x:c r="I174" s="44" t="n">
        <x:f>E174*H174</x:f>
        <x:v>6660</x:v>
      </x:c>
      <x:c r="J174" s="50" t="n">
        <x:v>46164</x:v>
      </x:c>
      <x:c r="K174" s="14" t="str">
        <x:v>Closed</x:v>
      </x:c>
      <x:c r="L174" s="14" t="str">
        <x:v>Approved</x:v>
      </x:c>
      <x:c r="M174" s="50" t="n">
        <x:v>46178</x:v>
      </x:c>
    </x:row>
    <x:row r="175">
      <x:c r="A175" s="14" t="str">
        <x:v>PO-26-0174</x:v>
      </x:c>
      <x:c r="B175" s="50" t="n">
        <x:v>46194</x:v>
      </x:c>
      <x:c r="C175" s="14" t="str">
        <x:v>SUP-006</x:v>
      </x:c>
      <x:c r="D175" s="14" t="str">
        <x:v>SKU-0065</x:v>
      </x:c>
      <x:c r="E175" s="52" t="n">
        <x:v>1000</x:v>
      </x:c>
      <x:c r="F175" s="52" t="n">
        <x:v>750</x:v>
      </x:c>
      <x:c r="G175" s="53" t="n">
        <x:f>E175-F175</x:f>
        <x:v>250</x:v>
      </x:c>
      <x:c r="H175" s="40" t="n">
        <x:v>52.3</x:v>
      </x:c>
      <x:c r="I175" s="44" t="n">
        <x:f>E175*H175</x:f>
        <x:v>52300</x:v>
      </x:c>
      <x:c r="J175" s="50" t="n">
        <x:v>46206</x:v>
      </x:c>
      <x:c r="K175" s="14" t="str">
        <x:v>Partial</x:v>
      </x:c>
      <x:c r="L175" s="14" t="str">
        <x:v>Approved</x:v>
      </x:c>
      <x:c r="M175" s="50" t="n">
        <x:v>46254</x:v>
      </x:c>
    </x:row>
    <x:row r="176">
      <x:c r="A176" s="14" t="str">
        <x:v>PO-26-0175</x:v>
      </x:c>
      <x:c r="B176" s="50" t="n">
        <x:v>46195</x:v>
      </x:c>
      <x:c r="C176" s="14" t="str">
        <x:v>SUP-011</x:v>
      </x:c>
      <x:c r="D176" s="14" t="str">
        <x:v>SKU-0140</x:v>
      </x:c>
      <x:c r="E176" s="52" t="n">
        <x:v>100</x:v>
      </x:c>
      <x:c r="F176" s="52" t="n">
        <x:v>100</x:v>
      </x:c>
      <x:c r="G176" s="53" t="n">
        <x:f>E176-F176</x:f>
        <x:v>0</x:v>
      </x:c>
      <x:c r="H176" s="40" t="n">
        <x:v>188.55</x:v>
      </x:c>
      <x:c r="I176" s="44" t="n">
        <x:f>E176*H176</x:f>
        <x:v>18855</x:v>
      </x:c>
      <x:c r="J176" s="50" t="n">
        <x:v>46215</x:v>
      </x:c>
      <x:c r="K176" s="14" t="str">
        <x:v>Closed</x:v>
      </x:c>
      <x:c r="L176" s="14" t="str">
        <x:v>Approved</x:v>
      </x:c>
      <x:c r="M176" s="50" t="n">
        <x:v>46225</x:v>
      </x:c>
    </x:row>
    <x:row r="177">
      <x:c r="A177" s="14" t="str">
        <x:v>PO-26-0176</x:v>
      </x:c>
      <x:c r="B177" s="50" t="n">
        <x:v>46114</x:v>
      </x:c>
      <x:c r="C177" s="14" t="str">
        <x:v>SUP-011</x:v>
      </x:c>
      <x:c r="D177" s="14" t="str">
        <x:v>SKU-0045</x:v>
      </x:c>
      <x:c r="E177" s="52" t="n">
        <x:v>50</x:v>
      </x:c>
      <x:c r="F177" s="52" t="n">
        <x:v>50</x:v>
      </x:c>
      <x:c r="G177" s="53" t="n">
        <x:f>E177-F177</x:f>
        <x:v>0</x:v>
      </x:c>
      <x:c r="H177" s="40" t="n">
        <x:v>68.89</x:v>
      </x:c>
      <x:c r="I177" s="44" t="n">
        <x:f>E177*H177</x:f>
        <x:v>3444.5</x:v>
      </x:c>
      <x:c r="J177" s="50" t="n">
        <x:v>46150</x:v>
      </x:c>
      <x:c r="K177" s="14" t="str">
        <x:v>Closed</x:v>
      </x:c>
      <x:c r="L177" s="14" t="str">
        <x:v>Paid</x:v>
      </x:c>
      <x:c r="M177" s="50" t="n">
        <x:v>46174</x:v>
      </x:c>
    </x:row>
    <x:row r="178">
      <x:c r="A178" s="14" t="str">
        <x:v>PO-26-0177</x:v>
      </x:c>
      <x:c r="B178" s="50" t="n">
        <x:v>46212</x:v>
      </x:c>
      <x:c r="C178" s="14" t="str">
        <x:v>SUP-002</x:v>
      </x:c>
      <x:c r="D178" s="14" t="str">
        <x:v>SKU-0068</x:v>
      </x:c>
      <x:c r="E178" s="52" t="n">
        <x:v>75</x:v>
      </x:c>
      <x:c r="F178" s="52" t="n">
        <x:v>37</x:v>
      </x:c>
      <x:c r="G178" s="53" t="n">
        <x:f>E178-F178</x:f>
        <x:v>38</x:v>
      </x:c>
      <x:c r="H178" s="40" t="n">
        <x:v>157.37</x:v>
      </x:c>
      <x:c r="I178" s="44" t="n">
        <x:f>E178*H178</x:f>
        <x:v>11802.75</x:v>
      </x:c>
      <x:c r="J178" s="50" t="n">
        <x:v>46263</x:v>
      </x:c>
      <x:c r="K178" s="14" t="str">
        <x:v>Partial</x:v>
      </x:c>
      <x:c r="L178" s="14" t="str">
        <x:v>Approved</x:v>
      </x:c>
      <x:c r="M178" s="50" t="n">
        <x:v>46257</x:v>
      </x:c>
    </x:row>
    <x:row r="179">
      <x:c r="A179" s="14" t="str">
        <x:v>PO-26-0178</x:v>
      </x:c>
      <x:c r="B179" s="50" t="n">
        <x:v>46235</x:v>
      </x:c>
      <x:c r="C179" s="14" t="str">
        <x:v>SUP-002</x:v>
      </x:c>
      <x:c r="D179" s="14" t="str">
        <x:v>SKU-0040</x:v>
      </x:c>
      <x:c r="E179" s="52" t="n">
        <x:v>75</x:v>
      </x:c>
      <x:c r="F179" s="52" t="n">
        <x:v>0</x:v>
      </x:c>
      <x:c r="G179" s="53" t="n">
        <x:f>E179-F179</x:f>
        <x:v>75</x:v>
      </x:c>
      <x:c r="H179" s="40" t="n">
        <x:v>229.61</x:v>
      </x:c>
      <x:c r="I179" s="44" t="n">
        <x:f>E179*H179</x:f>
        <x:v>17220.75</x:v>
      </x:c>
      <x:c r="J179" s="50" t="n">
        <x:v>46255</x:v>
      </x:c>
      <x:c r="K179" s="14" t="str">
        <x:v>Open</x:v>
      </x:c>
      <x:c r="L179" s="14" t="str">
        <x:v>Paid</x:v>
      </x:c>
      <x:c r="M179" s="50" t="n">
        <x:v>46295</x:v>
      </x:c>
    </x:row>
    <x:row r="180">
      <x:c r="A180" s="14" t="str">
        <x:v>PO-26-0179</x:v>
      </x:c>
      <x:c r="B180" s="50" t="n">
        <x:v>46154</x:v>
      </x:c>
      <x:c r="C180" s="14" t="str">
        <x:v>SUP-004</x:v>
      </x:c>
      <x:c r="D180" s="14" t="str">
        <x:v>SKU-0141</x:v>
      </x:c>
      <x:c r="E180" s="52" t="n">
        <x:v>50</x:v>
      </x:c>
      <x:c r="F180" s="52" t="n">
        <x:v>25</x:v>
      </x:c>
      <x:c r="G180" s="53" t="n">
        <x:f>E180-F180</x:f>
        <x:v>25</x:v>
      </x:c>
      <x:c r="H180" s="40" t="n">
        <x:v>279.99</x:v>
      </x:c>
      <x:c r="I180" s="44" t="n">
        <x:f>E180*H180</x:f>
        <x:v>13999.5</x:v>
      </x:c>
      <x:c r="J180" s="50" t="n">
        <x:v>46221</x:v>
      </x:c>
      <x:c r="K180" s="14" t="str">
        <x:v>Partial</x:v>
      </x:c>
      <x:c r="L180" s="14" t="str">
        <x:v>Received</x:v>
      </x:c>
      <x:c r="M180" s="50" t="n">
        <x:v>46184</x:v>
      </x:c>
    </x:row>
    <x:row r="181">
      <x:c r="A181" s="14" t="str">
        <x:v>PO-26-0180</x:v>
      </x:c>
      <x:c r="B181" s="50" t="n">
        <x:v>46228</x:v>
      </x:c>
      <x:c r="C181" s="14" t="str">
        <x:v>SUP-008</x:v>
      </x:c>
      <x:c r="D181" s="14" t="str">
        <x:v>SKU-0134</x:v>
      </x:c>
      <x:c r="E181" s="52" t="n">
        <x:v>750</x:v>
      </x:c>
      <x:c r="F181" s="52" t="n">
        <x:v>750</x:v>
      </x:c>
      <x:c r="G181" s="53" t="n">
        <x:f>E181-F181</x:f>
        <x:v>0</x:v>
      </x:c>
      <x:c r="H181" s="40" t="n">
        <x:v>254.76</x:v>
      </x:c>
      <x:c r="I181" s="44" t="n">
        <x:f>E181*H181</x:f>
        <x:v>191070</x:v>
      </x:c>
      <x:c r="J181" s="50" t="n">
        <x:v>46279</x:v>
      </x:c>
      <x:c r="K181" s="14" t="str">
        <x:v>Closed</x:v>
      </x:c>
      <x:c r="L181" s="14" t="str">
        <x:v>Paid</x:v>
      </x:c>
      <x:c r="M181" s="50" t="n">
        <x:v>46258</x:v>
      </x:c>
    </x:row>
    <x:row r="182">
      <x:c r="A182" s="14" t="str">
        <x:v>PO-26-0181</x:v>
      </x:c>
      <x:c r="B182" s="50" t="n">
        <x:v>46189</x:v>
      </x:c>
      <x:c r="C182" s="14" t="str">
        <x:v>SUP-009</x:v>
      </x:c>
      <x:c r="D182" s="14" t="str">
        <x:v>SKU-0090</x:v>
      </x:c>
      <x:c r="E182" s="52" t="n">
        <x:v>100</x:v>
      </x:c>
      <x:c r="F182" s="52" t="n">
        <x:v>50</x:v>
      </x:c>
      <x:c r="G182" s="53" t="n">
        <x:f>E182-F182</x:f>
        <x:v>50</x:v>
      </x:c>
      <x:c r="H182" s="40" t="n">
        <x:v>116.84</x:v>
      </x:c>
      <x:c r="I182" s="44" t="n">
        <x:f>E182*H182</x:f>
        <x:v>11684</x:v>
      </x:c>
      <x:c r="J182" s="50" t="n">
        <x:v>46241</x:v>
      </x:c>
      <x:c r="K182" s="14" t="str">
        <x:v>Partial</x:v>
      </x:c>
      <x:c r="L182" s="14" t="str">
        <x:v>Approved</x:v>
      </x:c>
      <x:c r="M182" s="50" t="n">
        <x:v>46219</x:v>
      </x:c>
    </x:row>
    <x:row r="183">
      <x:c r="A183" s="14" t="str">
        <x:v>PO-26-0182</x:v>
      </x:c>
      <x:c r="B183" s="50" t="n">
        <x:v>46124</x:v>
      </x:c>
      <x:c r="C183" s="14" t="str">
        <x:v>SUP-006</x:v>
      </x:c>
      <x:c r="D183" s="14" t="str">
        <x:v>SKU-0136</x:v>
      </x:c>
      <x:c r="E183" s="52" t="n">
        <x:v>750</x:v>
      </x:c>
      <x:c r="F183" s="52" t="n">
        <x:v>0</x:v>
      </x:c>
      <x:c r="G183" s="53" t="n">
        <x:f>E183-F183</x:f>
        <x:v>750</x:v>
      </x:c>
      <x:c r="H183" s="40" t="n">
        <x:v>105.97</x:v>
      </x:c>
      <x:c r="I183" s="44" t="n">
        <x:f>E183*H183</x:f>
        <x:v>79477.5</x:v>
      </x:c>
      <x:c r="J183" s="50" t="n">
        <x:v>46167</x:v>
      </x:c>
      <x:c r="K183" s="14" t="str">
        <x:v>Open</x:v>
      </x:c>
      <x:c r="L183" s="14" t="str">
        <x:v>Approved</x:v>
      </x:c>
      <x:c r="M183" s="50" t="n">
        <x:v>46169</x:v>
      </x:c>
    </x:row>
    <x:row r="184">
      <x:c r="A184" s="14" t="str">
        <x:v>PO-26-0183</x:v>
      </x:c>
      <x:c r="B184" s="50" t="n">
        <x:v>46183</x:v>
      </x:c>
      <x:c r="C184" s="14" t="str">
        <x:v>SUP-005</x:v>
      </x:c>
      <x:c r="D184" s="14" t="str">
        <x:v>SKU-0062</x:v>
      </x:c>
      <x:c r="E184" s="52" t="n">
        <x:v>25</x:v>
      </x:c>
      <x:c r="F184" s="52" t="n">
        <x:v>12</x:v>
      </x:c>
      <x:c r="G184" s="53" t="n">
        <x:f>E184-F184</x:f>
        <x:v>13</x:v>
      </x:c>
      <x:c r="H184" s="40" t="n">
        <x:v>63.99</x:v>
      </x:c>
      <x:c r="I184" s="44" t="n">
        <x:f>E184*H184</x:f>
        <x:v>1599.75</x:v>
      </x:c>
      <x:c r="J184" s="50" t="n">
        <x:v>46227</x:v>
      </x:c>
      <x:c r="K184" s="14" t="str">
        <x:v>Partial</x:v>
      </x:c>
      <x:c r="L184" s="14" t="str">
        <x:v>Not Received</x:v>
      </x:c>
      <x:c r="M184" s="50" t="n">
        <x:v>46228</x:v>
      </x:c>
    </x:row>
    <x:row r="185">
      <x:c r="A185" s="14" t="str">
        <x:v>PO-26-0184</x:v>
      </x:c>
      <x:c r="B185" s="50" t="n">
        <x:v>46107</x:v>
      </x:c>
      <x:c r="C185" s="14" t="str">
        <x:v>SUP-002</x:v>
      </x:c>
      <x:c r="D185" s="14" t="str">
        <x:v>SKU-0066</x:v>
      </x:c>
      <x:c r="E185" s="52" t="n">
        <x:v>150</x:v>
      </x:c>
      <x:c r="F185" s="52" t="n">
        <x:v>150</x:v>
      </x:c>
      <x:c r="G185" s="53" t="n">
        <x:f>E185-F185</x:f>
        <x:v>0</x:v>
      </x:c>
      <x:c r="H185" s="40" t="n">
        <x:v>244.68</x:v>
      </x:c>
      <x:c r="I185" s="44" t="n">
        <x:f>E185*H185</x:f>
        <x:v>36702</x:v>
      </x:c>
      <x:c r="J185" s="50" t="n">
        <x:v>46136</x:v>
      </x:c>
      <x:c r="K185" s="14" t="str">
        <x:v>Closed</x:v>
      </x:c>
      <x:c r="L185" s="14" t="str">
        <x:v>Paid</x:v>
      </x:c>
      <x:c r="M185" s="50" t="n">
        <x:v>46167</x:v>
      </x:c>
    </x:row>
    <x:row r="186">
      <x:c r="A186" s="14" t="str">
        <x:v>PO-26-0185</x:v>
      </x:c>
      <x:c r="B186" s="50" t="n">
        <x:v>46131</x:v>
      </x:c>
      <x:c r="C186" s="14" t="str">
        <x:v>SUP-011</x:v>
      </x:c>
      <x:c r="D186" s="14" t="str">
        <x:v>SKU-0131</x:v>
      </x:c>
      <x:c r="E186" s="52" t="n">
        <x:v>500</x:v>
      </x:c>
      <x:c r="F186" s="52" t="n">
        <x:v>500</x:v>
      </x:c>
      <x:c r="G186" s="53" t="n">
        <x:f>E186-F186</x:f>
        <x:v>0</x:v>
      </x:c>
      <x:c r="H186" s="40" t="n">
        <x:v>258.95</x:v>
      </x:c>
      <x:c r="I186" s="44" t="n">
        <x:f>E186*H186</x:f>
        <x:v>129475</x:v>
      </x:c>
      <x:c r="J186" s="50" t="n">
        <x:v>46179</x:v>
      </x:c>
      <x:c r="K186" s="14" t="str">
        <x:v>Closed</x:v>
      </x:c>
      <x:c r="L186" s="14" t="str">
        <x:v>Paid</x:v>
      </x:c>
      <x:c r="M186" s="50" t="n">
        <x:v>46191</x:v>
      </x:c>
    </x:row>
    <x:row r="187">
      <x:c r="A187" s="14" t="str">
        <x:v>PO-26-0186</x:v>
      </x:c>
      <x:c r="B187" s="50" t="n">
        <x:v>46221</x:v>
      </x:c>
      <x:c r="C187" s="14" t="str">
        <x:v>SUP-010</x:v>
      </x:c>
      <x:c r="D187" s="14" t="str">
        <x:v>SKU-0022</x:v>
      </x:c>
      <x:c r="E187" s="52" t="n">
        <x:v>75</x:v>
      </x:c>
      <x:c r="F187" s="52" t="n">
        <x:v>0</x:v>
      </x:c>
      <x:c r="G187" s="53" t="n">
        <x:f>E187-F187</x:f>
        <x:v>75</x:v>
      </x:c>
      <x:c r="H187" s="40" t="n">
        <x:v>167.48</x:v>
      </x:c>
      <x:c r="I187" s="44" t="n">
        <x:f>E187*H187</x:f>
        <x:v>12561</x:v>
      </x:c>
      <x:c r="J187" s="50" t="n">
        <x:v>46258</x:v>
      </x:c>
      <x:c r="K187" s="14" t="str">
        <x:v>Open</x:v>
      </x:c>
      <x:c r="L187" s="14" t="str">
        <x:v>Received</x:v>
      </x:c>
      <x:c r="M187" s="50" t="n">
        <x:v>46281</x:v>
      </x:c>
    </x:row>
    <x:row r="188">
      <x:c r="A188" s="14" t="str">
        <x:v>PO-26-0187</x:v>
      </x:c>
      <x:c r="B188" s="50" t="n">
        <x:v>46137</x:v>
      </x:c>
      <x:c r="C188" s="14" t="str">
        <x:v>SUP-007</x:v>
      </x:c>
      <x:c r="D188" s="14" t="str">
        <x:v>SKU-0055</x:v>
      </x:c>
      <x:c r="E188" s="52" t="n">
        <x:v>50</x:v>
      </x:c>
      <x:c r="F188" s="52" t="n">
        <x:v>50</x:v>
      </x:c>
      <x:c r="G188" s="53" t="n">
        <x:f>E188-F188</x:f>
        <x:v>0</x:v>
      </x:c>
      <x:c r="H188" s="40" t="n">
        <x:v>263.76</x:v>
      </x:c>
      <x:c r="I188" s="44" t="n">
        <x:f>E188*H188</x:f>
        <x:v>13188</x:v>
      </x:c>
      <x:c r="J188" s="50" t="n">
        <x:v>46158</x:v>
      </x:c>
      <x:c r="K188" s="14" t="str">
        <x:v>Closed</x:v>
      </x:c>
      <x:c r="L188" s="14" t="str">
        <x:v>Approved</x:v>
      </x:c>
      <x:c r="M188" s="50" t="n">
        <x:v>46197</x:v>
      </x:c>
    </x:row>
    <x:row r="189">
      <x:c r="A189" s="14" t="str">
        <x:v>PO-26-0188</x:v>
      </x:c>
      <x:c r="B189" s="50" t="n">
        <x:v>46239</x:v>
      </x:c>
      <x:c r="C189" s="14" t="str">
        <x:v>SUP-002</x:v>
      </x:c>
      <x:c r="D189" s="14" t="str">
        <x:v>SKU-0040</x:v>
      </x:c>
      <x:c r="E189" s="52" t="n">
        <x:v>500</x:v>
      </x:c>
      <x:c r="F189" s="52" t="n">
        <x:v>0</x:v>
      </x:c>
      <x:c r="G189" s="53" t="n">
        <x:f>E189-F189</x:f>
        <x:v>500</x:v>
      </x:c>
      <x:c r="H189" s="40" t="n">
        <x:v>229.61</x:v>
      </x:c>
      <x:c r="I189" s="44" t="n">
        <x:f>E189*H189</x:f>
        <x:v>114805</x:v>
      </x:c>
      <x:c r="J189" s="50" t="n">
        <x:v>46252</x:v>
      </x:c>
      <x:c r="K189" s="14" t="str">
        <x:v>Open</x:v>
      </x:c>
      <x:c r="L189" s="14" t="str">
        <x:v>Not Received</x:v>
      </x:c>
      <x:c r="M189" s="50" t="n">
        <x:v>46269</x:v>
      </x:c>
    </x:row>
    <x:row r="190">
      <x:c r="A190" s="14" t="str">
        <x:v>PO-26-0189</x:v>
      </x:c>
      <x:c r="B190" s="50" t="n">
        <x:v>46181</x:v>
      </x:c>
      <x:c r="C190" s="14" t="str">
        <x:v>SUP-003</x:v>
      </x:c>
      <x:c r="D190" s="14" t="str">
        <x:v>SKU-0046</x:v>
      </x:c>
      <x:c r="E190" s="52" t="n">
        <x:v>750</x:v>
      </x:c>
      <x:c r="F190" s="52" t="n">
        <x:v>750</x:v>
      </x:c>
      <x:c r="G190" s="53" t="n">
        <x:f>E190-F190</x:f>
        <x:v>0</x:v>
      </x:c>
      <x:c r="H190" s="40" t="n">
        <x:v>66.68</x:v>
      </x:c>
      <x:c r="I190" s="44" t="n">
        <x:f>E190*H190</x:f>
        <x:v>50010.00000000001</x:v>
      </x:c>
      <x:c r="J190" s="50" t="n">
        <x:v>46216</x:v>
      </x:c>
      <x:c r="K190" s="14" t="str">
        <x:v>Closed</x:v>
      </x:c>
      <x:c r="L190" s="14" t="str">
        <x:v>Paid</x:v>
      </x:c>
      <x:c r="M190" s="50" t="n">
        <x:v>46226</x:v>
      </x:c>
    </x:row>
    <x:row r="191">
      <x:c r="A191" s="14" t="str">
        <x:v>PO-26-0190</x:v>
      </x:c>
      <x:c r="B191" s="50" t="n">
        <x:v>46130</x:v>
      </x:c>
      <x:c r="C191" s="14" t="str">
        <x:v>SUP-010</x:v>
      </x:c>
      <x:c r="D191" s="14" t="str">
        <x:v>SKU-0100</x:v>
      </x:c>
      <x:c r="E191" s="52" t="n">
        <x:v>300</x:v>
      </x:c>
      <x:c r="F191" s="52" t="n">
        <x:v>300</x:v>
      </x:c>
      <x:c r="G191" s="53" t="n">
        <x:f>E191-F191</x:f>
        <x:v>0</x:v>
      </x:c>
      <x:c r="H191" s="40" t="n">
        <x:v>108.23</x:v>
      </x:c>
      <x:c r="I191" s="44" t="n">
        <x:f>E191*H191</x:f>
        <x:v>32469</x:v>
      </x:c>
      <x:c r="J191" s="50" t="n">
        <x:v>46162</x:v>
      </x:c>
      <x:c r="K191" s="14" t="str">
        <x:v>Closed</x:v>
      </x:c>
      <x:c r="L191" s="14" t="str">
        <x:v>Paid</x:v>
      </x:c>
      <x:c r="M191" s="50" t="n">
        <x:v>46190</x:v>
      </x:c>
    </x:row>
    <x:row r="192">
      <x:c r="A192" s="14" t="str">
        <x:v>PO-26-0191</x:v>
      </x:c>
      <x:c r="B192" s="50" t="n">
        <x:v>46109</x:v>
      </x:c>
      <x:c r="C192" s="14" t="str">
        <x:v>SUP-003</x:v>
      </x:c>
      <x:c r="D192" s="14" t="str">
        <x:v>SKU-0031</x:v>
      </x:c>
      <x:c r="E192" s="52" t="n">
        <x:v>25</x:v>
      </x:c>
      <x:c r="F192" s="52" t="n">
        <x:v>0</x:v>
      </x:c>
      <x:c r="G192" s="53" t="n">
        <x:f>E192-F192</x:f>
        <x:v>25</x:v>
      </x:c>
      <x:c r="H192" s="40" t="n">
        <x:v>247.09</x:v>
      </x:c>
      <x:c r="I192" s="44" t="n">
        <x:f>E192*H192</x:f>
        <x:v>6177.25</x:v>
      </x:c>
      <x:c r="J192" s="50" t="n">
        <x:v>46163</x:v>
      </x:c>
      <x:c r="K192" s="14" t="str">
        <x:v>Open</x:v>
      </x:c>
      <x:c r="L192" s="14" t="str">
        <x:v>Not Received</x:v>
      </x:c>
      <x:c r="M192" s="50" t="n">
        <x:v>46154</x:v>
      </x:c>
    </x:row>
    <x:row r="193">
      <x:c r="A193" s="14" t="str">
        <x:v>PO-26-0192</x:v>
      </x:c>
      <x:c r="B193" s="50" t="n">
        <x:v>46218</x:v>
      </x:c>
      <x:c r="C193" s="14" t="str">
        <x:v>SUP-009</x:v>
      </x:c>
      <x:c r="D193" s="14" t="str">
        <x:v>SKU-0129</x:v>
      </x:c>
      <x:c r="E193" s="52" t="n">
        <x:v>150</x:v>
      </x:c>
      <x:c r="F193" s="52" t="n">
        <x:v>75</x:v>
      </x:c>
      <x:c r="G193" s="53" t="n">
        <x:f>E193-F193</x:f>
        <x:v>75</x:v>
      </x:c>
      <x:c r="H193" s="40" t="n">
        <x:v>178.22</x:v>
      </x:c>
      <x:c r="I193" s="44" t="n">
        <x:f>E193*H193</x:f>
        <x:v>26733</x:v>
      </x:c>
      <x:c r="J193" s="50" t="n">
        <x:v>46268</x:v>
      </x:c>
      <x:c r="K193" s="14" t="str">
        <x:v>Partial</x:v>
      </x:c>
      <x:c r="L193" s="14" t="str">
        <x:v>Approved</x:v>
      </x:c>
      <x:c r="M193" s="50" t="n">
        <x:v>46263</x:v>
      </x:c>
    </x:row>
    <x:row r="194">
      <x:c r="A194" s="14" t="str">
        <x:v>PO-26-0193</x:v>
      </x:c>
      <x:c r="B194" s="50" t="n">
        <x:v>46144</x:v>
      </x:c>
      <x:c r="C194" s="14" t="str">
        <x:v>SUP-008</x:v>
      </x:c>
      <x:c r="D194" s="14" t="str">
        <x:v>SKU-0098</x:v>
      </x:c>
      <x:c r="E194" s="52" t="n">
        <x:v>25</x:v>
      </x:c>
      <x:c r="F194" s="52" t="n">
        <x:v>25</x:v>
      </x:c>
      <x:c r="G194" s="53" t="n">
        <x:f>E194-F194</x:f>
        <x:v>0</x:v>
      </x:c>
      <x:c r="H194" s="40" t="n">
        <x:v>270.95</x:v>
      </x:c>
      <x:c r="I194" s="44" t="n">
        <x:f>E194*H194</x:f>
        <x:v>6773.75</x:v>
      </x:c>
      <x:c r="J194" s="50" t="n">
        <x:v>46167</x:v>
      </x:c>
      <x:c r="K194" s="14" t="str">
        <x:v>Closed</x:v>
      </x:c>
      <x:c r="L194" s="14" t="str">
        <x:v>Approved</x:v>
      </x:c>
      <x:c r="M194" s="50" t="n">
        <x:v>46174</x:v>
      </x:c>
    </x:row>
    <x:row r="195">
      <x:c r="A195" s="14" t="str">
        <x:v>PO-26-0194</x:v>
      </x:c>
      <x:c r="B195" s="50" t="n">
        <x:v>46106</x:v>
      </x:c>
      <x:c r="C195" s="14" t="str">
        <x:v>SUP-010</x:v>
      </x:c>
      <x:c r="D195" s="14" t="str">
        <x:v>SKU-0101</x:v>
      </x:c>
      <x:c r="E195" s="52" t="n">
        <x:v>150</x:v>
      </x:c>
      <x:c r="F195" s="52" t="n">
        <x:v>37</x:v>
      </x:c>
      <x:c r="G195" s="53" t="n">
        <x:f>E195-F195</x:f>
        <x:v>113</x:v>
      </x:c>
      <x:c r="H195" s="40" t="n">
        <x:v>63.93</x:v>
      </x:c>
      <x:c r="I195" s="44" t="n">
        <x:f>E195*H195</x:f>
        <x:v>9589.5</x:v>
      </x:c>
      <x:c r="J195" s="50" t="n">
        <x:v>46158</x:v>
      </x:c>
      <x:c r="K195" s="14" t="str">
        <x:v>Partial</x:v>
      </x:c>
      <x:c r="L195" s="14" t="str">
        <x:v>Approved</x:v>
      </x:c>
      <x:c r="M195" s="50" t="n">
        <x:v>46136</x:v>
      </x:c>
    </x:row>
    <x:row r="196">
      <x:c r="A196" s="14" t="str">
        <x:v>PO-26-0195</x:v>
      </x:c>
      <x:c r="B196" s="50" t="n">
        <x:v>46209</x:v>
      </x:c>
      <x:c r="C196" s="14" t="str">
        <x:v>SUP-011</x:v>
      </x:c>
      <x:c r="D196" s="14" t="str">
        <x:v>SKU-0142</x:v>
      </x:c>
      <x:c r="E196" s="52" t="n">
        <x:v>50</x:v>
      </x:c>
      <x:c r="F196" s="52" t="n">
        <x:v>50</x:v>
      </x:c>
      <x:c r="G196" s="53" t="n">
        <x:f>E196-F196</x:f>
        <x:v>0</x:v>
      </x:c>
      <x:c r="H196" s="40" t="n">
        <x:v>95.95</x:v>
      </x:c>
      <x:c r="I196" s="44" t="n">
        <x:f>E196*H196</x:f>
        <x:v>4797.5</x:v>
      </x:c>
      <x:c r="J196" s="50" t="n">
        <x:v>46233</x:v>
      </x:c>
      <x:c r="K196" s="14" t="str">
        <x:v>Closed</x:v>
      </x:c>
      <x:c r="L196" s="14" t="str">
        <x:v>Approved</x:v>
      </x:c>
      <x:c r="M196" s="50" t="n">
        <x:v>46254</x:v>
      </x:c>
    </x:row>
    <x:row r="197">
      <x:c r="A197" s="14" t="str">
        <x:v>PO-26-0196</x:v>
      </x:c>
      <x:c r="B197" s="50" t="n">
        <x:v>46157</x:v>
      </x:c>
      <x:c r="C197" s="14" t="str">
        <x:v>SUP-006</x:v>
      </x:c>
      <x:c r="D197" s="14" t="str">
        <x:v>SKU-0054</x:v>
      </x:c>
      <x:c r="E197" s="52" t="n">
        <x:v>100</x:v>
      </x:c>
      <x:c r="F197" s="52" t="n">
        <x:v>100</x:v>
      </x:c>
      <x:c r="G197" s="53" t="n">
        <x:f>E197-F197</x:f>
        <x:v>0</x:v>
      </x:c>
      <x:c r="H197" s="40" t="n">
        <x:v>49.06</x:v>
      </x:c>
      <x:c r="I197" s="44" t="n">
        <x:f>E197*H197</x:f>
        <x:v>4906</x:v>
      </x:c>
      <x:c r="J197" s="50" t="n">
        <x:v>46194</x:v>
      </x:c>
      <x:c r="K197" s="14" t="str">
        <x:v>Closed</x:v>
      </x:c>
      <x:c r="L197" s="14" t="str">
        <x:v>Approved</x:v>
      </x:c>
      <x:c r="M197" s="50" t="n">
        <x:v>46187</x:v>
      </x:c>
    </x:row>
    <x:row r="198">
      <x:c r="A198" s="14" t="str">
        <x:v>PO-26-0197</x:v>
      </x:c>
      <x:c r="B198" s="50" t="n">
        <x:v>46189</x:v>
      </x:c>
      <x:c r="C198" s="14" t="str">
        <x:v>SUP-005</x:v>
      </x:c>
      <x:c r="D198" s="14" t="str">
        <x:v>SKU-0048</x:v>
      </x:c>
      <x:c r="E198" s="52" t="n">
        <x:v>1000</x:v>
      </x:c>
      <x:c r="F198" s="52" t="n">
        <x:v>250</x:v>
      </x:c>
      <x:c r="G198" s="53" t="n">
        <x:f>E198-F198</x:f>
        <x:v>750</x:v>
      </x:c>
      <x:c r="H198" s="40" t="n">
        <x:v>211.59</x:v>
      </x:c>
      <x:c r="I198" s="44" t="n">
        <x:f>E198*H198</x:f>
        <x:v>211590</x:v>
      </x:c>
      <x:c r="J198" s="50" t="n">
        <x:v>46241</x:v>
      </x:c>
      <x:c r="K198" s="14" t="str">
        <x:v>Partial</x:v>
      </x:c>
      <x:c r="L198" s="14" t="str">
        <x:v>Received</x:v>
      </x:c>
      <x:c r="M198" s="50" t="n">
        <x:v>46249</x:v>
      </x:c>
    </x:row>
    <x:row r="199">
      <x:c r="A199" s="14" t="str">
        <x:v>PO-26-0198</x:v>
      </x:c>
      <x:c r="B199" s="50" t="n">
        <x:v>46232</x:v>
      </x:c>
      <x:c r="C199" s="14" t="str">
        <x:v>SUP-009</x:v>
      </x:c>
      <x:c r="D199" s="14" t="str">
        <x:v>SKU-0146</x:v>
      </x:c>
      <x:c r="E199" s="52" t="n">
        <x:v>750</x:v>
      </x:c>
      <x:c r="F199" s="52" t="n">
        <x:v>750</x:v>
      </x:c>
      <x:c r="G199" s="53" t="n">
        <x:f>E199-F199</x:f>
        <x:v>0</x:v>
      </x:c>
      <x:c r="H199" s="40" t="n">
        <x:v>261.77</x:v>
      </x:c>
      <x:c r="I199" s="44" t="n">
        <x:f>E199*H199</x:f>
        <x:v>196327.5</x:v>
      </x:c>
      <x:c r="J199" s="50" t="n">
        <x:v>46256</x:v>
      </x:c>
      <x:c r="K199" s="14" t="str">
        <x:v>Closed</x:v>
      </x:c>
      <x:c r="L199" s="14" t="str">
        <x:v>Approved</x:v>
      </x:c>
      <x:c r="M199" s="50" t="n">
        <x:v>46277</x:v>
      </x:c>
    </x:row>
    <x:row r="200">
      <x:c r="A200" s="14" t="str">
        <x:v>PO-26-0199</x:v>
      </x:c>
      <x:c r="B200" s="50" t="n">
        <x:v>46181</x:v>
      </x:c>
      <x:c r="C200" s="14" t="str">
        <x:v>SUP-004</x:v>
      </x:c>
      <x:c r="D200" s="14" t="str">
        <x:v>SKU-0018</x:v>
      </x:c>
      <x:c r="E200" s="52" t="n">
        <x:v>50</x:v>
      </x:c>
      <x:c r="F200" s="52" t="n">
        <x:v>50</x:v>
      </x:c>
      <x:c r="G200" s="53" t="n">
        <x:f>E200-F200</x:f>
        <x:v>0</x:v>
      </x:c>
      <x:c r="H200" s="40" t="n">
        <x:v>48.65</x:v>
      </x:c>
      <x:c r="I200" s="44" t="n">
        <x:f>E200*H200</x:f>
        <x:v>2432.5</x:v>
      </x:c>
      <x:c r="J200" s="50" t="n">
        <x:v>46208</x:v>
      </x:c>
      <x:c r="K200" s="14" t="str">
        <x:v>Closed</x:v>
      </x:c>
      <x:c r="L200" s="14" t="str">
        <x:v>Paid</x:v>
      </x:c>
      <x:c r="M200" s="50" t="n">
        <x:v>46226</x:v>
      </x:c>
    </x:row>
    <x:row r="201">
      <x:c r="A201" s="14" t="str">
        <x:v>PO-26-0200</x:v>
      </x:c>
      <x:c r="B201" s="50" t="n">
        <x:v>46185</x:v>
      </x:c>
      <x:c r="C201" s="14" t="str">
        <x:v>SUP-001</x:v>
      </x:c>
      <x:c r="D201" s="14" t="str">
        <x:v>SKU-0033</x:v>
      </x:c>
      <x:c r="E201" s="52" t="n">
        <x:v>50</x:v>
      </x:c>
      <x:c r="F201" s="52" t="n">
        <x:v>50</x:v>
      </x:c>
      <x:c r="G201" s="53" t="n">
        <x:f>E201-F201</x:f>
        <x:v>0</x:v>
      </x:c>
      <x:c r="H201" s="40" t="n">
        <x:v>185.66</x:v>
      </x:c>
      <x:c r="I201" s="44" t="n">
        <x:f>E201*H201</x:f>
        <x:v>9283</x:v>
      </x:c>
      <x:c r="J201" s="50" t="n">
        <x:v>46211</x:v>
      </x:c>
      <x:c r="K201" s="14" t="str">
        <x:v>Closed</x:v>
      </x:c>
      <x:c r="L201" s="14" t="str">
        <x:v>Approved</x:v>
      </x:c>
      <x:c r="M201" s="50" t="n">
        <x:v>46230</x:v>
      </x:c>
    </x:row>
    <x:row r="202">
      <x:c r="A202" s="14" t="str">
        <x:v>PO-26-0201</x:v>
      </x:c>
      <x:c r="B202" s="50" t="n">
        <x:v>46130</x:v>
      </x:c>
      <x:c r="C202" s="14" t="str">
        <x:v>SUP-003</x:v>
      </x:c>
      <x:c r="D202" s="14" t="str">
        <x:v>SKU-0125</x:v>
      </x:c>
      <x:c r="E202" s="52" t="n">
        <x:v>200</x:v>
      </x:c>
      <x:c r="F202" s="52" t="n">
        <x:v>100</x:v>
      </x:c>
      <x:c r="G202" s="53" t="n">
        <x:f>E202-F202</x:f>
        <x:v>100</x:v>
      </x:c>
      <x:c r="H202" s="40" t="n">
        <x:v>38.35</x:v>
      </x:c>
      <x:c r="I202" s="44" t="n">
        <x:f>E202*H202</x:f>
        <x:v>7670</x:v>
      </x:c>
      <x:c r="J202" s="50" t="n">
        <x:v>46187</x:v>
      </x:c>
      <x:c r="K202" s="14" t="str">
        <x:v>Partial</x:v>
      </x:c>
      <x:c r="L202" s="14" t="str">
        <x:v>Approved</x:v>
      </x:c>
      <x:c r="M202" s="50" t="n">
        <x:v>46175</x:v>
      </x:c>
    </x:row>
    <x:row r="203">
      <x:c r="A203" s="14" t="str">
        <x:v>PO-26-0202</x:v>
      </x:c>
      <x:c r="B203" s="50" t="n">
        <x:v>46202</x:v>
      </x:c>
      <x:c r="C203" s="14" t="str">
        <x:v>SUP-010</x:v>
      </x:c>
      <x:c r="D203" s="14" t="str">
        <x:v>SKU-0110</x:v>
      </x:c>
      <x:c r="E203" s="52" t="n">
        <x:v>25</x:v>
      </x:c>
      <x:c r="F203" s="52" t="n">
        <x:v>25</x:v>
      </x:c>
      <x:c r="G203" s="53" t="n">
        <x:f>E203-F203</x:f>
        <x:v>0</x:v>
      </x:c>
      <x:c r="H203" s="40" t="n">
        <x:v>14.53</x:v>
      </x:c>
      <x:c r="I203" s="44" t="n">
        <x:f>E203*H203</x:f>
        <x:v>363.25</x:v>
      </x:c>
      <x:c r="J203" s="50" t="n">
        <x:v>46240</x:v>
      </x:c>
      <x:c r="K203" s="14" t="str">
        <x:v>Closed</x:v>
      </x:c>
      <x:c r="L203" s="14" t="str">
        <x:v>Paid</x:v>
      </x:c>
      <x:c r="M203" s="50" t="n">
        <x:v>46247</x:v>
      </x:c>
    </x:row>
    <x:row r="204">
      <x:c r="A204" s="14" t="str">
        <x:v>PO-26-0203</x:v>
      </x:c>
      <x:c r="B204" s="50" t="n">
        <x:v>46211</x:v>
      </x:c>
      <x:c r="C204" s="14" t="str">
        <x:v>SUP-007</x:v>
      </x:c>
      <x:c r="D204" s="14" t="str">
        <x:v>SKU-0093</x:v>
      </x:c>
      <x:c r="E204" s="52" t="n">
        <x:v>200</x:v>
      </x:c>
      <x:c r="F204" s="52" t="n">
        <x:v>150</x:v>
      </x:c>
      <x:c r="G204" s="53" t="n">
        <x:f>E204-F204</x:f>
        <x:v>50</x:v>
      </x:c>
      <x:c r="H204" s="40" t="n">
        <x:v>239.3</x:v>
      </x:c>
      <x:c r="I204" s="44" t="n">
        <x:f>E204*H204</x:f>
        <x:v>47860</x:v>
      </x:c>
      <x:c r="J204" s="50" t="n">
        <x:v>46245</x:v>
      </x:c>
      <x:c r="K204" s="14" t="str">
        <x:v>Partial</x:v>
      </x:c>
      <x:c r="L204" s="14" t="str">
        <x:v>Approved</x:v>
      </x:c>
      <x:c r="M204" s="50" t="n">
        <x:v>46256</x:v>
      </x:c>
    </x:row>
    <x:row r="205">
      <x:c r="A205" s="14" t="str">
        <x:v>PO-26-0204</x:v>
      </x:c>
      <x:c r="B205" s="50" t="n">
        <x:v>46218</x:v>
      </x:c>
      <x:c r="C205" s="14" t="str">
        <x:v>SUP-003</x:v>
      </x:c>
      <x:c r="D205" s="14" t="str">
        <x:v>SKU-0125</x:v>
      </x:c>
      <x:c r="E205" s="52" t="n">
        <x:v>75</x:v>
      </x:c>
      <x:c r="F205" s="52" t="n">
        <x:v>0</x:v>
      </x:c>
      <x:c r="G205" s="53" t="n">
        <x:f>E205-F205</x:f>
        <x:v>75</x:v>
      </x:c>
      <x:c r="H205" s="40" t="n">
        <x:v>38.35</x:v>
      </x:c>
      <x:c r="I205" s="44" t="n">
        <x:f>E205*H205</x:f>
        <x:v>2876.25</x:v>
      </x:c>
      <x:c r="J205" s="50" t="n">
        <x:v>46279</x:v>
      </x:c>
      <x:c r="K205" s="14" t="str">
        <x:v>Open</x:v>
      </x:c>
      <x:c r="L205" s="14" t="str">
        <x:v>Received</x:v>
      </x:c>
      <x:c r="M205" s="50" t="n">
        <x:v>46278</x:v>
      </x:c>
    </x:row>
    <x:row r="206">
      <x:c r="A206" s="14" t="str">
        <x:v>PO-26-0205</x:v>
      </x:c>
      <x:c r="B206" s="50" t="n">
        <x:v>46178</x:v>
      </x:c>
      <x:c r="C206" s="14" t="str">
        <x:v>SUP-001</x:v>
      </x:c>
      <x:c r="D206" s="14" t="str">
        <x:v>SKU-0051</x:v>
      </x:c>
      <x:c r="E206" s="52" t="n">
        <x:v>50</x:v>
      </x:c>
      <x:c r="F206" s="52" t="n">
        <x:v>0</x:v>
      </x:c>
      <x:c r="G206" s="53" t="n">
        <x:f>E206-F206</x:f>
        <x:v>50</x:v>
      </x:c>
      <x:c r="H206" s="40" t="n">
        <x:v>74.69</x:v>
      </x:c>
      <x:c r="I206" s="44" t="n">
        <x:f>E206*H206</x:f>
        <x:v>3734.5</x:v>
      </x:c>
      <x:c r="J206" s="50" t="n">
        <x:v>46213</x:v>
      </x:c>
      <x:c r="K206" s="14" t="str">
        <x:v>Open</x:v>
      </x:c>
      <x:c r="L206" s="14" t="str">
        <x:v>Not Received</x:v>
      </x:c>
      <x:c r="M206" s="50" t="n">
        <x:v>46238</x:v>
      </x:c>
    </x:row>
    <x:row r="207">
      <x:c r="A207" s="14" t="str">
        <x:v>PO-26-0206</x:v>
      </x:c>
      <x:c r="B207" s="50" t="n">
        <x:v>46142</x:v>
      </x:c>
      <x:c r="C207" s="14" t="str">
        <x:v>SUP-005</x:v>
      </x:c>
      <x:c r="D207" s="14" t="str">
        <x:v>SKU-0149</x:v>
      </x:c>
      <x:c r="E207" s="52" t="n">
        <x:v>1000</x:v>
      </x:c>
      <x:c r="F207" s="52" t="n">
        <x:v>1000</x:v>
      </x:c>
      <x:c r="G207" s="53" t="n">
        <x:f>E207-F207</x:f>
        <x:v>0</x:v>
      </x:c>
      <x:c r="H207" s="40" t="n">
        <x:v>257.08</x:v>
      </x:c>
      <x:c r="I207" s="44" t="n">
        <x:f>E207*H207</x:f>
        <x:v>257079.99999999997</x:v>
      </x:c>
      <x:c r="J207" s="50" t="n">
        <x:v>46173</x:v>
      </x:c>
      <x:c r="K207" s="14" t="str">
        <x:v>Closed</x:v>
      </x:c>
      <x:c r="L207" s="14" t="str">
        <x:v>Paid</x:v>
      </x:c>
      <x:c r="M207" s="50" t="n">
        <x:v>46202</x:v>
      </x:c>
    </x:row>
    <x:row r="208">
      <x:c r="A208" s="14" t="str">
        <x:v>PO-26-0207</x:v>
      </x:c>
      <x:c r="B208" s="50" t="n">
        <x:v>46125</x:v>
      </x:c>
      <x:c r="C208" s="14" t="str">
        <x:v>SUP-005</x:v>
      </x:c>
      <x:c r="D208" s="14" t="str">
        <x:v>SKU-0139</x:v>
      </x:c>
      <x:c r="E208" s="52" t="n">
        <x:v>75</x:v>
      </x:c>
      <x:c r="F208" s="52" t="n">
        <x:v>75</x:v>
      </x:c>
      <x:c r="G208" s="53" t="n">
        <x:f>E208-F208</x:f>
        <x:v>0</x:v>
      </x:c>
      <x:c r="H208" s="40" t="n">
        <x:v>157.6</x:v>
      </x:c>
      <x:c r="I208" s="44" t="n">
        <x:f>E208*H208</x:f>
        <x:v>11820</x:v>
      </x:c>
      <x:c r="J208" s="50" t="n">
        <x:v>46178</x:v>
      </x:c>
      <x:c r="K208" s="14" t="str">
        <x:v>Closed</x:v>
      </x:c>
      <x:c r="L208" s="14" t="str">
        <x:v>Paid</x:v>
      </x:c>
      <x:c r="M208" s="50" t="n">
        <x:v>46155</x:v>
      </x:c>
    </x:row>
    <x:row r="209">
      <x:c r="A209" s="14" t="str">
        <x:v>PO-26-0208</x:v>
      </x:c>
      <x:c r="B209" s="50" t="n">
        <x:v>46117</x:v>
      </x:c>
      <x:c r="C209" s="14" t="str">
        <x:v>SUP-001</x:v>
      </x:c>
      <x:c r="D209" s="14" t="str">
        <x:v>SKU-0119</x:v>
      </x:c>
      <x:c r="E209" s="52" t="n">
        <x:v>750</x:v>
      </x:c>
      <x:c r="F209" s="52" t="n">
        <x:v>750</x:v>
      </x:c>
      <x:c r="G209" s="53" t="n">
        <x:f>E209-F209</x:f>
        <x:v>0</x:v>
      </x:c>
      <x:c r="H209" s="40" t="n">
        <x:v>52.57</x:v>
      </x:c>
      <x:c r="I209" s="44" t="n">
        <x:f>E209*H209</x:f>
        <x:v>39427.5</x:v>
      </x:c>
      <x:c r="J209" s="50" t="n">
        <x:v>46130</x:v>
      </x:c>
      <x:c r="K209" s="14" t="str">
        <x:v>Closed</x:v>
      </x:c>
      <x:c r="L209" s="14" t="str">
        <x:v>Approved</x:v>
      </x:c>
      <x:c r="M209" s="50" t="n">
        <x:v>46177</x:v>
      </x:c>
    </x:row>
    <x:row r="210">
      <x:c r="A210" s="14" t="str">
        <x:v>PO-26-0209</x:v>
      </x:c>
      <x:c r="B210" s="50" t="n">
        <x:v>46203</x:v>
      </x:c>
      <x:c r="C210" s="14" t="str">
        <x:v>SUP-005</x:v>
      </x:c>
      <x:c r="D210" s="14" t="str">
        <x:v>SKU-0062</x:v>
      </x:c>
      <x:c r="E210" s="52" t="n">
        <x:v>750</x:v>
      </x:c>
      <x:c r="F210" s="52" t="n">
        <x:v>750</x:v>
      </x:c>
      <x:c r="G210" s="53" t="n">
        <x:f>E210-F210</x:f>
        <x:v>0</x:v>
      </x:c>
      <x:c r="H210" s="40" t="n">
        <x:v>63.99</x:v>
      </x:c>
      <x:c r="I210" s="44" t="n">
        <x:f>E210*H210</x:f>
        <x:v>47992.5</x:v>
      </x:c>
      <x:c r="J210" s="50" t="n">
        <x:v>46240</x:v>
      </x:c>
      <x:c r="K210" s="14" t="str">
        <x:v>Closed</x:v>
      </x:c>
      <x:c r="L210" s="14" t="str">
        <x:v>Approved</x:v>
      </x:c>
      <x:c r="M210" s="50" t="n">
        <x:v>46263</x:v>
      </x:c>
    </x:row>
    <x:row r="211">
      <x:c r="A211" s="14" t="str">
        <x:v>PO-26-0210</x:v>
      </x:c>
      <x:c r="B211" s="50" t="n">
        <x:v>46208</x:v>
      </x:c>
      <x:c r="C211" s="14" t="str">
        <x:v>SUP-007</x:v>
      </x:c>
      <x:c r="D211" s="14" t="str">
        <x:v>SKU-0145</x:v>
      </x:c>
      <x:c r="E211" s="52" t="n">
        <x:v>500</x:v>
      </x:c>
      <x:c r="F211" s="52" t="n">
        <x:v>0</x:v>
      </x:c>
      <x:c r="G211" s="53" t="n">
        <x:f>E211-F211</x:f>
        <x:v>500</x:v>
      </x:c>
      <x:c r="H211" s="40" t="n">
        <x:v>142.06</x:v>
      </x:c>
      <x:c r="I211" s="44" t="n">
        <x:f>E211*H211</x:f>
        <x:v>71030</x:v>
      </x:c>
      <x:c r="J211" s="50" t="n">
        <x:v>46225</x:v>
      </x:c>
      <x:c r="K211" s="14" t="str">
        <x:v>Open</x:v>
      </x:c>
      <x:c r="L211" s="14" t="str">
        <x:v>Paid</x:v>
      </x:c>
      <x:c r="M211" s="50" t="n">
        <x:v>46238</x:v>
      </x:c>
    </x:row>
    <x:row r="212">
      <x:c r="A212" s="14" t="str">
        <x:v>PO-26-0211</x:v>
      </x:c>
      <x:c r="B212" s="50" t="n">
        <x:v>46178</x:v>
      </x:c>
      <x:c r="C212" s="14" t="str">
        <x:v>SUP-008</x:v>
      </x:c>
      <x:c r="D212" s="14" t="str">
        <x:v>SKU-0017</x:v>
      </x:c>
      <x:c r="E212" s="52" t="n">
        <x:v>200</x:v>
      </x:c>
      <x:c r="F212" s="52" t="n">
        <x:v>200</x:v>
      </x:c>
      <x:c r="G212" s="53" t="n">
        <x:f>E212-F212</x:f>
        <x:v>0</x:v>
      </x:c>
      <x:c r="H212" s="40" t="n">
        <x:v>71.82</x:v>
      </x:c>
      <x:c r="I212" s="44" t="n">
        <x:f>E212*H212</x:f>
        <x:v>14363.999999999998</x:v>
      </x:c>
      <x:c r="J212" s="50" t="n">
        <x:v>46189</x:v>
      </x:c>
      <x:c r="K212" s="14" t="str">
        <x:v>Closed</x:v>
      </x:c>
      <x:c r="L212" s="14" t="str">
        <x:v>Paid</x:v>
      </x:c>
      <x:c r="M212" s="50" t="n">
        <x:v>46223</x:v>
      </x:c>
    </x:row>
    <x:row r="213">
      <x:c r="A213" s="14" t="str">
        <x:v>PO-26-0212</x:v>
      </x:c>
      <x:c r="B213" s="50" t="n">
        <x:v>46129</x:v>
      </x:c>
      <x:c r="C213" s="14" t="str">
        <x:v>SUP-006</x:v>
      </x:c>
      <x:c r="D213" s="14" t="str">
        <x:v>SKU-0121</x:v>
      </x:c>
      <x:c r="E213" s="52" t="n">
        <x:v>25</x:v>
      </x:c>
      <x:c r="F213" s="52" t="n">
        <x:v>25</x:v>
      </x:c>
      <x:c r="G213" s="53" t="n">
        <x:f>E213-F213</x:f>
        <x:v>0</x:v>
      </x:c>
      <x:c r="H213" s="40" t="n">
        <x:v>88.98</x:v>
      </x:c>
      <x:c r="I213" s="44" t="n">
        <x:f>E213*H213</x:f>
        <x:v>2224.5</x:v>
      </x:c>
      <x:c r="J213" s="50" t="n">
        <x:v>46144</x:v>
      </x:c>
      <x:c r="K213" s="14" t="str">
        <x:v>Closed</x:v>
      </x:c>
      <x:c r="L213" s="14" t="str">
        <x:v>Approved</x:v>
      </x:c>
      <x:c r="M213" s="50" t="n">
        <x:v>46189</x:v>
      </x:c>
    </x:row>
    <x:row r="214">
      <x:c r="A214" s="14" t="str">
        <x:v>PO-26-0213</x:v>
      </x:c>
      <x:c r="B214" s="50" t="n">
        <x:v>46175</x:v>
      </x:c>
      <x:c r="C214" s="14" t="str">
        <x:v>SUP-008</x:v>
      </x:c>
      <x:c r="D214" s="14" t="str">
        <x:v>SKU-0134</x:v>
      </x:c>
      <x:c r="E214" s="52" t="n">
        <x:v>150</x:v>
      </x:c>
      <x:c r="F214" s="52" t="n">
        <x:v>150</x:v>
      </x:c>
      <x:c r="G214" s="53" t="n">
        <x:f>E214-F214</x:f>
        <x:v>0</x:v>
      </x:c>
      <x:c r="H214" s="40" t="n">
        <x:v>254.76</x:v>
      </x:c>
      <x:c r="I214" s="44" t="n">
        <x:f>E214*H214</x:f>
        <x:v>38214</x:v>
      </x:c>
      <x:c r="J214" s="50" t="n">
        <x:v>46214</x:v>
      </x:c>
      <x:c r="K214" s="14" t="str">
        <x:v>Closed</x:v>
      </x:c>
      <x:c r="L214" s="14" t="str">
        <x:v>Paid</x:v>
      </x:c>
      <x:c r="M214" s="50" t="n">
        <x:v>46235</x:v>
      </x:c>
    </x:row>
    <x:row r="215">
      <x:c r="A215" s="14" t="str">
        <x:v>PO-26-0214</x:v>
      </x:c>
      <x:c r="B215" s="50" t="n">
        <x:v>46152</x:v>
      </x:c>
      <x:c r="C215" s="14" t="str">
        <x:v>SUP-006</x:v>
      </x:c>
      <x:c r="D215" s="14" t="str">
        <x:v>SKU-0097</x:v>
      </x:c>
      <x:c r="E215" s="52" t="n">
        <x:v>1000</x:v>
      </x:c>
      <x:c r="F215" s="52" t="n">
        <x:v>0</x:v>
      </x:c>
      <x:c r="G215" s="53" t="n">
        <x:f>E215-F215</x:f>
        <x:v>1000</x:v>
      </x:c>
      <x:c r="H215" s="40" t="n">
        <x:v>209.93</x:v>
      </x:c>
      <x:c r="I215" s="44" t="n">
        <x:f>E215*H215</x:f>
        <x:v>209930</x:v>
      </x:c>
      <x:c r="J215" s="50" t="n">
        <x:v>46203</x:v>
      </x:c>
      <x:c r="K215" s="14" t="str">
        <x:v>Open</x:v>
      </x:c>
      <x:c r="L215" s="14" t="str">
        <x:v>Approved</x:v>
      </x:c>
      <x:c r="M215" s="50" t="n">
        <x:v>46197</x:v>
      </x:c>
    </x:row>
    <x:row r="216">
      <x:c r="A216" s="14" t="str">
        <x:v>PO-26-0215</x:v>
      </x:c>
      <x:c r="B216" s="50" t="n">
        <x:v>46113</x:v>
      </x:c>
      <x:c r="C216" s="14" t="str">
        <x:v>SUP-010</x:v>
      </x:c>
      <x:c r="D216" s="14" t="str">
        <x:v>SKU-0058</x:v>
      </x:c>
      <x:c r="E216" s="52" t="n">
        <x:v>300</x:v>
      </x:c>
      <x:c r="F216" s="52" t="n">
        <x:v>300</x:v>
      </x:c>
      <x:c r="G216" s="53" t="n">
        <x:f>E216-F216</x:f>
        <x:v>0</x:v>
      </x:c>
      <x:c r="H216" s="40" t="n">
        <x:v>226.78</x:v>
      </x:c>
      <x:c r="I216" s="44" t="n">
        <x:f>E216*H216</x:f>
        <x:v>68034</x:v>
      </x:c>
      <x:c r="J216" s="50" t="n">
        <x:v>46163</x:v>
      </x:c>
      <x:c r="K216" s="14" t="str">
        <x:v>Closed</x:v>
      </x:c>
      <x:c r="L216" s="14" t="str">
        <x:v>Paid</x:v>
      </x:c>
      <x:c r="M216" s="50" t="n">
        <x:v>46158</x:v>
      </x:c>
    </x:row>
    <x:row r="217">
      <x:c r="A217" s="14" t="str">
        <x:v>PO-26-0216</x:v>
      </x:c>
      <x:c r="B217" s="50" t="n">
        <x:v>46117</x:v>
      </x:c>
      <x:c r="C217" s="14" t="str">
        <x:v>SUP-001</x:v>
      </x:c>
      <x:c r="D217" s="14" t="str">
        <x:v>SKU-0002</x:v>
      </x:c>
      <x:c r="E217" s="52" t="n">
        <x:v>75</x:v>
      </x:c>
      <x:c r="F217" s="52" t="n">
        <x:v>75</x:v>
      </x:c>
      <x:c r="G217" s="53" t="n">
        <x:f>E217-F217</x:f>
        <x:v>0</x:v>
      </x:c>
      <x:c r="H217" s="40" t="n">
        <x:v>66.06</x:v>
      </x:c>
      <x:c r="I217" s="44" t="n">
        <x:f>E217*H217</x:f>
        <x:v>4954.5</x:v>
      </x:c>
      <x:c r="J217" s="50" t="n">
        <x:v>46139</x:v>
      </x:c>
      <x:c r="K217" s="14" t="str">
        <x:v>Closed</x:v>
      </x:c>
      <x:c r="L217" s="14" t="str">
        <x:v>Approved</x:v>
      </x:c>
      <x:c r="M217" s="50" t="n">
        <x:v>46177</x:v>
      </x:c>
    </x:row>
    <x:row r="218">
      <x:c r="A218" s="14" t="str">
        <x:v>PO-26-0217</x:v>
      </x:c>
      <x:c r="B218" s="50" t="n">
        <x:v>46191</x:v>
      </x:c>
      <x:c r="C218" s="14" t="str">
        <x:v>SUP-002</x:v>
      </x:c>
      <x:c r="D218" s="14" t="str">
        <x:v>SKU-0072</x:v>
      </x:c>
      <x:c r="E218" s="52" t="n">
        <x:v>75</x:v>
      </x:c>
      <x:c r="F218" s="52" t="n">
        <x:v>75</x:v>
      </x:c>
      <x:c r="G218" s="53" t="n">
        <x:f>E218-F218</x:f>
        <x:v>0</x:v>
      </x:c>
      <x:c r="H218" s="40" t="n">
        <x:v>153.62</x:v>
      </x:c>
      <x:c r="I218" s="44" t="n">
        <x:f>E218*H218</x:f>
        <x:v>11521.5</x:v>
      </x:c>
      <x:c r="J218" s="50" t="n">
        <x:v>46207</x:v>
      </x:c>
      <x:c r="K218" s="14" t="str">
        <x:v>Closed</x:v>
      </x:c>
      <x:c r="L218" s="14" t="str">
        <x:v>Approved</x:v>
      </x:c>
      <x:c r="M218" s="50" t="n">
        <x:v>46251</x:v>
      </x:c>
    </x:row>
    <x:row r="219">
      <x:c r="A219" s="14" t="str">
        <x:v>PO-26-0218</x:v>
      </x:c>
      <x:c r="B219" s="50" t="n">
        <x:v>46139</x:v>
      </x:c>
      <x:c r="C219" s="14" t="str">
        <x:v>SUP-005</x:v>
      </x:c>
      <x:c r="D219" s="14" t="str">
        <x:v>SKU-0059</x:v>
      </x:c>
      <x:c r="E219" s="52" t="n">
        <x:v>200</x:v>
      </x:c>
      <x:c r="F219" s="52" t="n">
        <x:v>150</x:v>
      </x:c>
      <x:c r="G219" s="53" t="n">
        <x:f>E219-F219</x:f>
        <x:v>50</x:v>
      </x:c>
      <x:c r="H219" s="40" t="n">
        <x:v>247.15</x:v>
      </x:c>
      <x:c r="I219" s="44" t="n">
        <x:f>E219*H219</x:f>
        <x:v>49430</x:v>
      </x:c>
      <x:c r="J219" s="50" t="n">
        <x:v>46180</x:v>
      </x:c>
      <x:c r="K219" s="14" t="str">
        <x:v>Partial</x:v>
      </x:c>
      <x:c r="L219" s="14" t="str">
        <x:v>Paid</x:v>
      </x:c>
      <x:c r="M219" s="50" t="n">
        <x:v>46169</x:v>
      </x:c>
    </x:row>
    <x:row r="220">
      <x:c r="A220" s="14" t="str">
        <x:v>PO-26-0219</x:v>
      </x:c>
      <x:c r="B220" s="50" t="n">
        <x:v>46140</x:v>
      </x:c>
      <x:c r="C220" s="14" t="str">
        <x:v>SUP-002</x:v>
      </x:c>
      <x:c r="D220" s="14" t="str">
        <x:v>SKU-0042</x:v>
      </x:c>
      <x:c r="E220" s="52" t="n">
        <x:v>25</x:v>
      </x:c>
      <x:c r="F220" s="52" t="n">
        <x:v>25</x:v>
      </x:c>
      <x:c r="G220" s="53" t="n">
        <x:f>E220-F220</x:f>
        <x:v>0</x:v>
      </x:c>
      <x:c r="H220" s="40" t="n">
        <x:v>218.51</x:v>
      </x:c>
      <x:c r="I220" s="44" t="n">
        <x:f>E220*H220</x:f>
        <x:v>5462.75</x:v>
      </x:c>
      <x:c r="J220" s="50" t="n">
        <x:v>46175</x:v>
      </x:c>
      <x:c r="K220" s="14" t="str">
        <x:v>Closed</x:v>
      </x:c>
      <x:c r="L220" s="14" t="str">
        <x:v>Approved</x:v>
      </x:c>
      <x:c r="M220" s="50" t="n">
        <x:v>46170</x:v>
      </x:c>
    </x:row>
    <x:row r="221">
      <x:c r="A221" s="14" t="str">
        <x:v>PO-26-0220</x:v>
      </x:c>
      <x:c r="B221" s="50" t="n">
        <x:v>46235</x:v>
      </x:c>
      <x:c r="C221" s="14" t="str">
        <x:v>SUP-008</x:v>
      </x:c>
      <x:c r="D221" s="14" t="str">
        <x:v>SKU-0132</x:v>
      </x:c>
      <x:c r="E221" s="52" t="n">
        <x:v>1000</x:v>
      </x:c>
      <x:c r="F221" s="52" t="n">
        <x:v>1000</x:v>
      </x:c>
      <x:c r="G221" s="53" t="n">
        <x:f>E221-F221</x:f>
        <x:v>0</x:v>
      </x:c>
      <x:c r="H221" s="40" t="n">
        <x:v>177.71</x:v>
      </x:c>
      <x:c r="I221" s="44" t="n">
        <x:f>E221*H221</x:f>
        <x:v>177710</x:v>
      </x:c>
      <x:c r="J221" s="50" t="n">
        <x:v>46246</x:v>
      </x:c>
      <x:c r="K221" s="14" t="str">
        <x:v>Closed</x:v>
      </x:c>
      <x:c r="L221" s="14" t="str">
        <x:v>Paid</x:v>
      </x:c>
      <x:c r="M221" s="50" t="n">
        <x:v>46265</x:v>
      </x:c>
    </x:row>
    <x:row r="222">
      <x:c r="A222" s="14" t="str">
        <x:v>PO-26-0221</x:v>
      </x:c>
      <x:c r="B222" s="50" t="n">
        <x:v>46142</x:v>
      </x:c>
      <x:c r="C222" s="14" t="str">
        <x:v>SUP-006</x:v>
      </x:c>
      <x:c r="D222" s="14" t="str">
        <x:v>SKU-0133</x:v>
      </x:c>
      <x:c r="E222" s="52" t="n">
        <x:v>1000</x:v>
      </x:c>
      <x:c r="F222" s="52" t="n">
        <x:v>0</x:v>
      </x:c>
      <x:c r="G222" s="53" t="n">
        <x:f>E222-F222</x:f>
        <x:v>1000</x:v>
      </x:c>
      <x:c r="H222" s="40" t="n">
        <x:v>233.3</x:v>
      </x:c>
      <x:c r="I222" s="44" t="n">
        <x:f>E222*H222</x:f>
        <x:v>233300</x:v>
      </x:c>
      <x:c r="J222" s="50" t="n">
        <x:v>46191</x:v>
      </x:c>
      <x:c r="K222" s="14" t="str">
        <x:v>Open</x:v>
      </x:c>
      <x:c r="L222" s="14" t="str">
        <x:v>Not Received</x:v>
      </x:c>
      <x:c r="M222" s="50" t="n">
        <x:v>46172</x:v>
      </x:c>
    </x:row>
    <x:row r="223">
      <x:c r="A223" s="14" t="str">
        <x:v>PO-26-0222</x:v>
      </x:c>
      <x:c r="B223" s="50" t="n">
        <x:v>46125</x:v>
      </x:c>
      <x:c r="C223" s="14" t="str">
        <x:v>SUP-002</x:v>
      </x:c>
      <x:c r="D223" s="14" t="str">
        <x:v>SKU-0115</x:v>
      </x:c>
      <x:c r="E223" s="52" t="n">
        <x:v>500</x:v>
      </x:c>
      <x:c r="F223" s="52" t="n">
        <x:v>500</x:v>
      </x:c>
      <x:c r="G223" s="53" t="n">
        <x:f>E223-F223</x:f>
        <x:v>0</x:v>
      </x:c>
      <x:c r="H223" s="40" t="n">
        <x:v>27.81</x:v>
      </x:c>
      <x:c r="I223" s="44" t="n">
        <x:f>E223*H223</x:f>
        <x:v>13905</x:v>
      </x:c>
      <x:c r="J223" s="50" t="n">
        <x:v>46163</x:v>
      </x:c>
      <x:c r="K223" s="14" t="str">
        <x:v>Closed</x:v>
      </x:c>
      <x:c r="L223" s="14" t="str">
        <x:v>Approved</x:v>
      </x:c>
      <x:c r="M223" s="50" t="n">
        <x:v>46185</x:v>
      </x:c>
    </x:row>
    <x:row r="224">
      <x:c r="A224" s="14" t="str">
        <x:v>PO-26-0223</x:v>
      </x:c>
      <x:c r="B224" s="50" t="n">
        <x:v>46115</x:v>
      </x:c>
      <x:c r="C224" s="14" t="str">
        <x:v>SUP-004</x:v>
      </x:c>
      <x:c r="D224" s="14" t="str">
        <x:v>SKU-0047</x:v>
      </x:c>
      <x:c r="E224" s="52" t="n">
        <x:v>150</x:v>
      </x:c>
      <x:c r="F224" s="52" t="n">
        <x:v>150</x:v>
      </x:c>
      <x:c r="G224" s="53" t="n">
        <x:f>E224-F224</x:f>
        <x:v>0</x:v>
      </x:c>
      <x:c r="H224" s="40" t="n">
        <x:v>233.63</x:v>
      </x:c>
      <x:c r="I224" s="44" t="n">
        <x:f>E224*H224</x:f>
        <x:v>35044.5</x:v>
      </x:c>
      <x:c r="J224" s="50" t="n">
        <x:v>46175</x:v>
      </x:c>
      <x:c r="K224" s="14" t="str">
        <x:v>Closed</x:v>
      </x:c>
      <x:c r="L224" s="14" t="str">
        <x:v>Paid</x:v>
      </x:c>
      <x:c r="M224" s="50" t="n">
        <x:v>46175</x:v>
      </x:c>
    </x:row>
    <x:row r="225">
      <x:c r="A225" s="14" t="str">
        <x:v>PO-26-0224</x:v>
      </x:c>
      <x:c r="B225" s="50" t="n">
        <x:v>46187</x:v>
      </x:c>
      <x:c r="C225" s="14" t="str">
        <x:v>SUP-004</x:v>
      </x:c>
      <x:c r="D225" s="14" t="str">
        <x:v>SKU-0018</x:v>
      </x:c>
      <x:c r="E225" s="52" t="n">
        <x:v>300</x:v>
      </x:c>
      <x:c r="F225" s="52" t="n">
        <x:v>300</x:v>
      </x:c>
      <x:c r="G225" s="53" t="n">
        <x:f>E225-F225</x:f>
        <x:v>0</x:v>
      </x:c>
      <x:c r="H225" s="40" t="n">
        <x:v>48.65</x:v>
      </x:c>
      <x:c r="I225" s="44" t="n">
        <x:f>E225*H225</x:f>
        <x:v>14595</x:v>
      </x:c>
      <x:c r="J225" s="50" t="n">
        <x:v>46202</x:v>
      </x:c>
      <x:c r="K225" s="14" t="str">
        <x:v>Closed</x:v>
      </x:c>
      <x:c r="L225" s="14" t="str">
        <x:v>Approved</x:v>
      </x:c>
      <x:c r="M225" s="50" t="n">
        <x:v>46217</x:v>
      </x:c>
    </x:row>
    <x:row r="226">
      <x:c r="A226" s="14" t="str">
        <x:v>PO-26-0225</x:v>
      </x:c>
      <x:c r="B226" s="50" t="n">
        <x:v>46116</x:v>
      </x:c>
      <x:c r="C226" s="14" t="str">
        <x:v>SUP-008</x:v>
      </x:c>
      <x:c r="D226" s="14" t="str">
        <x:v>SKU-0134</x:v>
      </x:c>
      <x:c r="E226" s="52" t="n">
        <x:v>300</x:v>
      </x:c>
      <x:c r="F226" s="52" t="n">
        <x:v>0</x:v>
      </x:c>
      <x:c r="G226" s="53" t="n">
        <x:f>E226-F226</x:f>
        <x:v>300</x:v>
      </x:c>
      <x:c r="H226" s="40" t="n">
        <x:v>254.76</x:v>
      </x:c>
      <x:c r="I226" s="44" t="n">
        <x:f>E226*H226</x:f>
        <x:v>76428</x:v>
      </x:c>
      <x:c r="J226" s="50" t="n">
        <x:v>46155</x:v>
      </x:c>
      <x:c r="K226" s="14" t="str">
        <x:v>Open</x:v>
      </x:c>
      <x:c r="L226" s="14" t="str">
        <x:v>Paid</x:v>
      </x:c>
      <x:c r="M226" s="50" t="n">
        <x:v>46176</x:v>
      </x:c>
    </x:row>
    <x:row r="227">
      <x:c r="A227" s="14" t="str">
        <x:v>PO-26-0226</x:v>
      </x:c>
      <x:c r="B227" s="50" t="n">
        <x:v>46109</x:v>
      </x:c>
      <x:c r="C227" s="14" t="str">
        <x:v>SUP-012</x:v>
      </x:c>
      <x:c r="D227" s="14" t="str">
        <x:v>SKU-0010</x:v>
      </x:c>
      <x:c r="E227" s="52" t="n">
        <x:v>750</x:v>
      </x:c>
      <x:c r="F227" s="52" t="n">
        <x:v>0</x:v>
      </x:c>
      <x:c r="G227" s="53" t="n">
        <x:f>E227-F227</x:f>
        <x:v>750</x:v>
      </x:c>
      <x:c r="H227" s="40" t="n">
        <x:v>137.36</x:v>
      </x:c>
      <x:c r="I227" s="44" t="n">
        <x:f>E227*H227</x:f>
        <x:v>103020.00000000001</x:v>
      </x:c>
      <x:c r="J227" s="50" t="n">
        <x:v>46168</x:v>
      </x:c>
      <x:c r="K227" s="14" t="str">
        <x:v>Open</x:v>
      </x:c>
      <x:c r="L227" s="14" t="str">
        <x:v>Received</x:v>
      </x:c>
      <x:c r="M227" s="50" t="n">
        <x:v>46169</x:v>
      </x:c>
    </x:row>
    <x:row r="228">
      <x:c r="A228" s="14" t="str">
        <x:v>PO-26-0227</x:v>
      </x:c>
      <x:c r="B228" s="50" t="n">
        <x:v>46245</x:v>
      </x:c>
      <x:c r="C228" s="14" t="str">
        <x:v>SUP-005</x:v>
      </x:c>
      <x:c r="D228" s="14" t="str">
        <x:v>SKU-0139</x:v>
      </x:c>
      <x:c r="E228" s="52" t="n">
        <x:v>300</x:v>
      </x:c>
      <x:c r="F228" s="52" t="n">
        <x:v>300</x:v>
      </x:c>
      <x:c r="G228" s="53" t="n">
        <x:f>E228-F228</x:f>
        <x:v>0</x:v>
      </x:c>
      <x:c r="H228" s="40" t="n">
        <x:v>157.6</x:v>
      </x:c>
      <x:c r="I228" s="44" t="n">
        <x:f>E228*H228</x:f>
        <x:v>47280</x:v>
      </x:c>
      <x:c r="J228" s="50" t="n">
        <x:v>46302</x:v>
      </x:c>
      <x:c r="K228" s="14" t="str">
        <x:v>Closed</x:v>
      </x:c>
      <x:c r="L228" s="14" t="str">
        <x:v>Approved</x:v>
      </x:c>
      <x:c r="M228" s="50" t="n">
        <x:v>46305</x:v>
      </x:c>
    </x:row>
    <x:row r="229">
      <x:c r="A229" s="14" t="str">
        <x:v>PO-26-0228</x:v>
      </x:c>
      <x:c r="B229" s="50" t="n">
        <x:v>46136</x:v>
      </x:c>
      <x:c r="C229" s="14" t="str">
        <x:v>SUP-006</x:v>
      </x:c>
      <x:c r="D229" s="14" t="str">
        <x:v>SKU-0136</x:v>
      </x:c>
      <x:c r="E229" s="52" t="n">
        <x:v>100</x:v>
      </x:c>
      <x:c r="F229" s="52" t="n">
        <x:v>75</x:v>
      </x:c>
      <x:c r="G229" s="53" t="n">
        <x:f>E229-F229</x:f>
        <x:v>25</x:v>
      </x:c>
      <x:c r="H229" s="40" t="n">
        <x:v>105.97</x:v>
      </x:c>
      <x:c r="I229" s="44" t="n">
        <x:f>E229*H229</x:f>
        <x:v>10597</x:v>
      </x:c>
      <x:c r="J229" s="50" t="n">
        <x:v>46188</x:v>
      </x:c>
      <x:c r="K229" s="14" t="str">
        <x:v>Partial</x:v>
      </x:c>
      <x:c r="L229" s="14" t="str">
        <x:v>Approved</x:v>
      </x:c>
      <x:c r="M229" s="50" t="n">
        <x:v>46196</x:v>
      </x:c>
    </x:row>
    <x:row r="230">
      <x:c r="A230" s="14" t="str">
        <x:v>PO-26-0229</x:v>
      </x:c>
      <x:c r="B230" s="50" t="n">
        <x:v>46220</x:v>
      </x:c>
      <x:c r="C230" s="14" t="str">
        <x:v>SUP-007</x:v>
      </x:c>
      <x:c r="D230" s="14" t="str">
        <x:v>SKU-0148</x:v>
      </x:c>
      <x:c r="E230" s="52" t="n">
        <x:v>300</x:v>
      </x:c>
      <x:c r="F230" s="52" t="n">
        <x:v>300</x:v>
      </x:c>
      <x:c r="G230" s="53" t="n">
        <x:f>E230-F230</x:f>
        <x:v>0</x:v>
      </x:c>
      <x:c r="H230" s="40" t="n">
        <x:v>278.48</x:v>
      </x:c>
      <x:c r="I230" s="44" t="n">
        <x:f>E230*H230</x:f>
        <x:v>83544</x:v>
      </x:c>
      <x:c r="J230" s="50" t="n">
        <x:v>46278</x:v>
      </x:c>
      <x:c r="K230" s="14" t="str">
        <x:v>Closed</x:v>
      </x:c>
      <x:c r="L230" s="14" t="str">
        <x:v>Approved</x:v>
      </x:c>
      <x:c r="M230" s="50" t="n">
        <x:v>46250</x:v>
      </x:c>
    </x:row>
    <x:row r="231">
      <x:c r="A231" s="14" t="str">
        <x:v>PO-26-0230</x:v>
      </x:c>
      <x:c r="B231" s="50" t="n">
        <x:v>46106</x:v>
      </x:c>
      <x:c r="C231" s="14" t="str">
        <x:v>SUP-008</x:v>
      </x:c>
      <x:c r="D231" s="14" t="str">
        <x:v>SKU-0073</x:v>
      </x:c>
      <x:c r="E231" s="52" t="n">
        <x:v>300</x:v>
      </x:c>
      <x:c r="F231" s="52" t="n">
        <x:v>300</x:v>
      </x:c>
      <x:c r="G231" s="53" t="n">
        <x:f>E231-F231</x:f>
        <x:v>0</x:v>
      </x:c>
      <x:c r="H231" s="40" t="n">
        <x:v>37.01</x:v>
      </x:c>
      <x:c r="I231" s="44" t="n">
        <x:f>E231*H231</x:f>
        <x:v>11103</x:v>
      </x:c>
      <x:c r="J231" s="50" t="n">
        <x:v>46142</x:v>
      </x:c>
      <x:c r="K231" s="14" t="str">
        <x:v>Closed</x:v>
      </x:c>
      <x:c r="L231" s="14" t="str">
        <x:v>Approved</x:v>
      </x:c>
      <x:c r="M231" s="50" t="n">
        <x:v>46166</x:v>
      </x:c>
    </x:row>
    <x:row r="232">
      <x:c r="A232" s="14" t="str">
        <x:v>PO-26-0231</x:v>
      </x:c>
      <x:c r="B232" s="50" t="n">
        <x:v>46215</x:v>
      </x:c>
      <x:c r="C232" s="14" t="str">
        <x:v>SUP-008</x:v>
      </x:c>
      <x:c r="D232" s="14" t="str">
        <x:v>SKU-0134</x:v>
      </x:c>
      <x:c r="E232" s="52" t="n">
        <x:v>750</x:v>
      </x:c>
      <x:c r="F232" s="52" t="n">
        <x:v>750</x:v>
      </x:c>
      <x:c r="G232" s="53" t="n">
        <x:f>E232-F232</x:f>
        <x:v>0</x:v>
      </x:c>
      <x:c r="H232" s="40" t="n">
        <x:v>254.76</x:v>
      </x:c>
      <x:c r="I232" s="44" t="n">
        <x:f>E232*H232</x:f>
        <x:v>191070</x:v>
      </x:c>
      <x:c r="J232" s="50" t="n">
        <x:v>46255</x:v>
      </x:c>
      <x:c r="K232" s="14" t="str">
        <x:v>Closed</x:v>
      </x:c>
      <x:c r="L232" s="14" t="str">
        <x:v>Paid</x:v>
      </x:c>
      <x:c r="M232" s="50" t="n">
        <x:v>46260</x:v>
      </x:c>
    </x:row>
    <x:row r="233">
      <x:c r="A233" s="14" t="str">
        <x:v>PO-26-0232</x:v>
      </x:c>
      <x:c r="B233" s="50" t="n">
        <x:v>46218</x:v>
      </x:c>
      <x:c r="C233" s="14" t="str">
        <x:v>SUP-007</x:v>
      </x:c>
      <x:c r="D233" s="14" t="str">
        <x:v>SKU-0093</x:v>
      </x:c>
      <x:c r="E233" s="52" t="n">
        <x:v>75</x:v>
      </x:c>
      <x:c r="F233" s="52" t="n">
        <x:v>75</x:v>
      </x:c>
      <x:c r="G233" s="53" t="n">
        <x:f>E233-F233</x:f>
        <x:v>0</x:v>
      </x:c>
      <x:c r="H233" s="40" t="n">
        <x:v>239.3</x:v>
      </x:c>
      <x:c r="I233" s="44" t="n">
        <x:f>E233*H233</x:f>
        <x:v>17947.5</x:v>
      </x:c>
      <x:c r="J233" s="50" t="n">
        <x:v>46246</x:v>
      </x:c>
      <x:c r="K233" s="14" t="str">
        <x:v>Closed</x:v>
      </x:c>
      <x:c r="L233" s="14" t="str">
        <x:v>Paid</x:v>
      </x:c>
      <x:c r="M233" s="50" t="n">
        <x:v>46278</x:v>
      </x:c>
    </x:row>
    <x:row r="234">
      <x:c r="A234" s="14" t="str">
        <x:v>PO-26-0233</x:v>
      </x:c>
      <x:c r="B234" s="50" t="n">
        <x:v>46152</x:v>
      </x:c>
      <x:c r="C234" s="14" t="str">
        <x:v>SUP-012</x:v>
      </x:c>
      <x:c r="D234" s="14" t="str">
        <x:v>SKU-0109</x:v>
      </x:c>
      <x:c r="E234" s="52" t="n">
        <x:v>1000</x:v>
      </x:c>
      <x:c r="F234" s="52" t="n">
        <x:v>1000</x:v>
      </x:c>
      <x:c r="G234" s="53" t="n">
        <x:f>E234-F234</x:f>
        <x:v>0</x:v>
      </x:c>
      <x:c r="H234" s="40" t="n">
        <x:v>119.32</x:v>
      </x:c>
      <x:c r="I234" s="44" t="n">
        <x:f>E234*H234</x:f>
        <x:v>119320</x:v>
      </x:c>
      <x:c r="J234" s="50" t="n">
        <x:v>46198</x:v>
      </x:c>
      <x:c r="K234" s="14" t="str">
        <x:v>Closed</x:v>
      </x:c>
      <x:c r="L234" s="14" t="str">
        <x:v>Approved</x:v>
      </x:c>
      <x:c r="M234" s="50" t="n">
        <x:v>46197</x:v>
      </x:c>
    </x:row>
    <x:row r="235">
      <x:c r="A235" s="14" t="str">
        <x:v>PO-26-0234</x:v>
      </x:c>
      <x:c r="B235" s="50" t="n">
        <x:v>46122</x:v>
      </x:c>
      <x:c r="C235" s="14" t="str">
        <x:v>SUP-011</x:v>
      </x:c>
      <x:c r="D235" s="14" t="str">
        <x:v>SKU-0142</x:v>
      </x:c>
      <x:c r="E235" s="52" t="n">
        <x:v>75</x:v>
      </x:c>
      <x:c r="F235" s="52" t="n">
        <x:v>75</x:v>
      </x:c>
      <x:c r="G235" s="53" t="n">
        <x:f>E235-F235</x:f>
        <x:v>0</x:v>
      </x:c>
      <x:c r="H235" s="40" t="n">
        <x:v>95.95</x:v>
      </x:c>
      <x:c r="I235" s="44" t="n">
        <x:f>E235*H235</x:f>
        <x:v>7196.25</x:v>
      </x:c>
      <x:c r="J235" s="50" t="n">
        <x:v>46151</x:v>
      </x:c>
      <x:c r="K235" s="14" t="str">
        <x:v>Closed</x:v>
      </x:c>
      <x:c r="L235" s="14" t="str">
        <x:v>Paid</x:v>
      </x:c>
      <x:c r="M235" s="50" t="n">
        <x:v>46167</x:v>
      </x:c>
    </x:row>
    <x:row r="236">
      <x:c r="A236" s="14" t="str">
        <x:v>PO-26-0235</x:v>
      </x:c>
      <x:c r="B236" s="50" t="n">
        <x:v>46157</x:v>
      </x:c>
      <x:c r="C236" s="14" t="str">
        <x:v>SUP-005</x:v>
      </x:c>
      <x:c r="D236" s="14" t="str">
        <x:v>SKU-0079</x:v>
      </x:c>
      <x:c r="E236" s="52" t="n">
        <x:v>300</x:v>
      </x:c>
      <x:c r="F236" s="52" t="n">
        <x:v>0</x:v>
      </x:c>
      <x:c r="G236" s="53" t="n">
        <x:f>E236-F236</x:f>
        <x:v>300</x:v>
      </x:c>
      <x:c r="H236" s="40" t="n">
        <x:v>124.08</x:v>
      </x:c>
      <x:c r="I236" s="44" t="n">
        <x:f>E236*H236</x:f>
        <x:v>37224</x:v>
      </x:c>
      <x:c r="J236" s="50" t="n">
        <x:v>46217</x:v>
      </x:c>
      <x:c r="K236" s="14" t="str">
        <x:v>Open</x:v>
      </x:c>
      <x:c r="L236" s="14" t="str">
        <x:v>Paid</x:v>
      </x:c>
      <x:c r="M236" s="50" t="n">
        <x:v>46217</x:v>
      </x:c>
    </x:row>
    <x:row r="237">
      <x:c r="A237" s="14" t="str">
        <x:v>PO-26-0236</x:v>
      </x:c>
      <x:c r="B237" s="50" t="n">
        <x:v>46220</x:v>
      </x:c>
      <x:c r="C237" s="14" t="str">
        <x:v>SUP-002</x:v>
      </x:c>
      <x:c r="D237" s="14" t="str">
        <x:v>SKU-0042</x:v>
      </x:c>
      <x:c r="E237" s="52" t="n">
        <x:v>100</x:v>
      </x:c>
      <x:c r="F237" s="52" t="n">
        <x:v>100</x:v>
      </x:c>
      <x:c r="G237" s="53" t="n">
        <x:f>E237-F237</x:f>
        <x:v>0</x:v>
      </x:c>
      <x:c r="H237" s="40" t="n">
        <x:v>218.51</x:v>
      </x:c>
      <x:c r="I237" s="44" t="n">
        <x:f>E237*H237</x:f>
        <x:v>21851</x:v>
      </x:c>
      <x:c r="J237" s="50" t="n">
        <x:v>46261</x:v>
      </x:c>
      <x:c r="K237" s="14" t="str">
        <x:v>Closed</x:v>
      </x:c>
      <x:c r="L237" s="14" t="str">
        <x:v>Approved</x:v>
      </x:c>
      <x:c r="M237" s="50" t="n">
        <x:v>46250</x:v>
      </x:c>
    </x:row>
    <x:row r="238">
      <x:c r="A238" s="14" t="str">
        <x:v>PO-26-0237</x:v>
      </x:c>
      <x:c r="B238" s="50" t="n">
        <x:v>46244</x:v>
      </x:c>
      <x:c r="C238" s="14" t="str">
        <x:v>SUP-010</x:v>
      </x:c>
      <x:c r="D238" s="14" t="str">
        <x:v>SKU-0100</x:v>
      </x:c>
      <x:c r="E238" s="52" t="n">
        <x:v>50</x:v>
      </x:c>
      <x:c r="F238" s="52" t="n">
        <x:v>37</x:v>
      </x:c>
      <x:c r="G238" s="53" t="n">
        <x:f>E238-F238</x:f>
        <x:v>13</x:v>
      </x:c>
      <x:c r="H238" s="40" t="n">
        <x:v>108.23</x:v>
      </x:c>
      <x:c r="I238" s="44" t="n">
        <x:f>E238*H238</x:f>
        <x:v>5411.5</x:v>
      </x:c>
      <x:c r="J238" s="50" t="n">
        <x:v>46289</x:v>
      </x:c>
      <x:c r="K238" s="14" t="str">
        <x:v>Partial</x:v>
      </x:c>
      <x:c r="L238" s="14" t="str">
        <x:v>Not Received</x:v>
      </x:c>
      <x:c r="M238" s="50" t="n">
        <x:v>46274</x:v>
      </x:c>
    </x:row>
    <x:row r="239">
      <x:c r="A239" s="14" t="str">
        <x:v>PO-26-0238</x:v>
      </x:c>
      <x:c r="B239" s="50" t="n">
        <x:v>46189</x:v>
      </x:c>
      <x:c r="C239" s="14" t="str">
        <x:v>SUP-002</x:v>
      </x:c>
      <x:c r="D239" s="14" t="str">
        <x:v>SKU-0068</x:v>
      </x:c>
      <x:c r="E239" s="52" t="n">
        <x:v>200</x:v>
      </x:c>
      <x:c r="F239" s="52" t="n">
        <x:v>200</x:v>
      </x:c>
      <x:c r="G239" s="53" t="n">
        <x:f>E239-F239</x:f>
        <x:v>0</x:v>
      </x:c>
      <x:c r="H239" s="40" t="n">
        <x:v>157.37</x:v>
      </x:c>
      <x:c r="I239" s="44" t="n">
        <x:f>E239*H239</x:f>
        <x:v>31474</x:v>
      </x:c>
      <x:c r="J239" s="50" t="n">
        <x:v>46241</x:v>
      </x:c>
      <x:c r="K239" s="14" t="str">
        <x:v>Closed</x:v>
      </x:c>
      <x:c r="L239" s="14" t="str">
        <x:v>Paid</x:v>
      </x:c>
      <x:c r="M239" s="50" t="n">
        <x:v>46234</x:v>
      </x:c>
    </x:row>
    <x:row r="240">
      <x:c r="A240" s="14" t="str">
        <x:v>PO-26-0239</x:v>
      </x:c>
      <x:c r="B240" s="50" t="n">
        <x:v>46172</x:v>
      </x:c>
      <x:c r="C240" s="14" t="str">
        <x:v>SUP-008</x:v>
      </x:c>
      <x:c r="D240" s="14" t="str">
        <x:v>SKU-0134</x:v>
      </x:c>
      <x:c r="E240" s="52" t="n">
        <x:v>1000</x:v>
      </x:c>
      <x:c r="F240" s="52" t="n">
        <x:v>1000</x:v>
      </x:c>
      <x:c r="G240" s="53" t="n">
        <x:f>E240-F240</x:f>
        <x:v>0</x:v>
      </x:c>
      <x:c r="H240" s="40" t="n">
        <x:v>254.76</x:v>
      </x:c>
      <x:c r="I240" s="44" t="n">
        <x:f>E240*H240</x:f>
        <x:v>254760</x:v>
      </x:c>
      <x:c r="J240" s="50" t="n">
        <x:v>46211</x:v>
      </x:c>
      <x:c r="K240" s="14" t="str">
        <x:v>Closed</x:v>
      </x:c>
      <x:c r="L240" s="14" t="str">
        <x:v>Paid</x:v>
      </x:c>
      <x:c r="M240" s="50" t="n">
        <x:v>46217</x:v>
      </x:c>
    </x:row>
    <x:row r="241">
      <x:c r="A241" s="14" t="str">
        <x:v>PO-26-0240</x:v>
      </x:c>
      <x:c r="B241" s="50" t="n">
        <x:v>46194</x:v>
      </x:c>
      <x:c r="C241" s="14" t="str">
        <x:v>SUP-011</x:v>
      </x:c>
      <x:c r="D241" s="14" t="str">
        <x:v>SKU-0003</x:v>
      </x:c>
      <x:c r="E241" s="52" t="n">
        <x:v>750</x:v>
      </x:c>
      <x:c r="F241" s="52" t="n">
        <x:v>750</x:v>
      </x:c>
      <x:c r="G241" s="53" t="n">
        <x:f>E241-F241</x:f>
        <x:v>0</x:v>
      </x:c>
      <x:c r="H241" s="40" t="n">
        <x:v>141.04</x:v>
      </x:c>
      <x:c r="I241" s="44" t="n">
        <x:f>E241*H241</x:f>
        <x:v>105780</x:v>
      </x:c>
      <x:c r="J241" s="50" t="n">
        <x:v>46205</x:v>
      </x:c>
      <x:c r="K241" s="14" t="str">
        <x:v>Closed</x:v>
      </x:c>
      <x:c r="L241" s="14" t="str">
        <x:v>Approved</x:v>
      </x:c>
      <x:c r="M241" s="50" t="n">
        <x:v>46254</x:v>
      </x:c>
    </x:row>
  </x:sheetData>
  <x:pageMargins left="0.7" right="0.7" top="0.75" bottom="0.75" header="0.3" footer="0.3"/>
  <x:tableParts count="1">
    <x:tablePart xmlns:r="http://schemas.openxmlformats.org/officeDocument/2006/relationships" r:id="Rf3cf2bea7db4417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4" hidden="0" customWidth="1"/>
  </x:cols>
  <x:sheetData>
    <x:row r="1">
      <x:c r="A1" s="9" t="str">
        <x:v>Date</x:v>
      </x:c>
      <x:c r="B1" s="9" t="str">
        <x:v>SKU</x:v>
      </x:c>
      <x:c r="C1" s="9" t="str">
        <x:v>Units_Sold</x:v>
      </x:c>
      <x:c r="D1" s="9" t="str">
        <x:v>Unit_Price_USD</x:v>
      </x:c>
      <x:c r="E1" s="9" t="str">
        <x:v>Revenue_USD</x:v>
      </x:c>
      <x:c r="F1" s="9" t="str">
        <x:v>Unit_Cost_USD</x:v>
      </x:c>
      <x:c r="G1" s="9" t="str">
        <x:v>COGS_USD</x:v>
      </x:c>
      <x:c r="H1" s="9" t="str">
        <x:v>Gross_Profit_USD</x:v>
      </x:c>
      <x:c r="I1" s="9" t="str">
        <x:v>Customer_Segment</x:v>
      </x:c>
      <x:c r="J1" s="9" t="str">
        <x:v>Region</x:v>
      </x:c>
    </x:row>
    <x:row r="2">
      <x:c r="A2" s="50" t="n">
        <x:v>46225</x:v>
      </x:c>
      <x:c r="B2" s="14" t="str">
        <x:v>SKU-0044</x:v>
      </x:c>
      <x:c r="C2" s="52" t="n">
        <x:v>6</x:v>
      </x:c>
      <x:c r="D2" s="40" t="n">
        <x:v>164.89</x:v>
      </x:c>
      <x:c r="E2" s="44" t="n">
        <x:f>C2*D2</x:f>
        <x:v>989.3399999999999</x:v>
      </x:c>
      <x:c r="F2" s="40" t="n">
        <x:v>126.24</x:v>
      </x:c>
      <x:c r="G2" s="44" t="n">
        <x:f>C2*F2</x:f>
        <x:v>757.4399999999999</x:v>
      </x:c>
      <x:c r="H2" s="44" t="n">
        <x:f>E2-G2</x:f>
        <x:v>231.89999999999998</x:v>
      </x:c>
      <x:c r="I2" s="14" t="str">
        <x:v>Enterprise</x:v>
      </x:c>
      <x:c r="J2" s="14" t="str">
        <x:v>Northeast</x:v>
      </x:c>
    </x:row>
    <x:row r="3">
      <x:c r="A3" s="50" t="n">
        <x:v>46161</x:v>
      </x:c>
      <x:c r="B3" s="14" t="str">
        <x:v>SKU-0024</x:v>
      </x:c>
      <x:c r="C3" s="52" t="n">
        <x:v>1</x:v>
      </x:c>
      <x:c r="D3" s="40" t="n">
        <x:v>254.74</x:v>
      </x:c>
      <x:c r="E3" s="44" t="n">
        <x:f>C3*D3</x:f>
        <x:v>254.74</x:v>
      </x:c>
      <x:c r="F3" s="40" t="n">
        <x:v>151.69</x:v>
      </x:c>
      <x:c r="G3" s="44" t="n">
        <x:f>C3*F3</x:f>
        <x:v>151.69</x:v>
      </x:c>
      <x:c r="H3" s="44" t="n">
        <x:f>E3-G3</x:f>
        <x:v>103.05000000000001</x:v>
      </x:c>
      <x:c r="I3" s="14" t="str">
        <x:v>Distributor</x:v>
      </x:c>
      <x:c r="J3" s="14" t="str">
        <x:v>Midwest</x:v>
      </x:c>
    </x:row>
    <x:row r="4">
      <x:c r="A4" s="50" t="n">
        <x:v>45995</x:v>
      </x:c>
      <x:c r="B4" s="14" t="str">
        <x:v>SKU-0071</x:v>
      </x:c>
      <x:c r="C4" s="52" t="n">
        <x:v>10</x:v>
      </x:c>
      <x:c r="D4" s="40" t="n">
        <x:v>383.29</x:v>
      </x:c>
      <x:c r="E4" s="44" t="n">
        <x:f>C4*D4</x:f>
        <x:v>3832.9</x:v>
      </x:c>
      <x:c r="F4" s="40" t="n">
        <x:v>198.68</x:v>
      </x:c>
      <x:c r="G4" s="44" t="n">
        <x:f>C4*F4</x:f>
        <x:v>1986.8000000000002</x:v>
      </x:c>
      <x:c r="H4" s="44" t="n">
        <x:f>E4-G4</x:f>
        <x:v>1846.1</x:v>
      </x:c>
      <x:c r="I4" s="14" t="str">
        <x:v>Enterprise</x:v>
      </x:c>
      <x:c r="J4" s="14" t="str">
        <x:v>Midwest</x:v>
      </x:c>
    </x:row>
    <x:row r="5">
      <x:c r="A5" s="50" t="n">
        <x:v>46088</x:v>
      </x:c>
      <x:c r="B5" s="14" t="str">
        <x:v>SKU-0045</x:v>
      </x:c>
      <x:c r="C5" s="52" t="n">
        <x:v>9</x:v>
      </x:c>
      <x:c r="D5" s="40" t="n">
        <x:v>104.34</x:v>
      </x:c>
      <x:c r="E5" s="44" t="n">
        <x:f>C5*D5</x:f>
        <x:v>939.0600000000001</x:v>
      </x:c>
      <x:c r="F5" s="40" t="n">
        <x:v>68.89</x:v>
      </x:c>
      <x:c r="G5" s="44" t="n">
        <x:f>C5*F5</x:f>
        <x:v>620.01</x:v>
      </x:c>
      <x:c r="H5" s="44" t="n">
        <x:f>E5-G5</x:f>
        <x:v>319.05000000000007</x:v>
      </x:c>
      <x:c r="I5" s="14" t="str">
        <x:v>Distributor</x:v>
      </x:c>
      <x:c r="J5" s="14" t="str">
        <x:v>Northeast</x:v>
      </x:c>
    </x:row>
    <x:row r="6">
      <x:c r="A6" s="50" t="n">
        <x:v>46011</x:v>
      </x:c>
      <x:c r="B6" s="14" t="str">
        <x:v>SKU-0132</x:v>
      </x:c>
      <x:c r="C6" s="52" t="n">
        <x:v>12</x:v>
      </x:c>
      <x:c r="D6" s="40" t="n">
        <x:v>370.29</x:v>
      </x:c>
      <x:c r="E6" s="44" t="n">
        <x:f>C6*D6</x:f>
        <x:v>4443.4800000000005</x:v>
      </x:c>
      <x:c r="F6" s="40" t="n">
        <x:v>177.71</x:v>
      </x:c>
      <x:c r="G6" s="44" t="n">
        <x:f>C6*F6</x:f>
        <x:v>2132.52</x:v>
      </x:c>
      <x:c r="H6" s="44" t="n">
        <x:f>E6-G6</x:f>
        <x:v>2310.9600000000005</x:v>
      </x:c>
      <x:c r="I6" s="14" t="str">
        <x:v>Internal Use</x:v>
      </x:c>
      <x:c r="J6" s="14" t="str">
        <x:v>Southeast</x:v>
      </x:c>
    </x:row>
    <x:row r="7">
      <x:c r="A7" s="50" t="n">
        <x:v>46114</x:v>
      </x:c>
      <x:c r="B7" s="14" t="str">
        <x:v>SKU-0087</x:v>
      </x:c>
      <x:c r="C7" s="52" t="n">
        <x:v>100</x:v>
      </x:c>
      <x:c r="D7" s="40" t="n">
        <x:v>357.88</x:v>
      </x:c>
      <x:c r="E7" s="44" t="n">
        <x:f>C7*D7</x:f>
        <x:v>35788</x:v>
      </x:c>
      <x:c r="F7" s="40" t="n">
        <x:v>194.73</x:v>
      </x:c>
      <x:c r="G7" s="44" t="n">
        <x:f>C7*F7</x:f>
        <x:v>19473</x:v>
      </x:c>
      <x:c r="H7" s="44" t="n">
        <x:f>E7-G7</x:f>
        <x:v>16315</x:v>
      </x:c>
      <x:c r="I7" s="14" t="str">
        <x:v>Internal Use</x:v>
      </x:c>
      <x:c r="J7" s="14" t="str">
        <x:v>Northeast</x:v>
      </x:c>
    </x:row>
    <x:row r="8">
      <x:c r="A8" s="50" t="n">
        <x:v>45914</x:v>
      </x:c>
      <x:c r="B8" s="14" t="str">
        <x:v>SKU-0067</x:v>
      </x:c>
      <x:c r="C8" s="52" t="n">
        <x:v>4</x:v>
      </x:c>
      <x:c r="D8" s="40" t="n">
        <x:v>134.23</x:v>
      </x:c>
      <x:c r="E8" s="44" t="n">
        <x:f>C8*D8</x:f>
        <x:v>536.92</x:v>
      </x:c>
      <x:c r="F8" s="40" t="n">
        <x:v>113.7</x:v>
      </x:c>
      <x:c r="G8" s="44" t="n">
        <x:f>C8*F8</x:f>
        <x:v>454.8</x:v>
      </x:c>
      <x:c r="H8" s="44" t="n">
        <x:f>E8-G8</x:f>
        <x:v>82.11999999999995</x:v>
      </x:c>
      <x:c r="I8" s="14" t="str">
        <x:v>SMB</x:v>
      </x:c>
      <x:c r="J8" s="14" t="str">
        <x:v>Midwest</x:v>
      </x:c>
    </x:row>
    <x:row r="9">
      <x:c r="A9" s="50" t="n">
        <x:v>46060</x:v>
      </x:c>
      <x:c r="B9" s="14" t="str">
        <x:v>SKU-0106</x:v>
      </x:c>
      <x:c r="C9" s="52" t="n">
        <x:v>9</x:v>
      </x:c>
      <x:c r="D9" s="40" t="n">
        <x:v>313.22</x:v>
      </x:c>
      <x:c r="E9" s="44" t="n">
        <x:f>C9*D9</x:f>
        <x:v>2818.9800000000005</x:v>
      </x:c>
      <x:c r="F9" s="40" t="n">
        <x:v>220.84</x:v>
      </x:c>
      <x:c r="G9" s="44" t="n">
        <x:f>C9*F9</x:f>
        <x:v>1987.56</x:v>
      </x:c>
      <x:c r="H9" s="44" t="n">
        <x:f>E9-G9</x:f>
        <x:v>831.4200000000005</x:v>
      </x:c>
      <x:c r="I9" s="14" t="str">
        <x:v>SMB</x:v>
      </x:c>
      <x:c r="J9" s="14" t="str">
        <x:v>Midwest</x:v>
      </x:c>
    </x:row>
    <x:row r="10">
      <x:c r="A10" s="50" t="n">
        <x:v>46084</x:v>
      </x:c>
      <x:c r="B10" s="14" t="str">
        <x:v>SKU-0024</x:v>
      </x:c>
      <x:c r="C10" s="52" t="n">
        <x:v>34</x:v>
      </x:c>
      <x:c r="D10" s="40" t="n">
        <x:v>223.83</x:v>
      </x:c>
      <x:c r="E10" s="44" t="n">
        <x:f>C10*D10</x:f>
        <x:v>7610.22</x:v>
      </x:c>
      <x:c r="F10" s="40" t="n">
        <x:v>151.69</x:v>
      </x:c>
      <x:c r="G10" s="44" t="n">
        <x:f>C10*F10</x:f>
        <x:v>5157.46</x:v>
      </x:c>
      <x:c r="H10" s="44" t="n">
        <x:f>E10-G10</x:f>
        <x:v>2452.76</x:v>
      </x:c>
      <x:c r="I10" s="14" t="str">
        <x:v>SMB</x:v>
      </x:c>
      <x:c r="J10" s="14" t="str">
        <x:v>West</x:v>
      </x:c>
    </x:row>
    <x:row r="11">
      <x:c r="A11" s="50" t="n">
        <x:v>46061</x:v>
      </x:c>
      <x:c r="B11" s="14" t="str">
        <x:v>SKU-0081</x:v>
      </x:c>
      <x:c r="C11" s="52" t="n">
        <x:v>3</x:v>
      </x:c>
      <x:c r="D11" s="40" t="n">
        <x:v>281.22</x:v>
      </x:c>
      <x:c r="E11" s="44" t="n">
        <x:f>C11*D11</x:f>
        <x:v>843.6600000000001</x:v>
      </x:c>
      <x:c r="F11" s="40" t="n">
        <x:v>198.25</x:v>
      </x:c>
      <x:c r="G11" s="44" t="n">
        <x:f>C11*F11</x:f>
        <x:v>594.75</x:v>
      </x:c>
      <x:c r="H11" s="44" t="n">
        <x:f>E11-G11</x:f>
        <x:v>248.91000000000008</x:v>
      </x:c>
      <x:c r="I11" s="14" t="str">
        <x:v>SMB</x:v>
      </x:c>
      <x:c r="J11" s="14" t="str">
        <x:v>West</x:v>
      </x:c>
    </x:row>
    <x:row r="12">
      <x:c r="A12" s="50" t="n">
        <x:v>46000</x:v>
      </x:c>
      <x:c r="B12" s="14" t="str">
        <x:v>SKU-0052</x:v>
      </x:c>
      <x:c r="C12" s="52" t="n">
        <x:v>5</x:v>
      </x:c>
      <x:c r="D12" s="40" t="n">
        <x:v>246.75</x:v>
      </x:c>
      <x:c r="E12" s="44" t="n">
        <x:f>C12*D12</x:f>
        <x:v>1233.75</x:v>
      </x:c>
      <x:c r="F12" s="40" t="n">
        <x:v>210.35</x:v>
      </x:c>
      <x:c r="G12" s="44" t="n">
        <x:f>C12*F12</x:f>
        <x:v>1051.75</x:v>
      </x:c>
      <x:c r="H12" s="44" t="n">
        <x:f>E12-G12</x:f>
        <x:v>182</x:v>
      </x:c>
      <x:c r="I12" s="14" t="str">
        <x:v>Distributor</x:v>
      </x:c>
      <x:c r="J12" s="14" t="str">
        <x:v>Southeast</x:v>
      </x:c>
    </x:row>
    <x:row r="13">
      <x:c r="A13" s="50" t="n">
        <x:v>45941</x:v>
      </x:c>
      <x:c r="B13" s="14" t="str">
        <x:v>SKU-0028</x:v>
      </x:c>
      <x:c r="C13" s="52" t="n">
        <x:v>16</x:v>
      </x:c>
      <x:c r="D13" s="40" t="n">
        <x:v>368.57</x:v>
      </x:c>
      <x:c r="E13" s="44" t="n">
        <x:f>C13*D13</x:f>
        <x:v>5897.12</x:v>
      </x:c>
      <x:c r="F13" s="40" t="n">
        <x:v>274.39</x:v>
      </x:c>
      <x:c r="G13" s="44" t="n">
        <x:f>C13*F13</x:f>
        <x:v>4390.24</x:v>
      </x:c>
      <x:c r="H13" s="44" t="n">
        <x:f>E13-G13</x:f>
        <x:v>1506.88</x:v>
      </x:c>
      <x:c r="I13" s="14" t="str">
        <x:v>Enterprise</x:v>
      </x:c>
      <x:c r="J13" s="14" t="str">
        <x:v>West</x:v>
      </x:c>
    </x:row>
    <x:row r="14">
      <x:c r="A14" s="50" t="n">
        <x:v>46197</x:v>
      </x:c>
      <x:c r="B14" s="14" t="str">
        <x:v>SKU-0096</x:v>
      </x:c>
      <x:c r="C14" s="52" t="n">
        <x:v>30</x:v>
      </x:c>
      <x:c r="D14" s="40" t="n">
        <x:v>48.73</x:v>
      </x:c>
      <x:c r="E14" s="44" t="n">
        <x:f>C14*D14</x:f>
        <x:v>1461.8999999999999</x:v>
      </x:c>
      <x:c r="F14" s="40" t="n">
        <x:v>29.46</x:v>
      </x:c>
      <x:c r="G14" s="44" t="n">
        <x:f>C14*F14</x:f>
        <x:v>883.8000000000001</x:v>
      </x:c>
      <x:c r="H14" s="44" t="n">
        <x:f>E14-G14</x:f>
        <x:v>578.0999999999998</x:v>
      </x:c>
      <x:c r="I14" s="14" t="str">
        <x:v>SMB</x:v>
      </x:c>
      <x:c r="J14" s="14" t="str">
        <x:v>Midwest</x:v>
      </x:c>
    </x:row>
    <x:row r="15">
      <x:c r="A15" s="50" t="n">
        <x:v>45993</x:v>
      </x:c>
      <x:c r="B15" s="14" t="str">
        <x:v>SKU-0102</x:v>
      </x:c>
      <x:c r="C15" s="52" t="n">
        <x:v>13</x:v>
      </x:c>
      <x:c r="D15" s="40" t="n">
        <x:v>352.89</x:v>
      </x:c>
      <x:c r="E15" s="44" t="n">
        <x:f>C15*D15</x:f>
        <x:v>4587.57</x:v>
      </x:c>
      <x:c r="F15" s="40" t="n">
        <x:v>278.87</x:v>
      </x:c>
      <x:c r="G15" s="44" t="n">
        <x:f>C15*F15</x:f>
        <x:v>3625.31</x:v>
      </x:c>
      <x:c r="H15" s="44" t="n">
        <x:f>E15-G15</x:f>
        <x:v>962.2599999999998</x:v>
      </x:c>
      <x:c r="I15" s="14" t="str">
        <x:v>Internal Use</x:v>
      </x:c>
      <x:c r="J15" s="14" t="str">
        <x:v>West</x:v>
      </x:c>
    </x:row>
    <x:row r="16">
      <x:c r="A16" s="50" t="n">
        <x:v>45896</x:v>
      </x:c>
      <x:c r="B16" s="14" t="str">
        <x:v>SKU-0139</x:v>
      </x:c>
      <x:c r="C16" s="52" t="n">
        <x:v>9</x:v>
      </x:c>
      <x:c r="D16" s="40" t="n">
        <x:v>280.96</x:v>
      </x:c>
      <x:c r="E16" s="44" t="n">
        <x:f>C16*D16</x:f>
        <x:v>2528.64</x:v>
      </x:c>
      <x:c r="F16" s="40" t="n">
        <x:v>157.6</x:v>
      </x:c>
      <x:c r="G16" s="44" t="n">
        <x:f>C16*F16</x:f>
        <x:v>1418.3999999999999</x:v>
      </x:c>
      <x:c r="H16" s="44" t="n">
        <x:f>E16-G16</x:f>
        <x:v>1110.24</x:v>
      </x:c>
      <x:c r="I16" s="14" t="str">
        <x:v>SMB</x:v>
      </x:c>
      <x:c r="J16" s="14" t="str">
        <x:v>West</x:v>
      </x:c>
    </x:row>
    <x:row r="17">
      <x:c r="A17" s="50" t="n">
        <x:v>46237</x:v>
      </x:c>
      <x:c r="B17" s="14" t="str">
        <x:v>SKU-0031</x:v>
      </x:c>
      <x:c r="C17" s="52" t="n">
        <x:v>9</x:v>
      </x:c>
      <x:c r="D17" s="40" t="n">
        <x:v>274.9</x:v>
      </x:c>
      <x:c r="E17" s="44" t="n">
        <x:f>C17*D17</x:f>
        <x:v>2474.1</x:v>
      </x:c>
      <x:c r="F17" s="40" t="n">
        <x:v>247.09</x:v>
      </x:c>
      <x:c r="G17" s="44" t="n">
        <x:f>C17*F17</x:f>
        <x:v>2223.81</x:v>
      </x:c>
      <x:c r="H17" s="44" t="n">
        <x:f>E17-G17</x:f>
        <x:v>250.28999999999996</x:v>
      </x:c>
      <x:c r="I17" s="14" t="str">
        <x:v>SMB</x:v>
      </x:c>
      <x:c r="J17" s="14" t="str">
        <x:v>West</x:v>
      </x:c>
    </x:row>
    <x:row r="18">
      <x:c r="A18" s="50" t="n">
        <x:v>45931</x:v>
      </x:c>
      <x:c r="B18" s="14" t="str">
        <x:v>SKU-0149</x:v>
      </x:c>
      <x:c r="C18" s="52" t="n">
        <x:v>4</x:v>
      </x:c>
      <x:c r="D18" s="40" t="n">
        <x:v>382.54</x:v>
      </x:c>
      <x:c r="E18" s="44" t="n">
        <x:f>C18*D18</x:f>
        <x:v>1530.16</x:v>
      </x:c>
      <x:c r="F18" s="40" t="n">
        <x:v>257.08</x:v>
      </x:c>
      <x:c r="G18" s="44" t="n">
        <x:f>C18*F18</x:f>
        <x:v>1028.32</x:v>
      </x:c>
      <x:c r="H18" s="44" t="n">
        <x:f>E18-G18</x:f>
        <x:v>501.84000000000015</x:v>
      </x:c>
      <x:c r="I18" s="14" t="str">
        <x:v>Distributor</x:v>
      </x:c>
      <x:c r="J18" s="14" t="str">
        <x:v>Southeast</x:v>
      </x:c>
    </x:row>
    <x:row r="19">
      <x:c r="A19" s="50" t="n">
        <x:v>46121</x:v>
      </x:c>
      <x:c r="B19" s="14" t="str">
        <x:v>SKU-0069</x:v>
      </x:c>
      <x:c r="C19" s="52" t="n">
        <x:v>23</x:v>
      </x:c>
      <x:c r="D19" s="40" t="n">
        <x:v>368.49</x:v>
      </x:c>
      <x:c r="E19" s="44" t="n">
        <x:f>C19*D19</x:f>
        <x:v>8475.27</x:v>
      </x:c>
      <x:c r="F19" s="40" t="n">
        <x:v>277.23</x:v>
      </x:c>
      <x:c r="G19" s="44" t="n">
        <x:f>C19*F19</x:f>
        <x:v>6376.290000000001</x:v>
      </x:c>
      <x:c r="H19" s="44" t="n">
        <x:f>E19-G19</x:f>
        <x:v>2098.9799999999996</x:v>
      </x:c>
      <x:c r="I19" s="14" t="str">
        <x:v>Internal Use</x:v>
      </x:c>
      <x:c r="J19" s="14" t="str">
        <x:v>Southeast</x:v>
      </x:c>
    </x:row>
    <x:row r="20">
      <x:c r="A20" s="50" t="n">
        <x:v>46238</x:v>
      </x:c>
      <x:c r="B20" s="14" t="str">
        <x:v>SKU-0108</x:v>
      </x:c>
      <x:c r="C20" s="52" t="n">
        <x:v>15</x:v>
      </x:c>
      <x:c r="D20" s="40" t="n">
        <x:v>303.99</x:v>
      </x:c>
      <x:c r="E20" s="44" t="n">
        <x:f>C20*D20</x:f>
        <x:v>4559.85</x:v>
      </x:c>
      <x:c r="F20" s="40" t="n">
        <x:v>242.94</x:v>
      </x:c>
      <x:c r="G20" s="44" t="n">
        <x:f>C20*F20</x:f>
        <x:v>3644.1</x:v>
      </x:c>
      <x:c r="H20" s="44" t="n">
        <x:f>E20-G20</x:f>
        <x:v>915.7500000000005</x:v>
      </x:c>
      <x:c r="I20" s="14" t="str">
        <x:v>Internal Use</x:v>
      </x:c>
      <x:c r="J20" s="14" t="str">
        <x:v>Southeast</x:v>
      </x:c>
    </x:row>
    <x:row r="21">
      <x:c r="A21" s="50" t="n">
        <x:v>45947</x:v>
      </x:c>
      <x:c r="B21" s="14" t="str">
        <x:v>SKU-0147</x:v>
      </x:c>
      <x:c r="C21" s="52" t="n">
        <x:v>42</x:v>
      </x:c>
      <x:c r="D21" s="40" t="n">
        <x:v>62.58</x:v>
      </x:c>
      <x:c r="E21" s="44" t="n">
        <x:f>C21*D21</x:f>
        <x:v>2628.36</x:v>
      </x:c>
      <x:c r="F21" s="40" t="n">
        <x:v>27.95</x:v>
      </x:c>
      <x:c r="G21" s="44" t="n">
        <x:f>C21*F21</x:f>
        <x:v>1173.8999999999999</x:v>
      </x:c>
      <x:c r="H21" s="44" t="n">
        <x:f>E21-G21</x:f>
        <x:v>1454.4600000000003</x:v>
      </x:c>
      <x:c r="I21" s="14" t="str">
        <x:v>Internal Use</x:v>
      </x:c>
      <x:c r="J21" s="14" t="str">
        <x:v>West</x:v>
      </x:c>
    </x:row>
    <x:row r="22">
      <x:c r="A22" s="50" t="n">
        <x:v>45954</x:v>
      </x:c>
      <x:c r="B22" s="14" t="str">
        <x:v>SKU-0051</x:v>
      </x:c>
      <x:c r="C22" s="52" t="n">
        <x:v>43</x:v>
      </x:c>
      <x:c r="D22" s="40" t="n">
        <x:v>105.24</x:v>
      </x:c>
      <x:c r="E22" s="44" t="n">
        <x:f>C22*D22</x:f>
        <x:v>4525.32</x:v>
      </x:c>
      <x:c r="F22" s="40" t="n">
        <x:v>74.69</x:v>
      </x:c>
      <x:c r="G22" s="44" t="n">
        <x:f>C22*F22</x:f>
        <x:v>3211.67</x:v>
      </x:c>
      <x:c r="H22" s="44" t="n">
        <x:f>E22-G22</x:f>
        <x:v>1313.6499999999996</x:v>
      </x:c>
      <x:c r="I22" s="14" t="str">
        <x:v>Enterprise</x:v>
      </x:c>
      <x:c r="J22" s="14" t="str">
        <x:v>Southeast</x:v>
      </x:c>
    </x:row>
    <x:row r="23">
      <x:c r="A23" s="50" t="n">
        <x:v>46135</x:v>
      </x:c>
      <x:c r="B23" s="14" t="str">
        <x:v>SKU-0108</x:v>
      </x:c>
      <x:c r="C23" s="52" t="n">
        <x:v>13</x:v>
      </x:c>
      <x:c r="D23" s="40" t="n">
        <x:v>299.96</x:v>
      </x:c>
      <x:c r="E23" s="44" t="n">
        <x:f>C23*D23</x:f>
        <x:v>3899.4799999999996</x:v>
      </x:c>
      <x:c r="F23" s="40" t="n">
        <x:v>242.94</x:v>
      </x:c>
      <x:c r="G23" s="44" t="n">
        <x:f>C23*F23</x:f>
        <x:v>3158.22</x:v>
      </x:c>
      <x:c r="H23" s="44" t="n">
        <x:f>E23-G23</x:f>
        <x:v>741.2599999999998</x:v>
      </x:c>
      <x:c r="I23" s="14" t="str">
        <x:v>Internal Use</x:v>
      </x:c>
      <x:c r="J23" s="14" t="str">
        <x:v>Midwest</x:v>
      </x:c>
    </x:row>
    <x:row r="24">
      <x:c r="A24" s="50" t="n">
        <x:v>46167</x:v>
      </x:c>
      <x:c r="B24" s="14" t="str">
        <x:v>SKU-0065</x:v>
      </x:c>
      <x:c r="C24" s="52" t="n">
        <x:v>4</x:v>
      </x:c>
      <x:c r="D24" s="40" t="n">
        <x:v>59.87</x:v>
      </x:c>
      <x:c r="E24" s="44" t="n">
        <x:f>C24*D24</x:f>
        <x:v>239.48</x:v>
      </x:c>
      <x:c r="F24" s="40" t="n">
        <x:v>52.3</x:v>
      </x:c>
      <x:c r="G24" s="44" t="n">
        <x:f>C24*F24</x:f>
        <x:v>209.2</x:v>
      </x:c>
      <x:c r="H24" s="44" t="n">
        <x:f>E24-G24</x:f>
        <x:v>30.28</x:v>
      </x:c>
      <x:c r="I24" s="14" t="str">
        <x:v>Distributor</x:v>
      </x:c>
      <x:c r="J24" s="14" t="str">
        <x:v>West</x:v>
      </x:c>
    </x:row>
    <x:row r="25">
      <x:c r="A25" s="50" t="n">
        <x:v>46110</x:v>
      </x:c>
      <x:c r="B25" s="14" t="str">
        <x:v>SKU-0025</x:v>
      </x:c>
      <x:c r="C25" s="52" t="n">
        <x:v>14</x:v>
      </x:c>
      <x:c r="D25" s="40" t="n">
        <x:v>528.72</x:v>
      </x:c>
      <x:c r="E25" s="44" t="n">
        <x:f>C25*D25</x:f>
        <x:v>7402.08</x:v>
      </x:c>
      <x:c r="F25" s="40" t="n">
        <x:v>275.52</x:v>
      </x:c>
      <x:c r="G25" s="44" t="n">
        <x:f>C25*F25</x:f>
        <x:v>3857.2799999999997</x:v>
      </x:c>
      <x:c r="H25" s="44" t="n">
        <x:f>E25-G25</x:f>
        <x:v>3544.8</x:v>
      </x:c>
      <x:c r="I25" s="14" t="str">
        <x:v>Distributor</x:v>
      </x:c>
      <x:c r="J25" s="14" t="str">
        <x:v>Midwest</x:v>
      </x:c>
    </x:row>
    <x:row r="26">
      <x:c r="A26" s="50" t="n">
        <x:v>46090</x:v>
      </x:c>
      <x:c r="B26" s="14" t="str">
        <x:v>SKU-0006</x:v>
      </x:c>
      <x:c r="C26" s="52" t="n">
        <x:v>12</x:v>
      </x:c>
      <x:c r="D26" s="40" t="n">
        <x:v>274.16</x:v>
      </x:c>
      <x:c r="E26" s="44" t="n">
        <x:f>C26*D26</x:f>
        <x:v>3289.92</x:v>
      </x:c>
      <x:c r="F26" s="40" t="n">
        <x:v>241.37</x:v>
      </x:c>
      <x:c r="G26" s="44" t="n">
        <x:f>C26*F26</x:f>
        <x:v>2896.44</x:v>
      </x:c>
      <x:c r="H26" s="44" t="n">
        <x:f>E26-G26</x:f>
        <x:v>393.48</x:v>
      </x:c>
      <x:c r="I26" s="14" t="str">
        <x:v>Distributor</x:v>
      </x:c>
      <x:c r="J26" s="14" t="str">
        <x:v>Midwest</x:v>
      </x:c>
    </x:row>
    <x:row r="27">
      <x:c r="A27" s="50" t="n">
        <x:v>46224</x:v>
      </x:c>
      <x:c r="B27" s="14" t="str">
        <x:v>SKU-0084</x:v>
      </x:c>
      <x:c r="C27" s="52" t="n">
        <x:v>9</x:v>
      </x:c>
      <x:c r="D27" s="40" t="n">
        <x:v>220.24</x:v>
      </x:c>
      <x:c r="E27" s="44" t="n">
        <x:f>C27*D27</x:f>
        <x:v>1982.16</x:v>
      </x:c>
      <x:c r="F27" s="40" t="n">
        <x:v>108.77</x:v>
      </x:c>
      <x:c r="G27" s="44" t="n">
        <x:f>C27*F27</x:f>
        <x:v>978.93</x:v>
      </x:c>
      <x:c r="H27" s="44" t="n">
        <x:f>E27-G27</x:f>
        <x:v>1003.2300000000001</x:v>
      </x:c>
      <x:c r="I27" s="14" t="str">
        <x:v>Enterprise</x:v>
      </x:c>
      <x:c r="J27" s="14" t="str">
        <x:v>West</x:v>
      </x:c>
    </x:row>
    <x:row r="28">
      <x:c r="A28" s="50" t="n">
        <x:v>46117</x:v>
      </x:c>
      <x:c r="B28" s="14" t="str">
        <x:v>SKU-0074</x:v>
      </x:c>
      <x:c r="C28" s="52" t="n">
        <x:v>11</x:v>
      </x:c>
      <x:c r="D28" s="40" t="n">
        <x:v>329.95</x:v>
      </x:c>
      <x:c r="E28" s="44" t="n">
        <x:f>C28*D28</x:f>
        <x:v>3629.45</x:v>
      </x:c>
      <x:c r="F28" s="40" t="n">
        <x:v>206.33</x:v>
      </x:c>
      <x:c r="G28" s="44" t="n">
        <x:f>C28*F28</x:f>
        <x:v>2269.63</x:v>
      </x:c>
      <x:c r="H28" s="44" t="n">
        <x:f>E28-G28</x:f>
        <x:v>1359.8199999999997</x:v>
      </x:c>
      <x:c r="I28" s="14" t="str">
        <x:v>Distributor</x:v>
      </x:c>
      <x:c r="J28" s="14" t="str">
        <x:v>West</x:v>
      </x:c>
    </x:row>
    <x:row r="29">
      <x:c r="A29" s="50" t="n">
        <x:v>46087</x:v>
      </x:c>
      <x:c r="B29" s="14" t="str">
        <x:v>SKU-0147</x:v>
      </x:c>
      <x:c r="C29" s="52" t="n">
        <x:v>4</x:v>
      </x:c>
      <x:c r="D29" s="40" t="n">
        <x:v>58.1</x:v>
      </x:c>
      <x:c r="E29" s="44" t="n">
        <x:f>C29*D29</x:f>
        <x:v>232.4</x:v>
      </x:c>
      <x:c r="F29" s="40" t="n">
        <x:v>27.95</x:v>
      </x:c>
      <x:c r="G29" s="44" t="n">
        <x:f>C29*F29</x:f>
        <x:v>111.8</x:v>
      </x:c>
      <x:c r="H29" s="44" t="n">
        <x:f>E29-G29</x:f>
        <x:v>120.60000000000001</x:v>
      </x:c>
      <x:c r="I29" s="14" t="str">
        <x:v>Distributor</x:v>
      </x:c>
      <x:c r="J29" s="14" t="str">
        <x:v>Midwest</x:v>
      </x:c>
    </x:row>
    <x:row r="30">
      <x:c r="A30" s="50" t="n">
        <x:v>46018</x:v>
      </x:c>
      <x:c r="B30" s="14" t="str">
        <x:v>SKU-0102</x:v>
      </x:c>
      <x:c r="C30" s="52" t="n">
        <x:v>9</x:v>
      </x:c>
      <x:c r="D30" s="40" t="n">
        <x:v>333.51</x:v>
      </x:c>
      <x:c r="E30" s="44" t="n">
        <x:f>C30*D30</x:f>
        <x:v>3001.59</x:v>
      </x:c>
      <x:c r="F30" s="40" t="n">
        <x:v>278.87</x:v>
      </x:c>
      <x:c r="G30" s="44" t="n">
        <x:f>C30*F30</x:f>
        <x:v>2509.83</x:v>
      </x:c>
      <x:c r="H30" s="44" t="n">
        <x:f>E30-G30</x:f>
        <x:v>491.7600000000002</x:v>
      </x:c>
      <x:c r="I30" s="14" t="str">
        <x:v>Enterprise</x:v>
      </x:c>
      <x:c r="J30" s="14" t="str">
        <x:v>Southeast</x:v>
      </x:c>
    </x:row>
    <x:row r="31">
      <x:c r="A31" s="50" t="n">
        <x:v>46218</x:v>
      </x:c>
      <x:c r="B31" s="14" t="str">
        <x:v>SKU-0061</x:v>
      </x:c>
      <x:c r="C31" s="52" t="n">
        <x:v>2</x:v>
      </x:c>
      <x:c r="D31" s="40" t="n">
        <x:v>327.98</x:v>
      </x:c>
      <x:c r="E31" s="44" t="n">
        <x:f>C31*D31</x:f>
        <x:v>655.96</x:v>
      </x:c>
      <x:c r="F31" s="40" t="n">
        <x:v>202.32</x:v>
      </x:c>
      <x:c r="G31" s="44" t="n">
        <x:f>C31*F31</x:f>
        <x:v>404.64</x:v>
      </x:c>
      <x:c r="H31" s="44" t="n">
        <x:f>E31-G31</x:f>
        <x:v>251.32000000000005</x:v>
      </x:c>
      <x:c r="I31" s="14" t="str">
        <x:v>SMB</x:v>
      </x:c>
      <x:c r="J31" s="14" t="str">
        <x:v>Southeast</x:v>
      </x:c>
    </x:row>
    <x:row r="32">
      <x:c r="A32" s="50" t="n">
        <x:v>45932</x:v>
      </x:c>
      <x:c r="B32" s="14" t="str">
        <x:v>SKU-0102</x:v>
      </x:c>
      <x:c r="C32" s="52" t="n">
        <x:v>8</x:v>
      </x:c>
      <x:c r="D32" s="40" t="n">
        <x:v>366.15</x:v>
      </x:c>
      <x:c r="E32" s="44" t="n">
        <x:f>C32*D32</x:f>
        <x:v>2929.2</x:v>
      </x:c>
      <x:c r="F32" s="40" t="n">
        <x:v>278.87</x:v>
      </x:c>
      <x:c r="G32" s="44" t="n">
        <x:f>C32*F32</x:f>
        <x:v>2230.96</x:v>
      </x:c>
      <x:c r="H32" s="44" t="n">
        <x:f>E32-G32</x:f>
        <x:v>698.2399999999998</x:v>
      </x:c>
      <x:c r="I32" s="14" t="str">
        <x:v>Enterprise</x:v>
      </x:c>
      <x:c r="J32" s="14" t="str">
        <x:v>Northeast</x:v>
      </x:c>
    </x:row>
    <x:row r="33">
      <x:c r="A33" s="50" t="n">
        <x:v>46196</x:v>
      </x:c>
      <x:c r="B33" s="14" t="str">
        <x:v>SKU-0068</x:v>
      </x:c>
      <x:c r="C33" s="52" t="n">
        <x:v>2</x:v>
      </x:c>
      <x:c r="D33" s="40" t="n">
        <x:v>248.7</x:v>
      </x:c>
      <x:c r="E33" s="44" t="n">
        <x:f>C33*D33</x:f>
        <x:v>497.4</x:v>
      </x:c>
      <x:c r="F33" s="40" t="n">
        <x:v>157.37</x:v>
      </x:c>
      <x:c r="G33" s="44" t="n">
        <x:f>C33*F33</x:f>
        <x:v>314.74</x:v>
      </x:c>
      <x:c r="H33" s="44" t="n">
        <x:f>E33-G33</x:f>
        <x:v>182.65999999999997</x:v>
      </x:c>
      <x:c r="I33" s="14" t="str">
        <x:v>Distributor</x:v>
      </x:c>
      <x:c r="J33" s="14" t="str">
        <x:v>Southeast</x:v>
      </x:c>
    </x:row>
    <x:row r="34">
      <x:c r="A34" s="50" t="n">
        <x:v>46025</x:v>
      </x:c>
      <x:c r="B34" s="14" t="str">
        <x:v>SKU-0064</x:v>
      </x:c>
      <x:c r="C34" s="52" t="n">
        <x:v>8</x:v>
      </x:c>
      <x:c r="D34" s="40" t="n">
        <x:v>97.77</x:v>
      </x:c>
      <x:c r="E34" s="44" t="n">
        <x:f>C34*D34</x:f>
        <x:v>782.16</x:v>
      </x:c>
      <x:c r="F34" s="40" t="n">
        <x:v>62.55</x:v>
      </x:c>
      <x:c r="G34" s="44" t="n">
        <x:f>C34*F34</x:f>
        <x:v>500.4</x:v>
      </x:c>
      <x:c r="H34" s="44" t="n">
        <x:f>E34-G34</x:f>
        <x:v>281.76</x:v>
      </x:c>
      <x:c r="I34" s="14" t="str">
        <x:v>SMB</x:v>
      </x:c>
      <x:c r="J34" s="14" t="str">
        <x:v>Northeast</x:v>
      </x:c>
    </x:row>
    <x:row r="35">
      <x:c r="A35" s="50" t="n">
        <x:v>46219</x:v>
      </x:c>
      <x:c r="B35" s="14" t="str">
        <x:v>SKU-0009</x:v>
      </x:c>
      <x:c r="C35" s="52" t="n">
        <x:v>1</x:v>
      </x:c>
      <x:c r="D35" s="40" t="n">
        <x:v>18.14</x:v>
      </x:c>
      <x:c r="E35" s="44" t="n">
        <x:f>C35*D35</x:f>
        <x:v>18.14</x:v>
      </x:c>
      <x:c r="F35" s="40" t="n">
        <x:v>7.9</x:v>
      </x:c>
      <x:c r="G35" s="44" t="n">
        <x:f>C35*F35</x:f>
        <x:v>7.9</x:v>
      </x:c>
      <x:c r="H35" s="44" t="n">
        <x:f>E35-G35</x:f>
        <x:v>10.24</x:v>
      </x:c>
      <x:c r="I35" s="14" t="str">
        <x:v>Internal Use</x:v>
      </x:c>
      <x:c r="J35" s="14" t="str">
        <x:v>Midwest</x:v>
      </x:c>
    </x:row>
    <x:row r="36">
      <x:c r="A36" s="50" t="n">
        <x:v>46107</x:v>
      </x:c>
      <x:c r="B36" s="14" t="str">
        <x:v>SKU-0141</x:v>
      </x:c>
      <x:c r="C36" s="52" t="n">
        <x:v>10</x:v>
      </x:c>
      <x:c r="D36" s="40" t="n">
        <x:v>357.73</x:v>
      </x:c>
      <x:c r="E36" s="44" t="n">
        <x:f>C36*D36</x:f>
        <x:v>3577.3</x:v>
      </x:c>
      <x:c r="F36" s="40" t="n">
        <x:v>279.99</x:v>
      </x:c>
      <x:c r="G36" s="44" t="n">
        <x:f>C36*F36</x:f>
        <x:v>2799.9</x:v>
      </x:c>
      <x:c r="H36" s="44" t="n">
        <x:f>E36-G36</x:f>
        <x:v>777.4000000000001</x:v>
      </x:c>
      <x:c r="I36" s="14" t="str">
        <x:v>Internal Use</x:v>
      </x:c>
      <x:c r="J36" s="14" t="str">
        <x:v>Midwest</x:v>
      </x:c>
    </x:row>
    <x:row r="37">
      <x:c r="A37" s="50" t="n">
        <x:v>46126</x:v>
      </x:c>
      <x:c r="B37" s="14" t="str">
        <x:v>SKU-0089</x:v>
      </x:c>
      <x:c r="C37" s="52" t="n">
        <x:v>11</x:v>
      </x:c>
      <x:c r="D37" s="40" t="n">
        <x:v>67.17</x:v>
      </x:c>
      <x:c r="E37" s="44" t="n">
        <x:f>C37*D37</x:f>
        <x:v>738.87</x:v>
      </x:c>
      <x:c r="F37" s="40" t="n">
        <x:v>48.67</x:v>
      </x:c>
      <x:c r="G37" s="44" t="n">
        <x:f>C37*F37</x:f>
        <x:v>535.37</x:v>
      </x:c>
      <x:c r="H37" s="44" t="n">
        <x:f>E37-G37</x:f>
        <x:v>203.5</x:v>
      </x:c>
      <x:c r="I37" s="14" t="str">
        <x:v>Distributor</x:v>
      </x:c>
      <x:c r="J37" s="14" t="str">
        <x:v>West</x:v>
      </x:c>
    </x:row>
    <x:row r="38">
      <x:c r="A38" s="50" t="n">
        <x:v>45959</x:v>
      </x:c>
      <x:c r="B38" s="14" t="str">
        <x:v>SKU-0067</x:v>
      </x:c>
      <x:c r="C38" s="52" t="n">
        <x:v>6</x:v>
      </x:c>
      <x:c r="D38" s="40" t="n">
        <x:v>129.65</x:v>
      </x:c>
      <x:c r="E38" s="44" t="n">
        <x:f>C38*D38</x:f>
        <x:v>777.9000000000001</x:v>
      </x:c>
      <x:c r="F38" s="40" t="n">
        <x:v>113.7</x:v>
      </x:c>
      <x:c r="G38" s="44" t="n">
        <x:f>C38*F38</x:f>
        <x:v>682.2</x:v>
      </x:c>
      <x:c r="H38" s="44" t="n">
        <x:f>E38-G38</x:f>
        <x:v>95.70000000000005</x:v>
      </x:c>
      <x:c r="I38" s="14" t="str">
        <x:v>Internal Use</x:v>
      </x:c>
      <x:c r="J38" s="14" t="str">
        <x:v>West</x:v>
      </x:c>
    </x:row>
    <x:row r="39">
      <x:c r="A39" s="50" t="n">
        <x:v>45884</x:v>
      </x:c>
      <x:c r="B39" s="14" t="str">
        <x:v>SKU-0077</x:v>
      </x:c>
      <x:c r="C39" s="52" t="n">
        <x:v>54</x:v>
      </x:c>
      <x:c r="D39" s="40" t="n">
        <x:v>15.99</x:v>
      </x:c>
      <x:c r="E39" s="44" t="n">
        <x:f>C39*D39</x:f>
        <x:v>863.46</x:v>
      </x:c>
      <x:c r="F39" s="40" t="n">
        <x:v>12.68</x:v>
      </x:c>
      <x:c r="G39" s="44" t="n">
        <x:f>C39*F39</x:f>
        <x:v>684.72</x:v>
      </x:c>
      <x:c r="H39" s="44" t="n">
        <x:f>E39-G39</x:f>
        <x:v>178.74</x:v>
      </x:c>
      <x:c r="I39" s="14" t="str">
        <x:v>Enterprise</x:v>
      </x:c>
      <x:c r="J39" s="14" t="str">
        <x:v>Midwest</x:v>
      </x:c>
    </x:row>
    <x:row r="40">
      <x:c r="A40" s="50" t="n">
        <x:v>46090</x:v>
      </x:c>
      <x:c r="B40" s="14" t="str">
        <x:v>SKU-0049</x:v>
      </x:c>
      <x:c r="C40" s="52" t="n">
        <x:v>22</x:v>
      </x:c>
      <x:c r="D40" s="40" t="n">
        <x:v>92.04</x:v>
      </x:c>
      <x:c r="E40" s="44" t="n">
        <x:f>C40*D40</x:f>
        <x:v>2024.88</x:v>
      </x:c>
      <x:c r="F40" s="40" t="n">
        <x:v>63.39</x:v>
      </x:c>
      <x:c r="G40" s="44" t="n">
        <x:f>C40*F40</x:f>
        <x:v>1394.58</x:v>
      </x:c>
      <x:c r="H40" s="44" t="n">
        <x:f>E40-G40</x:f>
        <x:v>630.3000000000002</x:v>
      </x:c>
      <x:c r="I40" s="14" t="str">
        <x:v>Internal Use</x:v>
      </x:c>
      <x:c r="J40" s="14" t="str">
        <x:v>West</x:v>
      </x:c>
    </x:row>
    <x:row r="41">
      <x:c r="A41" s="50" t="n">
        <x:v>46014</x:v>
      </x:c>
      <x:c r="B41" s="14" t="str">
        <x:v>SKU-0057</x:v>
      </x:c>
      <x:c r="C41" s="52" t="n">
        <x:v>1</x:v>
      </x:c>
      <x:c r="D41" s="40" t="n">
        <x:v>177.8</x:v>
      </x:c>
      <x:c r="E41" s="44" t="n">
        <x:f>C41*D41</x:f>
        <x:v>177.8</x:v>
      </x:c>
      <x:c r="F41" s="40" t="n">
        <x:v>122.8</x:v>
      </x:c>
      <x:c r="G41" s="44" t="n">
        <x:f>C41*F41</x:f>
        <x:v>122.8</x:v>
      </x:c>
      <x:c r="H41" s="44" t="n">
        <x:f>E41-G41</x:f>
        <x:v>55.000000000000014</x:v>
      </x:c>
      <x:c r="I41" s="14" t="str">
        <x:v>Distributor</x:v>
      </x:c>
      <x:c r="J41" s="14" t="str">
        <x:v>Midwest</x:v>
      </x:c>
    </x:row>
    <x:row r="42">
      <x:c r="A42" s="50" t="n">
        <x:v>46017</x:v>
      </x:c>
      <x:c r="B42" s="14" t="str">
        <x:v>SKU-0137</x:v>
      </x:c>
      <x:c r="C42" s="52" t="n">
        <x:v>3</x:v>
      </x:c>
      <x:c r="D42" s="40" t="n">
        <x:v>146.05</x:v>
      </x:c>
      <x:c r="E42" s="44" t="n">
        <x:f>C42*D42</x:f>
        <x:v>438.15000000000003</x:v>
      </x:c>
      <x:c r="F42" s="40" t="n">
        <x:v>93.99</x:v>
      </x:c>
      <x:c r="G42" s="44" t="n">
        <x:f>C42*F42</x:f>
        <x:v>281.96999999999997</x:v>
      </x:c>
      <x:c r="H42" s="44" t="n">
        <x:f>E42-G42</x:f>
        <x:v>156.18000000000006</x:v>
      </x:c>
      <x:c r="I42" s="14" t="str">
        <x:v>Distributor</x:v>
      </x:c>
      <x:c r="J42" s="14" t="str">
        <x:v>Northeast</x:v>
      </x:c>
    </x:row>
    <x:row r="43">
      <x:c r="A43" s="50" t="n">
        <x:v>46196</x:v>
      </x:c>
      <x:c r="B43" s="14" t="str">
        <x:v>SKU-0117</x:v>
      </x:c>
      <x:c r="C43" s="52" t="n">
        <x:v>7</x:v>
      </x:c>
      <x:c r="D43" s="40" t="n">
        <x:v>184.09</x:v>
      </x:c>
      <x:c r="E43" s="44" t="n">
        <x:f>C43*D43</x:f>
        <x:v>1288.63</x:v>
      </x:c>
      <x:c r="F43" s="40" t="n">
        <x:v>143.31</x:v>
      </x:c>
      <x:c r="G43" s="44" t="n">
        <x:f>C43*F43</x:f>
        <x:v>1003.1700000000001</x:v>
      </x:c>
      <x:c r="H43" s="44" t="n">
        <x:f>E43-G43</x:f>
        <x:v>285.46000000000004</x:v>
      </x:c>
      <x:c r="I43" s="14" t="str">
        <x:v>Distributor</x:v>
      </x:c>
      <x:c r="J43" s="14" t="str">
        <x:v>Northeast</x:v>
      </x:c>
    </x:row>
    <x:row r="44">
      <x:c r="A44" s="50" t="n">
        <x:v>45905</x:v>
      </x:c>
      <x:c r="B44" s="14" t="str">
        <x:v>SKU-0039</x:v>
      </x:c>
      <x:c r="C44" s="52" t="n">
        <x:v>22</x:v>
      </x:c>
      <x:c r="D44" s="40" t="n">
        <x:v>209.07</x:v>
      </x:c>
      <x:c r="E44" s="44" t="n">
        <x:f>C44*D44</x:f>
        <x:v>4599.54</x:v>
      </x:c>
      <x:c r="F44" s="40" t="n">
        <x:v>125.1</x:v>
      </x:c>
      <x:c r="G44" s="44" t="n">
        <x:f>C44*F44</x:f>
        <x:v>2752.2</x:v>
      </x:c>
      <x:c r="H44" s="44" t="n">
        <x:f>E44-G44</x:f>
        <x:v>1847.3400000000001</x:v>
      </x:c>
      <x:c r="I44" s="14" t="str">
        <x:v>Internal Use</x:v>
      </x:c>
      <x:c r="J44" s="14" t="str">
        <x:v>Northeast</x:v>
      </x:c>
    </x:row>
    <x:row r="45">
      <x:c r="A45" s="50" t="n">
        <x:v>45926</x:v>
      </x:c>
      <x:c r="B45" s="14" t="str">
        <x:v>SKU-0060</x:v>
      </x:c>
      <x:c r="C45" s="52" t="n">
        <x:v>3</x:v>
      </x:c>
      <x:c r="D45" s="40" t="n">
        <x:v>116.54</x:v>
      </x:c>
      <x:c r="E45" s="44" t="n">
        <x:f>C45*D45</x:f>
        <x:v>349.62</x:v>
      </x:c>
      <x:c r="F45" s="40" t="n">
        <x:v>61.36</x:v>
      </x:c>
      <x:c r="G45" s="44" t="n">
        <x:f>C45*F45</x:f>
        <x:v>184.07999999999998</x:v>
      </x:c>
      <x:c r="H45" s="44" t="n">
        <x:f>E45-G45</x:f>
        <x:v>165.54000000000002</x:v>
      </x:c>
      <x:c r="I45" s="14" t="str">
        <x:v>Distributor</x:v>
      </x:c>
      <x:c r="J45" s="14" t="str">
        <x:v>West</x:v>
      </x:c>
    </x:row>
    <x:row r="46">
      <x:c r="A46" s="50" t="n">
        <x:v>46117</x:v>
      </x:c>
      <x:c r="B46" s="14" t="str">
        <x:v>SKU-0096</x:v>
      </x:c>
      <x:c r="C46" s="52" t="n">
        <x:v>11</x:v>
      </x:c>
      <x:c r="D46" s="40" t="n">
        <x:v>47.22</x:v>
      </x:c>
      <x:c r="E46" s="44" t="n">
        <x:f>C46*D46</x:f>
        <x:v>519.42</x:v>
      </x:c>
      <x:c r="F46" s="40" t="n">
        <x:v>29.46</x:v>
      </x:c>
      <x:c r="G46" s="44" t="n">
        <x:f>C46*F46</x:f>
        <x:v>324.06</x:v>
      </x:c>
      <x:c r="H46" s="44" t="n">
        <x:f>E46-G46</x:f>
        <x:v>195.35999999999996</x:v>
      </x:c>
      <x:c r="I46" s="14" t="str">
        <x:v>SMB</x:v>
      </x:c>
      <x:c r="J46" s="14" t="str">
        <x:v>Northeast</x:v>
      </x:c>
    </x:row>
    <x:row r="47">
      <x:c r="A47" s="50" t="n">
        <x:v>46080</x:v>
      </x:c>
      <x:c r="B47" s="14" t="str">
        <x:v>SKU-0069</x:v>
      </x:c>
      <x:c r="C47" s="52" t="n">
        <x:v>2</x:v>
      </x:c>
      <x:c r="D47" s="40" t="n">
        <x:v>368.99</x:v>
      </x:c>
      <x:c r="E47" s="44" t="n">
        <x:f>C47*D47</x:f>
        <x:v>737.98</x:v>
      </x:c>
      <x:c r="F47" s="40" t="n">
        <x:v>277.23</x:v>
      </x:c>
      <x:c r="G47" s="44" t="n">
        <x:f>C47*F47</x:f>
        <x:v>554.46</x:v>
      </x:c>
      <x:c r="H47" s="44" t="n">
        <x:f>E47-G47</x:f>
        <x:v>183.51999999999998</x:v>
      </x:c>
      <x:c r="I47" s="14" t="str">
        <x:v>Distributor</x:v>
      </x:c>
      <x:c r="J47" s="14" t="str">
        <x:v>West</x:v>
      </x:c>
    </x:row>
    <x:row r="48">
      <x:c r="A48" s="50" t="n">
        <x:v>45942</x:v>
      </x:c>
      <x:c r="B48" s="14" t="str">
        <x:v>SKU-0004</x:v>
      </x:c>
      <x:c r="C48" s="52" t="n">
        <x:v>1</x:v>
      </x:c>
      <x:c r="D48" s="40" t="n">
        <x:v>326.71</x:v>
      </x:c>
      <x:c r="E48" s="44" t="n">
        <x:f>C48*D48</x:f>
        <x:v>326.71</x:v>
      </x:c>
      <x:c r="F48" s="40" t="n">
        <x:v>164.72</x:v>
      </x:c>
      <x:c r="G48" s="44" t="n">
        <x:f>C48*F48</x:f>
        <x:v>164.72</x:v>
      </x:c>
      <x:c r="H48" s="44" t="n">
        <x:f>E48-G48</x:f>
        <x:v>161.98999999999998</x:v>
      </x:c>
      <x:c r="I48" s="14" t="str">
        <x:v>SMB</x:v>
      </x:c>
      <x:c r="J48" s="14" t="str">
        <x:v>West</x:v>
      </x:c>
    </x:row>
    <x:row r="49">
      <x:c r="A49" s="50" t="n">
        <x:v>46228</x:v>
      </x:c>
      <x:c r="B49" s="14" t="str">
        <x:v>SKU-0100</x:v>
      </x:c>
      <x:c r="C49" s="52" t="n">
        <x:v>1</x:v>
      </x:c>
      <x:c r="D49" s="40" t="n">
        <x:v>193.94</x:v>
      </x:c>
      <x:c r="E49" s="44" t="n">
        <x:f>C49*D49</x:f>
        <x:v>193.94</x:v>
      </x:c>
      <x:c r="F49" s="40" t="n">
        <x:v>108.23</x:v>
      </x:c>
      <x:c r="G49" s="44" t="n">
        <x:f>C49*F49</x:f>
        <x:v>108.23</x:v>
      </x:c>
      <x:c r="H49" s="44" t="n">
        <x:f>E49-G49</x:f>
        <x:v>85.71</x:v>
      </x:c>
      <x:c r="I49" s="14" t="str">
        <x:v>Enterprise</x:v>
      </x:c>
      <x:c r="J49" s="14" t="str">
        <x:v>Midwest</x:v>
      </x:c>
    </x:row>
    <x:row r="50">
      <x:c r="A50" s="50" t="n">
        <x:v>46206</x:v>
      </x:c>
      <x:c r="B50" s="14" t="str">
        <x:v>SKU-0124</x:v>
      </x:c>
      <x:c r="C50" s="52" t="n">
        <x:v>5</x:v>
      </x:c>
      <x:c r="D50" s="40" t="n">
        <x:v>121.68</x:v>
      </x:c>
      <x:c r="E50" s="44" t="n">
        <x:f>C50*D50</x:f>
        <x:v>608.4000000000001</x:v>
      </x:c>
      <x:c r="F50" s="40" t="n">
        <x:v>59.23</x:v>
      </x:c>
      <x:c r="G50" s="44" t="n">
        <x:f>C50*F50</x:f>
        <x:v>296.15</x:v>
      </x:c>
      <x:c r="H50" s="44" t="n">
        <x:f>E50-G50</x:f>
        <x:v>312.2500000000001</x:v>
      </x:c>
      <x:c r="I50" s="14" t="str">
        <x:v>SMB</x:v>
      </x:c>
      <x:c r="J50" s="14" t="str">
        <x:v>Northeast</x:v>
      </x:c>
    </x:row>
    <x:row r="51">
      <x:c r="A51" s="50" t="n">
        <x:v>46204</x:v>
      </x:c>
      <x:c r="B51" s="14" t="str">
        <x:v>SKU-0061</x:v>
      </x:c>
      <x:c r="C51" s="52" t="n">
        <x:v>8</x:v>
      </x:c>
      <x:c r="D51" s="40" t="n">
        <x:v>330.15</x:v>
      </x:c>
      <x:c r="E51" s="44" t="n">
        <x:f>C51*D51</x:f>
        <x:v>2641.2</x:v>
      </x:c>
      <x:c r="F51" s="40" t="n">
        <x:v>202.32</x:v>
      </x:c>
      <x:c r="G51" s="44" t="n">
        <x:f>C51*F51</x:f>
        <x:v>1618.56</x:v>
      </x:c>
      <x:c r="H51" s="44" t="n">
        <x:f>E51-G51</x:f>
        <x:v>1022.6399999999999</x:v>
      </x:c>
      <x:c r="I51" s="14" t="str">
        <x:v>Enterprise</x:v>
      </x:c>
      <x:c r="J51" s="14" t="str">
        <x:v>West</x:v>
      </x:c>
    </x:row>
    <x:row r="52">
      <x:c r="A52" s="50" t="n">
        <x:v>45884</x:v>
      </x:c>
      <x:c r="B52" s="14" t="str">
        <x:v>SKU-0063</x:v>
      </x:c>
      <x:c r="C52" s="52" t="n">
        <x:v>20</x:v>
      </x:c>
      <x:c r="D52" s="40" t="n">
        <x:v>256.28</x:v>
      </x:c>
      <x:c r="E52" s="44" t="n">
        <x:f>C52*D52</x:f>
        <x:v>5125.599999999999</x:v>
      </x:c>
      <x:c r="F52" s="40" t="n">
        <x:v>197.54</x:v>
      </x:c>
      <x:c r="G52" s="44" t="n">
        <x:f>C52*F52</x:f>
        <x:v>3950.7999999999997</x:v>
      </x:c>
      <x:c r="H52" s="44" t="n">
        <x:f>E52-G52</x:f>
        <x:v>1174.7999999999997</x:v>
      </x:c>
      <x:c r="I52" s="14" t="str">
        <x:v>Enterprise</x:v>
      </x:c>
      <x:c r="J52" s="14" t="str">
        <x:v>Southeast</x:v>
      </x:c>
    </x:row>
    <x:row r="53">
      <x:c r="A53" s="50" t="n">
        <x:v>46135</x:v>
      </x:c>
      <x:c r="B53" s="14" t="str">
        <x:v>SKU-0041</x:v>
      </x:c>
      <x:c r="C53" s="52" t="n">
        <x:v>2</x:v>
      </x:c>
      <x:c r="D53" s="40" t="n">
        <x:v>215.05</x:v>
      </x:c>
      <x:c r="E53" s="44" t="n">
        <x:f>C53*D53</x:f>
        <x:v>430.1</x:v>
      </x:c>
      <x:c r="F53" s="40" t="n">
        <x:v>117.51</x:v>
      </x:c>
      <x:c r="G53" s="44" t="n">
        <x:f>C53*F53</x:f>
        <x:v>235.02</x:v>
      </x:c>
      <x:c r="H53" s="44" t="n">
        <x:f>E53-G53</x:f>
        <x:v>195.08</x:v>
      </x:c>
      <x:c r="I53" s="14" t="str">
        <x:v>Enterprise</x:v>
      </x:c>
      <x:c r="J53" s="14" t="str">
        <x:v>Northeast</x:v>
      </x:c>
    </x:row>
    <x:row r="54">
      <x:c r="A54" s="50" t="n">
        <x:v>46210</x:v>
      </x:c>
      <x:c r="B54" s="14" t="str">
        <x:v>SKU-0092</x:v>
      </x:c>
      <x:c r="C54" s="52" t="n">
        <x:v>3</x:v>
      </x:c>
      <x:c r="D54" s="40" t="n">
        <x:v>168.07</x:v>
      </x:c>
      <x:c r="E54" s="44" t="n">
        <x:f>C54*D54</x:f>
        <x:v>504.21</x:v>
      </x:c>
      <x:c r="F54" s="40" t="n">
        <x:v>125.08</x:v>
      </x:c>
      <x:c r="G54" s="44" t="n">
        <x:f>C54*F54</x:f>
        <x:v>375.24</x:v>
      </x:c>
      <x:c r="H54" s="44" t="n">
        <x:f>E54-G54</x:f>
        <x:v>128.96999999999997</x:v>
      </x:c>
      <x:c r="I54" s="14" t="str">
        <x:v>Internal Use</x:v>
      </x:c>
      <x:c r="J54" s="14" t="str">
        <x:v>Southeast</x:v>
      </x:c>
    </x:row>
    <x:row r="55">
      <x:c r="A55" s="50" t="n">
        <x:v>46165</x:v>
      </x:c>
      <x:c r="B55" s="14" t="str">
        <x:v>SKU-0082</x:v>
      </x:c>
      <x:c r="C55" s="52" t="n">
        <x:v>45</x:v>
      </x:c>
      <x:c r="D55" s="40" t="n">
        <x:v>160.33</x:v>
      </x:c>
      <x:c r="E55" s="44" t="n">
        <x:f>C55*D55</x:f>
        <x:v>7214.85</x:v>
      </x:c>
      <x:c r="F55" s="40" t="n">
        <x:v>79.16</x:v>
      </x:c>
      <x:c r="G55" s="44" t="n">
        <x:f>C55*F55</x:f>
        <x:v>3562.2</x:v>
      </x:c>
      <x:c r="H55" s="44" t="n">
        <x:f>E55-G55</x:f>
        <x:v>3652.6500000000005</x:v>
      </x:c>
      <x:c r="I55" s="14" t="str">
        <x:v>Internal Use</x:v>
      </x:c>
      <x:c r="J55" s="14" t="str">
        <x:v>Southeast</x:v>
      </x:c>
    </x:row>
    <x:row r="56">
      <x:c r="A56" s="50" t="n">
        <x:v>46232</x:v>
      </x:c>
      <x:c r="B56" s="14" t="str">
        <x:v>SKU-0006</x:v>
      </x:c>
      <x:c r="C56" s="52" t="n">
        <x:v>4</x:v>
      </x:c>
      <x:c r="D56" s="40" t="n">
        <x:v>277.54</x:v>
      </x:c>
      <x:c r="E56" s="44" t="n">
        <x:f>C56*D56</x:f>
        <x:v>1110.16</x:v>
      </x:c>
      <x:c r="F56" s="40" t="n">
        <x:v>241.37</x:v>
      </x:c>
      <x:c r="G56" s="44" t="n">
        <x:f>C56*F56</x:f>
        <x:v>965.48</x:v>
      </x:c>
      <x:c r="H56" s="44" t="n">
        <x:f>E56-G56</x:f>
        <x:v>144.68000000000006</x:v>
      </x:c>
      <x:c r="I56" s="14" t="str">
        <x:v>Enterprise</x:v>
      </x:c>
      <x:c r="J56" s="14" t="str">
        <x:v>West</x:v>
      </x:c>
    </x:row>
    <x:row r="57">
      <x:c r="A57" s="50" t="n">
        <x:v>46166</x:v>
      </x:c>
      <x:c r="B57" s="14" t="str">
        <x:v>SKU-0113</x:v>
      </x:c>
      <x:c r="C57" s="52" t="n">
        <x:v>3</x:v>
      </x:c>
      <x:c r="D57" s="40" t="n">
        <x:v>266.92</x:v>
      </x:c>
      <x:c r="E57" s="44" t="n">
        <x:f>C57*D57</x:f>
        <x:v>800.76</x:v>
      </x:c>
      <x:c r="F57" s="40" t="n">
        <x:v>222.58</x:v>
      </x:c>
      <x:c r="G57" s="44" t="n">
        <x:f>C57*F57</x:f>
        <x:v>667.74</x:v>
      </x:c>
      <x:c r="H57" s="44" t="n">
        <x:f>E57-G57</x:f>
        <x:v>133.01999999999998</x:v>
      </x:c>
      <x:c r="I57" s="14" t="str">
        <x:v>SMB</x:v>
      </x:c>
      <x:c r="J57" s="14" t="str">
        <x:v>Midwest</x:v>
      </x:c>
    </x:row>
    <x:row r="58">
      <x:c r="A58" s="50" t="n">
        <x:v>46119</x:v>
      </x:c>
      <x:c r="B58" s="14" t="str">
        <x:v>SKU-0083</x:v>
      </x:c>
      <x:c r="C58" s="52" t="n">
        <x:v>1</x:v>
      </x:c>
      <x:c r="D58" s="40" t="n">
        <x:v>209.36</x:v>
      </x:c>
      <x:c r="E58" s="44" t="n">
        <x:f>C58*D58</x:f>
        <x:v>209.36</x:v>
      </x:c>
      <x:c r="F58" s="40" t="n">
        <x:v>126.42</x:v>
      </x:c>
      <x:c r="G58" s="44" t="n">
        <x:f>C58*F58</x:f>
        <x:v>126.42</x:v>
      </x:c>
      <x:c r="H58" s="44" t="n">
        <x:f>E58-G58</x:f>
        <x:v>82.94000000000001</x:v>
      </x:c>
      <x:c r="I58" s="14" t="str">
        <x:v>SMB</x:v>
      </x:c>
      <x:c r="J58" s="14" t="str">
        <x:v>Northeast</x:v>
      </x:c>
    </x:row>
    <x:row r="59">
      <x:c r="A59" s="50" t="n">
        <x:v>45959</x:v>
      </x:c>
      <x:c r="B59" s="14" t="str">
        <x:v>SKU-0136</x:v>
      </x:c>
      <x:c r="C59" s="52" t="n">
        <x:v>6</x:v>
      </x:c>
      <x:c r="D59" s="40" t="n">
        <x:v>147.11</x:v>
      </x:c>
      <x:c r="E59" s="44" t="n">
        <x:f>C59*D59</x:f>
        <x:v>882.6600000000001</x:v>
      </x:c>
      <x:c r="F59" s="40" t="n">
        <x:v>105.97</x:v>
      </x:c>
      <x:c r="G59" s="44" t="n">
        <x:f>C59*F59</x:f>
        <x:v>635.8199999999999</x:v>
      </x:c>
      <x:c r="H59" s="44" t="n">
        <x:f>E59-G59</x:f>
        <x:v>246.84000000000015</x:v>
      </x:c>
      <x:c r="I59" s="14" t="str">
        <x:v>Internal Use</x:v>
      </x:c>
      <x:c r="J59" s="14" t="str">
        <x:v>Northeast</x:v>
      </x:c>
    </x:row>
    <x:row r="60">
      <x:c r="A60" s="50" t="n">
        <x:v>46074</x:v>
      </x:c>
      <x:c r="B60" s="14" t="str">
        <x:v>SKU-0130</x:v>
      </x:c>
      <x:c r="C60" s="52" t="n">
        <x:v>11</x:v>
      </x:c>
      <x:c r="D60" s="40" t="n">
        <x:v>97.28</x:v>
      </x:c>
      <x:c r="E60" s="44" t="n">
        <x:f>C60*D60</x:f>
        <x:v>1070.08</x:v>
      </x:c>
      <x:c r="F60" s="40" t="n">
        <x:v>73.53</x:v>
      </x:c>
      <x:c r="G60" s="44" t="n">
        <x:f>C60*F60</x:f>
        <x:v>808.83</x:v>
      </x:c>
      <x:c r="H60" s="44" t="n">
        <x:f>E60-G60</x:f>
        <x:v>261.2499999999999</x:v>
      </x:c>
      <x:c r="I60" s="14" t="str">
        <x:v>Distributor</x:v>
      </x:c>
      <x:c r="J60" s="14" t="str">
        <x:v>Northeast</x:v>
      </x:c>
    </x:row>
    <x:row r="61">
      <x:c r="A61" s="50" t="n">
        <x:v>46078</x:v>
      </x:c>
      <x:c r="B61" s="14" t="str">
        <x:v>SKU-0138</x:v>
      </x:c>
      <x:c r="C61" s="52" t="n">
        <x:v>2</x:v>
      </x:c>
      <x:c r="D61" s="40" t="n">
        <x:v>417.88</x:v>
      </x:c>
      <x:c r="E61" s="44" t="n">
        <x:f>C61*D61</x:f>
        <x:v>835.76</x:v>
      </x:c>
      <x:c r="F61" s="40" t="n">
        <x:v>186.65</x:v>
      </x:c>
      <x:c r="G61" s="44" t="n">
        <x:f>C61*F61</x:f>
        <x:v>373.3</x:v>
      </x:c>
      <x:c r="H61" s="44" t="n">
        <x:f>E61-G61</x:f>
        <x:v>462.46</x:v>
      </x:c>
      <x:c r="I61" s="14" t="str">
        <x:v>SMB</x:v>
      </x:c>
      <x:c r="J61" s="14" t="str">
        <x:v>Midwest</x:v>
      </x:c>
    </x:row>
    <x:row r="62">
      <x:c r="A62" s="50" t="n">
        <x:v>46089</x:v>
      </x:c>
      <x:c r="B62" s="14" t="str">
        <x:v>SKU-0083</x:v>
      </x:c>
      <x:c r="C62" s="52" t="n">
        <x:v>11</x:v>
      </x:c>
      <x:c r="D62" s="40" t="n">
        <x:v>197.52</x:v>
      </x:c>
      <x:c r="E62" s="44" t="n">
        <x:f>C62*D62</x:f>
        <x:v>2172.7200000000003</x:v>
      </x:c>
      <x:c r="F62" s="40" t="n">
        <x:v>126.42</x:v>
      </x:c>
      <x:c r="G62" s="44" t="n">
        <x:f>C62*F62</x:f>
        <x:v>1390.6200000000001</x:v>
      </x:c>
      <x:c r="H62" s="44" t="n">
        <x:f>E62-G62</x:f>
        <x:v>782.1000000000001</x:v>
      </x:c>
      <x:c r="I62" s="14" t="str">
        <x:v>Enterprise</x:v>
      </x:c>
      <x:c r="J62" s="14" t="str">
        <x:v>Northeast</x:v>
      </x:c>
    </x:row>
    <x:row r="63">
      <x:c r="A63" s="50" t="n">
        <x:v>45971</x:v>
      </x:c>
      <x:c r="B63" s="14" t="str">
        <x:v>SKU-0034</x:v>
      </x:c>
      <x:c r="C63" s="52" t="n">
        <x:v>17</x:v>
      </x:c>
      <x:c r="D63" s="40" t="n">
        <x:v>77.74</x:v>
      </x:c>
      <x:c r="E63" s="44" t="n">
        <x:f>C63*D63</x:f>
        <x:v>1321.58</x:v>
      </x:c>
      <x:c r="F63" s="40" t="n">
        <x:v>34.51</x:v>
      </x:c>
      <x:c r="G63" s="44" t="n">
        <x:f>C63*F63</x:f>
        <x:v>586.67</x:v>
      </x:c>
      <x:c r="H63" s="44" t="n">
        <x:f>E63-G63</x:f>
        <x:v>734.91</x:v>
      </x:c>
      <x:c r="I63" s="14" t="str">
        <x:v>Enterprise</x:v>
      </x:c>
      <x:c r="J63" s="14" t="str">
        <x:v>Northeast</x:v>
      </x:c>
    </x:row>
    <x:row r="64">
      <x:c r="A64" s="50" t="n">
        <x:v>46208</x:v>
      </x:c>
      <x:c r="B64" s="14" t="str">
        <x:v>SKU-0147</x:v>
      </x:c>
      <x:c r="C64" s="52" t="n">
        <x:v>34</x:v>
      </x:c>
      <x:c r="D64" s="40" t="n">
        <x:v>60.02</x:v>
      </x:c>
      <x:c r="E64" s="44" t="n">
        <x:f>C64*D64</x:f>
        <x:v>2040.68</x:v>
      </x:c>
      <x:c r="F64" s="40" t="n">
        <x:v>27.95</x:v>
      </x:c>
      <x:c r="G64" s="44" t="n">
        <x:f>C64*F64</x:f>
        <x:v>950.3</x:v>
      </x:c>
      <x:c r="H64" s="44" t="n">
        <x:f>E64-G64</x:f>
        <x:v>1090.38</x:v>
      </x:c>
      <x:c r="I64" s="14" t="str">
        <x:v>Distributor</x:v>
      </x:c>
      <x:c r="J64" s="14" t="str">
        <x:v>Northeast</x:v>
      </x:c>
    </x:row>
    <x:row r="65">
      <x:c r="A65" s="50" t="n">
        <x:v>45993</x:v>
      </x:c>
      <x:c r="B65" s="14" t="str">
        <x:v>SKU-0094</x:v>
      </x:c>
      <x:c r="C65" s="52" t="n">
        <x:v>10</x:v>
      </x:c>
      <x:c r="D65" s="40" t="n">
        <x:v>10.42</x:v>
      </x:c>
      <x:c r="E65" s="44" t="n">
        <x:f>C65*D65</x:f>
        <x:v>104.2</x:v>
      </x:c>
      <x:c r="F65" s="40" t="n">
        <x:v>4.75</x:v>
      </x:c>
      <x:c r="G65" s="44" t="n">
        <x:f>C65*F65</x:f>
        <x:v>47.5</x:v>
      </x:c>
      <x:c r="H65" s="44" t="n">
        <x:f>E65-G65</x:f>
        <x:v>56.7</x:v>
      </x:c>
      <x:c r="I65" s="14" t="str">
        <x:v>SMB</x:v>
      </x:c>
      <x:c r="J65" s="14" t="str">
        <x:v>West</x:v>
      </x:c>
    </x:row>
    <x:row r="66">
      <x:c r="A66" s="50" t="n">
        <x:v>46119</x:v>
      </x:c>
      <x:c r="B66" s="14" t="str">
        <x:v>SKU-0021</x:v>
      </x:c>
      <x:c r="C66" s="52" t="n">
        <x:v>32</x:v>
      </x:c>
      <x:c r="D66" s="40" t="n">
        <x:v>328.7</x:v>
      </x:c>
      <x:c r="E66" s="44" t="n">
        <x:f>C66*D66</x:f>
        <x:v>10518.4</x:v>
      </x:c>
      <x:c r="F66" s="40" t="n">
        <x:v>269.12</x:v>
      </x:c>
      <x:c r="G66" s="44" t="n">
        <x:f>C66*F66</x:f>
        <x:v>8611.84</x:v>
      </x:c>
      <x:c r="H66" s="44" t="n">
        <x:f>E66-G66</x:f>
        <x:v>1906.5599999999995</x:v>
      </x:c>
      <x:c r="I66" s="14" t="str">
        <x:v>Distributor</x:v>
      </x:c>
      <x:c r="J66" s="14" t="str">
        <x:v>Northeast</x:v>
      </x:c>
    </x:row>
    <x:row r="67">
      <x:c r="A67" s="50" t="n">
        <x:v>46150</x:v>
      </x:c>
      <x:c r="B67" s="14" t="str">
        <x:v>SKU-0069</x:v>
      </x:c>
      <x:c r="C67" s="52" t="n">
        <x:v>17</x:v>
      </x:c>
      <x:c r="D67" s="40" t="n">
        <x:v>368.82</x:v>
      </x:c>
      <x:c r="E67" s="44" t="n">
        <x:f>C67*D67</x:f>
        <x:v>6269.94</x:v>
      </x:c>
      <x:c r="F67" s="40" t="n">
        <x:v>277.23</x:v>
      </x:c>
      <x:c r="G67" s="44" t="n">
        <x:f>C67*F67</x:f>
        <x:v>4712.91</x:v>
      </x:c>
      <x:c r="H67" s="44" t="n">
        <x:f>E67-G67</x:f>
        <x:v>1557.0299999999997</x:v>
      </x:c>
      <x:c r="I67" s="14" t="str">
        <x:v>SMB</x:v>
      </x:c>
      <x:c r="J67" s="14" t="str">
        <x:v>Southeast</x:v>
      </x:c>
    </x:row>
    <x:row r="68">
      <x:c r="A68" s="50" t="n">
        <x:v>46165</x:v>
      </x:c>
      <x:c r="B68" s="14" t="str">
        <x:v>SKU-0143</x:v>
      </x:c>
      <x:c r="C68" s="52" t="n">
        <x:v>7</x:v>
      </x:c>
      <x:c r="D68" s="40" t="n">
        <x:v>188.25</x:v>
      </x:c>
      <x:c r="E68" s="44" t="n">
        <x:f>C68*D68</x:f>
        <x:v>1317.75</x:v>
      </x:c>
      <x:c r="F68" s="40" t="n">
        <x:v>123.95</x:v>
      </x:c>
      <x:c r="G68" s="44" t="n">
        <x:f>C68*F68</x:f>
        <x:v>867.65</x:v>
      </x:c>
      <x:c r="H68" s="44" t="n">
        <x:f>E68-G68</x:f>
        <x:v>450.1</x:v>
      </x:c>
      <x:c r="I68" s="14" t="str">
        <x:v>Distributor</x:v>
      </x:c>
      <x:c r="J68" s="14" t="str">
        <x:v>West</x:v>
      </x:c>
    </x:row>
    <x:row r="69">
      <x:c r="A69" s="50" t="n">
        <x:v>45933</x:v>
      </x:c>
      <x:c r="B69" s="14" t="str">
        <x:v>SKU-0110</x:v>
      </x:c>
      <x:c r="C69" s="52" t="n">
        <x:v>5</x:v>
      </x:c>
      <x:c r="D69" s="40" t="n">
        <x:v>27.54</x:v>
      </x:c>
      <x:c r="E69" s="44" t="n">
        <x:f>C69*D69</x:f>
        <x:v>137.7</x:v>
      </x:c>
      <x:c r="F69" s="40" t="n">
        <x:v>14.53</x:v>
      </x:c>
      <x:c r="G69" s="44" t="n">
        <x:f>C69*F69</x:f>
        <x:v>72.64999999999999</x:v>
      </x:c>
      <x:c r="H69" s="44" t="n">
        <x:f>E69-G69</x:f>
        <x:v>65.05</x:v>
      </x:c>
      <x:c r="I69" s="14" t="str">
        <x:v>Distributor</x:v>
      </x:c>
      <x:c r="J69" s="14" t="str">
        <x:v>Southeast</x:v>
      </x:c>
    </x:row>
    <x:row r="70">
      <x:c r="A70" s="50" t="n">
        <x:v>46187</x:v>
      </x:c>
      <x:c r="B70" s="14" t="str">
        <x:v>SKU-0137</x:v>
      </x:c>
      <x:c r="C70" s="52" t="n">
        <x:v>7</x:v>
      </x:c>
      <x:c r="D70" s="40" t="n">
        <x:v>149.19</x:v>
      </x:c>
      <x:c r="E70" s="44" t="n">
        <x:f>C70*D70</x:f>
        <x:v>1044.33</x:v>
      </x:c>
      <x:c r="F70" s="40" t="n">
        <x:v>93.99</x:v>
      </x:c>
      <x:c r="G70" s="44" t="n">
        <x:f>C70*F70</x:f>
        <x:v>657.93</x:v>
      </x:c>
      <x:c r="H70" s="44" t="n">
        <x:f>E70-G70</x:f>
        <x:v>386.4</x:v>
      </x:c>
      <x:c r="I70" s="14" t="str">
        <x:v>Distributor</x:v>
      </x:c>
      <x:c r="J70" s="14" t="str">
        <x:v>Midwest</x:v>
      </x:c>
    </x:row>
    <x:row r="71">
      <x:c r="A71" s="50" t="n">
        <x:v>46204</x:v>
      </x:c>
      <x:c r="B71" s="14" t="str">
        <x:v>SKU-0106</x:v>
      </x:c>
      <x:c r="C71" s="52" t="n">
        <x:v>6</x:v>
      </x:c>
      <x:c r="D71" s="40" t="n">
        <x:v>302.96</x:v>
      </x:c>
      <x:c r="E71" s="44" t="n">
        <x:f>C71*D71</x:f>
        <x:v>1817.7599999999998</x:v>
      </x:c>
      <x:c r="F71" s="40" t="n">
        <x:v>220.84</x:v>
      </x:c>
      <x:c r="G71" s="44" t="n">
        <x:f>C71*F71</x:f>
        <x:v>1325.04</x:v>
      </x:c>
      <x:c r="H71" s="44" t="n">
        <x:f>E71-G71</x:f>
        <x:v>492.7199999999998</x:v>
      </x:c>
      <x:c r="I71" s="14" t="str">
        <x:v>SMB</x:v>
      </x:c>
      <x:c r="J71" s="14" t="str">
        <x:v>West</x:v>
      </x:c>
    </x:row>
    <x:row r="72">
      <x:c r="A72" s="50" t="n">
        <x:v>46010</x:v>
      </x:c>
      <x:c r="B72" s="14" t="str">
        <x:v>SKU-0141</x:v>
      </x:c>
      <x:c r="C72" s="52" t="n">
        <x:v>6</x:v>
      </x:c>
      <x:c r="D72" s="40" t="n">
        <x:v>385.61</x:v>
      </x:c>
      <x:c r="E72" s="44" t="n">
        <x:f>C72*D72</x:f>
        <x:v>2313.66</x:v>
      </x:c>
      <x:c r="F72" s="40" t="n">
        <x:v>279.99</x:v>
      </x:c>
      <x:c r="G72" s="44" t="n">
        <x:f>C72*F72</x:f>
        <x:v>1679.94</x:v>
      </x:c>
      <x:c r="H72" s="44" t="n">
        <x:f>E72-G72</x:f>
        <x:v>633.7199999999998</x:v>
      </x:c>
      <x:c r="I72" s="14" t="str">
        <x:v>Enterprise</x:v>
      </x:c>
      <x:c r="J72" s="14" t="str">
        <x:v>Northeast</x:v>
      </x:c>
    </x:row>
    <x:row r="73">
      <x:c r="A73" s="50" t="n">
        <x:v>46185</x:v>
      </x:c>
      <x:c r="B73" s="14" t="str">
        <x:v>SKU-0073</x:v>
      </x:c>
      <x:c r="C73" s="52" t="n">
        <x:v>2</x:v>
      </x:c>
      <x:c r="D73" s="40" t="n">
        <x:v>70.79</x:v>
      </x:c>
      <x:c r="E73" s="44" t="n">
        <x:f>C73*D73</x:f>
        <x:v>141.58</x:v>
      </x:c>
      <x:c r="F73" s="40" t="n">
        <x:v>37.01</x:v>
      </x:c>
      <x:c r="G73" s="44" t="n">
        <x:f>C73*F73</x:f>
        <x:v>74.02</x:v>
      </x:c>
      <x:c r="H73" s="44" t="n">
        <x:f>E73-G73</x:f>
        <x:v>67.56000000000002</x:v>
      </x:c>
      <x:c r="I73" s="14" t="str">
        <x:v>Distributor</x:v>
      </x:c>
      <x:c r="J73" s="14" t="str">
        <x:v>Southeast</x:v>
      </x:c>
    </x:row>
    <x:row r="74">
      <x:c r="A74" s="50" t="n">
        <x:v>45899</x:v>
      </x:c>
      <x:c r="B74" s="14" t="str">
        <x:v>SKU-0025</x:v>
      </x:c>
      <x:c r="C74" s="52" t="n">
        <x:v>8</x:v>
      </x:c>
      <x:c r="D74" s="40" t="n">
        <x:v>520.8</x:v>
      </x:c>
      <x:c r="E74" s="44" t="n">
        <x:f>C74*D74</x:f>
        <x:v>4166.4</x:v>
      </x:c>
      <x:c r="F74" s="40" t="n">
        <x:v>275.52</x:v>
      </x:c>
      <x:c r="G74" s="44" t="n">
        <x:f>C74*F74</x:f>
        <x:v>2204.16</x:v>
      </x:c>
      <x:c r="H74" s="44" t="n">
        <x:f>E74-G74</x:f>
        <x:v>1962.2399999999998</x:v>
      </x:c>
      <x:c r="I74" s="14" t="str">
        <x:v>SMB</x:v>
      </x:c>
      <x:c r="J74" s="14" t="str">
        <x:v>Southeast</x:v>
      </x:c>
    </x:row>
    <x:row r="75">
      <x:c r="A75" s="50" t="n">
        <x:v>46033</x:v>
      </x:c>
      <x:c r="B75" s="14" t="str">
        <x:v>SKU-0066</x:v>
      </x:c>
      <x:c r="C75" s="52" t="n">
        <x:v>3</x:v>
      </x:c>
      <x:c r="D75" s="40" t="n">
        <x:v>430.07</x:v>
      </x:c>
      <x:c r="E75" s="44" t="n">
        <x:f>C75*D75</x:f>
        <x:v>1290.21</x:v>
      </x:c>
      <x:c r="F75" s="40" t="n">
        <x:v>244.68</x:v>
      </x:c>
      <x:c r="G75" s="44" t="n">
        <x:f>C75*F75</x:f>
        <x:v>734.04</x:v>
      </x:c>
      <x:c r="H75" s="44" t="n">
        <x:f>E75-G75</x:f>
        <x:v>556.1700000000001</x:v>
      </x:c>
      <x:c r="I75" s="14" t="str">
        <x:v>Enterprise</x:v>
      </x:c>
      <x:c r="J75" s="14" t="str">
        <x:v>Midwest</x:v>
      </x:c>
    </x:row>
    <x:row r="76">
      <x:c r="A76" s="50" t="n">
        <x:v>45968</x:v>
      </x:c>
      <x:c r="B76" s="14" t="str">
        <x:v>SKU-0124</x:v>
      </x:c>
      <x:c r="C76" s="52" t="n">
        <x:v>7</x:v>
      </x:c>
      <x:c r="D76" s="40" t="n">
        <x:v>134.77</x:v>
      </x:c>
      <x:c r="E76" s="44" t="n">
        <x:f>C76*D76</x:f>
        <x:v>943.3900000000001</x:v>
      </x:c>
      <x:c r="F76" s="40" t="n">
        <x:v>59.23</x:v>
      </x:c>
      <x:c r="G76" s="44" t="n">
        <x:f>C76*F76</x:f>
        <x:v>414.60999999999996</x:v>
      </x:c>
      <x:c r="H76" s="44" t="n">
        <x:f>E76-G76</x:f>
        <x:v>528.7800000000002</x:v>
      </x:c>
      <x:c r="I76" s="14" t="str">
        <x:v>Enterprise</x:v>
      </x:c>
      <x:c r="J76" s="14" t="str">
        <x:v>Midwest</x:v>
      </x:c>
    </x:row>
    <x:row r="77">
      <x:c r="A77" s="50" t="n">
        <x:v>46175</x:v>
      </x:c>
      <x:c r="B77" s="14" t="str">
        <x:v>SKU-0010</x:v>
      </x:c>
      <x:c r="C77" s="52" t="n">
        <x:v>4</x:v>
      </x:c>
      <x:c r="D77" s="40" t="n">
        <x:v>180.01</x:v>
      </x:c>
      <x:c r="E77" s="44" t="n">
        <x:f>C77*D77</x:f>
        <x:v>720.04</x:v>
      </x:c>
      <x:c r="F77" s="40" t="n">
        <x:v>137.36</x:v>
      </x:c>
      <x:c r="G77" s="44" t="n">
        <x:f>C77*F77</x:f>
        <x:v>549.44</x:v>
      </x:c>
      <x:c r="H77" s="44" t="n">
        <x:f>E77-G77</x:f>
        <x:v>170.5999999999999</x:v>
      </x:c>
      <x:c r="I77" s="14" t="str">
        <x:v>Distributor</x:v>
      </x:c>
      <x:c r="J77" s="14" t="str">
        <x:v>Midwest</x:v>
      </x:c>
    </x:row>
    <x:row r="78">
      <x:c r="A78" s="50" t="n">
        <x:v>46093</x:v>
      </x:c>
      <x:c r="B78" s="14" t="str">
        <x:v>SKU-0112</x:v>
      </x:c>
      <x:c r="C78" s="52" t="n">
        <x:v>39</x:v>
      </x:c>
      <x:c r="D78" s="40" t="n">
        <x:v>308.22</x:v>
      </x:c>
      <x:c r="E78" s="44" t="n">
        <x:f>C78*D78</x:f>
        <x:v>12020.580000000002</x:v>
      </x:c>
      <x:c r="F78" s="40" t="n">
        <x:v>175.75</x:v>
      </x:c>
      <x:c r="G78" s="44" t="n">
        <x:f>C78*F78</x:f>
        <x:v>6854.25</x:v>
      </x:c>
      <x:c r="H78" s="44" t="n">
        <x:f>E78-G78</x:f>
        <x:v>5166.330000000002</x:v>
      </x:c>
      <x:c r="I78" s="14" t="str">
        <x:v>Enterprise</x:v>
      </x:c>
      <x:c r="J78" s="14" t="str">
        <x:v>West</x:v>
      </x:c>
    </x:row>
    <x:row r="79">
      <x:c r="A79" s="50" t="n">
        <x:v>46036</x:v>
      </x:c>
      <x:c r="B79" s="14" t="str">
        <x:v>SKU-0014</x:v>
      </x:c>
      <x:c r="C79" s="52" t="n">
        <x:v>9</x:v>
      </x:c>
      <x:c r="D79" s="40" t="n">
        <x:v>282.32</x:v>
      </x:c>
      <x:c r="E79" s="44" t="n">
        <x:f>C79*D79</x:f>
        <x:v>2540.88</x:v>
      </x:c>
      <x:c r="F79" s="40" t="n">
        <x:v>152.14</x:v>
      </x:c>
      <x:c r="G79" s="44" t="n">
        <x:f>C79*F79</x:f>
        <x:v>1369.2599999999998</x:v>
      </x:c>
      <x:c r="H79" s="44" t="n">
        <x:f>E79-G79</x:f>
        <x:v>1171.6200000000003</x:v>
      </x:c>
      <x:c r="I79" s="14" t="str">
        <x:v>Distributor</x:v>
      </x:c>
      <x:c r="J79" s="14" t="str">
        <x:v>Southeast</x:v>
      </x:c>
    </x:row>
    <x:row r="80">
      <x:c r="A80" s="50" t="n">
        <x:v>45905</x:v>
      </x:c>
      <x:c r="B80" s="14" t="str">
        <x:v>SKU-0040</x:v>
      </x:c>
      <x:c r="C80" s="52" t="n">
        <x:v>10</x:v>
      </x:c>
      <x:c r="D80" s="40" t="n">
        <x:v>426.38</x:v>
      </x:c>
      <x:c r="E80" s="44" t="n">
        <x:f>C80*D80</x:f>
        <x:v>4263.8</x:v>
      </x:c>
      <x:c r="F80" s="40" t="n">
        <x:v>229.61</x:v>
      </x:c>
      <x:c r="G80" s="44" t="n">
        <x:f>C80*F80</x:f>
        <x:v>2296.1000000000004</x:v>
      </x:c>
      <x:c r="H80" s="44" t="n">
        <x:f>E80-G80</x:f>
        <x:v>1967.6999999999998</x:v>
      </x:c>
      <x:c r="I80" s="14" t="str">
        <x:v>Internal Use</x:v>
      </x:c>
      <x:c r="J80" s="14" t="str">
        <x:v>Southeast</x:v>
      </x:c>
    </x:row>
    <x:row r="81">
      <x:c r="A81" s="50" t="n">
        <x:v>46052</x:v>
      </x:c>
      <x:c r="B81" s="14" t="str">
        <x:v>SKU-0034</x:v>
      </x:c>
      <x:c r="C81" s="52" t="n">
        <x:v>2</x:v>
      </x:c>
      <x:c r="D81" s="40" t="n">
        <x:v>72.51</x:v>
      </x:c>
      <x:c r="E81" s="44" t="n">
        <x:f>C81*D81</x:f>
        <x:v>145.02</x:v>
      </x:c>
      <x:c r="F81" s="40" t="n">
        <x:v>34.51</x:v>
      </x:c>
      <x:c r="G81" s="44" t="n">
        <x:f>C81*F81</x:f>
        <x:v>69.02</x:v>
      </x:c>
      <x:c r="H81" s="44" t="n">
        <x:f>E81-G81</x:f>
        <x:v>76.00000000000001</x:v>
      </x:c>
      <x:c r="I81" s="14" t="str">
        <x:v>Internal Use</x:v>
      </x:c>
      <x:c r="J81" s="14" t="str">
        <x:v>Midwest</x:v>
      </x:c>
    </x:row>
    <x:row r="82">
      <x:c r="A82" s="50" t="n">
        <x:v>46084</x:v>
      </x:c>
      <x:c r="B82" s="14" t="str">
        <x:v>SKU-0022</x:v>
      </x:c>
      <x:c r="C82" s="52" t="n">
        <x:v>9</x:v>
      </x:c>
      <x:c r="D82" s="40" t="n">
        <x:v>269.13</x:v>
      </x:c>
      <x:c r="E82" s="44" t="n">
        <x:f>C82*D82</x:f>
        <x:v>2422.17</x:v>
      </x:c>
      <x:c r="F82" s="40" t="n">
        <x:v>167.48</x:v>
      </x:c>
      <x:c r="G82" s="44" t="n">
        <x:f>C82*F82</x:f>
        <x:v>1507.32</x:v>
      </x:c>
      <x:c r="H82" s="44" t="n">
        <x:f>E82-G82</x:f>
        <x:v>914.8500000000001</x:v>
      </x:c>
      <x:c r="I82" s="14" t="str">
        <x:v>SMB</x:v>
      </x:c>
      <x:c r="J82" s="14" t="str">
        <x:v>West</x:v>
      </x:c>
    </x:row>
    <x:row r="83">
      <x:c r="A83" s="50" t="n">
        <x:v>45981</x:v>
      </x:c>
      <x:c r="B83" s="14" t="str">
        <x:v>SKU-0144</x:v>
      </x:c>
      <x:c r="C83" s="52" t="n">
        <x:v>8</x:v>
      </x:c>
      <x:c r="D83" s="40" t="n">
        <x:v>147.56</x:v>
      </x:c>
      <x:c r="E83" s="44" t="n">
        <x:f>C83*D83</x:f>
        <x:v>1180.48</x:v>
      </x:c>
      <x:c r="F83" s="40" t="n">
        <x:v>68.87</x:v>
      </x:c>
      <x:c r="G83" s="44" t="n">
        <x:f>C83*F83</x:f>
        <x:v>550.96</x:v>
      </x:c>
      <x:c r="H83" s="44" t="n">
        <x:f>E83-G83</x:f>
        <x:v>629.52</x:v>
      </x:c>
      <x:c r="I83" s="14" t="str">
        <x:v>SMB</x:v>
      </x:c>
      <x:c r="J83" s="14" t="str">
        <x:v>Southeast</x:v>
      </x:c>
    </x:row>
    <x:row r="84">
      <x:c r="A84" s="50" t="n">
        <x:v>46016</x:v>
      </x:c>
      <x:c r="B84" s="14" t="str">
        <x:v>SKU-0019</x:v>
      </x:c>
      <x:c r="C84" s="52" t="n">
        <x:v>15</x:v>
      </x:c>
      <x:c r="D84" s="40" t="n">
        <x:v>156.67</x:v>
      </x:c>
      <x:c r="E84" s="44" t="n">
        <x:f>C84*D84</x:f>
        <x:v>2350.0499999999997</x:v>
      </x:c>
      <x:c r="F84" s="40" t="n">
        <x:v>81.66</x:v>
      </x:c>
      <x:c r="G84" s="44" t="n">
        <x:f>C84*F84</x:f>
        <x:v>1224.8999999999999</x:v>
      </x:c>
      <x:c r="H84" s="44" t="n">
        <x:f>E84-G84</x:f>
        <x:v>1125.1499999999999</x:v>
      </x:c>
      <x:c r="I84" s="14" t="str">
        <x:v>Enterprise</x:v>
      </x:c>
      <x:c r="J84" s="14" t="str">
        <x:v>Northeast</x:v>
      </x:c>
    </x:row>
    <x:row r="85">
      <x:c r="A85" s="50" t="n">
        <x:v>46096</x:v>
      </x:c>
      <x:c r="B85" s="14" t="str">
        <x:v>SKU-0106</x:v>
      </x:c>
      <x:c r="C85" s="52" t="n">
        <x:v>7</x:v>
      </x:c>
      <x:c r="D85" s="40" t="n">
        <x:v>290.86</x:v>
      </x:c>
      <x:c r="E85" s="44" t="n">
        <x:f>C85*D85</x:f>
        <x:v>2036.02</x:v>
      </x:c>
      <x:c r="F85" s="40" t="n">
        <x:v>220.84</x:v>
      </x:c>
      <x:c r="G85" s="44" t="n">
        <x:f>C85*F85</x:f>
        <x:v>1545.88</x:v>
      </x:c>
      <x:c r="H85" s="44" t="n">
        <x:f>E85-G85</x:f>
        <x:v>490.1399999999999</x:v>
      </x:c>
      <x:c r="I85" s="14" t="str">
        <x:v>Enterprise</x:v>
      </x:c>
      <x:c r="J85" s="14" t="str">
        <x:v>Midwest</x:v>
      </x:c>
    </x:row>
    <x:row r="86">
      <x:c r="A86" s="50" t="n">
        <x:v>46059</x:v>
      </x:c>
      <x:c r="B86" s="14" t="str">
        <x:v>SKU-0044</x:v>
      </x:c>
      <x:c r="C86" s="52" t="n">
        <x:v>8</x:v>
      </x:c>
      <x:c r="D86" s="40" t="n">
        <x:v>151.34</x:v>
      </x:c>
      <x:c r="E86" s="44" t="n">
        <x:f>C86*D86</x:f>
        <x:v>1210.72</x:v>
      </x:c>
      <x:c r="F86" s="40" t="n">
        <x:v>126.24</x:v>
      </x:c>
      <x:c r="G86" s="44" t="n">
        <x:f>C86*F86</x:f>
        <x:v>1009.92</x:v>
      </x:c>
      <x:c r="H86" s="44" t="n">
        <x:f>E86-G86</x:f>
        <x:v>200.80000000000007</x:v>
      </x:c>
      <x:c r="I86" s="14" t="str">
        <x:v>SMB</x:v>
      </x:c>
      <x:c r="J86" s="14" t="str">
        <x:v>Southeast</x:v>
      </x:c>
    </x:row>
    <x:row r="87">
      <x:c r="A87" s="50" t="n">
        <x:v>45959</x:v>
      </x:c>
      <x:c r="B87" s="14" t="str">
        <x:v>SKU-0096</x:v>
      </x:c>
      <x:c r="C87" s="52" t="n">
        <x:v>3</x:v>
      </x:c>
      <x:c r="D87" s="40" t="n">
        <x:v>46.77</x:v>
      </x:c>
      <x:c r="E87" s="44" t="n">
        <x:f>C87*D87</x:f>
        <x:v>140.31</x:v>
      </x:c>
      <x:c r="F87" s="40" t="n">
        <x:v>29.46</x:v>
      </x:c>
      <x:c r="G87" s="44" t="n">
        <x:f>C87*F87</x:f>
        <x:v>88.38</x:v>
      </x:c>
      <x:c r="H87" s="44" t="n">
        <x:f>E87-G87</x:f>
        <x:v>51.93000000000001</x:v>
      </x:c>
      <x:c r="I87" s="14" t="str">
        <x:v>SMB</x:v>
      </x:c>
      <x:c r="J87" s="14" t="str">
        <x:v>Southeast</x:v>
      </x:c>
    </x:row>
    <x:row r="88">
      <x:c r="A88" s="50" t="n">
        <x:v>46159</x:v>
      </x:c>
      <x:c r="B88" s="14" t="str">
        <x:v>SKU-0053</x:v>
      </x:c>
      <x:c r="C88" s="52" t="n">
        <x:v>9</x:v>
      </x:c>
      <x:c r="D88" s="40" t="n">
        <x:v>400.56</x:v>
      </x:c>
      <x:c r="E88" s="44" t="n">
        <x:f>C88*D88</x:f>
        <x:v>3605.04</x:v>
      </x:c>
      <x:c r="F88" s="40" t="n">
        <x:v>235.39</x:v>
      </x:c>
      <x:c r="G88" s="44" t="n">
        <x:f>C88*F88</x:f>
        <x:v>2118.5099999999998</x:v>
      </x:c>
      <x:c r="H88" s="44" t="n">
        <x:f>E88-G88</x:f>
        <x:v>1486.5300000000002</x:v>
      </x:c>
      <x:c r="I88" s="14" t="str">
        <x:v>SMB</x:v>
      </x:c>
      <x:c r="J88" s="14" t="str">
        <x:v>Northeast</x:v>
      </x:c>
    </x:row>
    <x:row r="89">
      <x:c r="A89" s="50" t="n">
        <x:v>46178</x:v>
      </x:c>
      <x:c r="B89" s="14" t="str">
        <x:v>SKU-0097</x:v>
      </x:c>
      <x:c r="C89" s="52" t="n">
        <x:v>29</x:v>
      </x:c>
      <x:c r="D89" s="40" t="n">
        <x:v>262.73</x:v>
      </x:c>
      <x:c r="E89" s="44" t="n">
        <x:f>C89*D89</x:f>
        <x:v>7619.17</x:v>
      </x:c>
      <x:c r="F89" s="40" t="n">
        <x:v>209.93</x:v>
      </x:c>
      <x:c r="G89" s="44" t="n">
        <x:f>C89*F89</x:f>
        <x:v>6087.97</x:v>
      </x:c>
      <x:c r="H89" s="44" t="n">
        <x:f>E89-G89</x:f>
        <x:v>1531.1999999999998</x:v>
      </x:c>
      <x:c r="I89" s="14" t="str">
        <x:v>Enterprise</x:v>
      </x:c>
      <x:c r="J89" s="14" t="str">
        <x:v>Midwest</x:v>
      </x:c>
    </x:row>
    <x:row r="90">
      <x:c r="A90" s="50" t="n">
        <x:v>46236</x:v>
      </x:c>
      <x:c r="B90" s="14" t="str">
        <x:v>SKU-0052</x:v>
      </x:c>
      <x:c r="C90" s="52" t="n">
        <x:v>10</x:v>
      </x:c>
      <x:c r="D90" s="40" t="n">
        <x:v>262.74</x:v>
      </x:c>
      <x:c r="E90" s="44" t="n">
        <x:f>C90*D90</x:f>
        <x:v>2627.4</x:v>
      </x:c>
      <x:c r="F90" s="40" t="n">
        <x:v>210.35</x:v>
      </x:c>
      <x:c r="G90" s="44" t="n">
        <x:f>C90*F90</x:f>
        <x:v>2103.5</x:v>
      </x:c>
      <x:c r="H90" s="44" t="n">
        <x:f>E90-G90</x:f>
        <x:v>523.9000000000001</x:v>
      </x:c>
      <x:c r="I90" s="14" t="str">
        <x:v>Enterprise</x:v>
      </x:c>
      <x:c r="J90" s="14" t="str">
        <x:v>Northeast</x:v>
      </x:c>
    </x:row>
    <x:row r="91">
      <x:c r="A91" s="50" t="n">
        <x:v>46218</x:v>
      </x:c>
      <x:c r="B91" s="14" t="str">
        <x:v>SKU-0100</x:v>
      </x:c>
      <x:c r="C91" s="52" t="n">
        <x:v>1</x:v>
      </x:c>
      <x:c r="D91" s="40" t="n">
        <x:v>191.51</x:v>
      </x:c>
      <x:c r="E91" s="44" t="n">
        <x:f>C91*D91</x:f>
        <x:v>191.51</x:v>
      </x:c>
      <x:c r="F91" s="40" t="n">
        <x:v>108.23</x:v>
      </x:c>
      <x:c r="G91" s="44" t="n">
        <x:f>C91*F91</x:f>
        <x:v>108.23</x:v>
      </x:c>
      <x:c r="H91" s="44" t="n">
        <x:f>E91-G91</x:f>
        <x:v>83.27999999999999</x:v>
      </x:c>
      <x:c r="I91" s="14" t="str">
        <x:v>Enterprise</x:v>
      </x:c>
      <x:c r="J91" s="14" t="str">
        <x:v>Northeast</x:v>
      </x:c>
    </x:row>
    <x:row r="92">
      <x:c r="A92" s="50" t="n">
        <x:v>46212</x:v>
      </x:c>
      <x:c r="B92" s="14" t="str">
        <x:v>SKU-0075</x:v>
      </x:c>
      <x:c r="C92" s="52" t="n">
        <x:v>9</x:v>
      </x:c>
      <x:c r="D92" s="40" t="n">
        <x:v>27.34</x:v>
      </x:c>
      <x:c r="E92" s="44" t="n">
        <x:f>C92*D92</x:f>
        <x:v>246.06</x:v>
      </x:c>
      <x:c r="F92" s="40" t="n">
        <x:v>13.66</x:v>
      </x:c>
      <x:c r="G92" s="44" t="n">
        <x:f>C92*F92</x:f>
        <x:v>122.94</x:v>
      </x:c>
      <x:c r="H92" s="44" t="n">
        <x:f>E92-G92</x:f>
        <x:v>123.12</x:v>
      </x:c>
      <x:c r="I92" s="14" t="str">
        <x:v>Internal Use</x:v>
      </x:c>
      <x:c r="J92" s="14" t="str">
        <x:v>Northeast</x:v>
      </x:c>
    </x:row>
    <x:row r="93">
      <x:c r="A93" s="50" t="n">
        <x:v>45981</x:v>
      </x:c>
      <x:c r="B93" s="14" t="str">
        <x:v>SKU-0048</x:v>
      </x:c>
      <x:c r="C93" s="52" t="n">
        <x:v>9</x:v>
      </x:c>
      <x:c r="D93" s="40" t="n">
        <x:v>459.3</x:v>
      </x:c>
      <x:c r="E93" s="44" t="n">
        <x:f>C93*D93</x:f>
        <x:v>4133.7</x:v>
      </x:c>
      <x:c r="F93" s="40" t="n">
        <x:v>211.59</x:v>
      </x:c>
      <x:c r="G93" s="44" t="n">
        <x:f>C93*F93</x:f>
        <x:v>1904.31</x:v>
      </x:c>
      <x:c r="H93" s="44" t="n">
        <x:f>E93-G93</x:f>
        <x:v>2229.39</x:v>
      </x:c>
      <x:c r="I93" s="14" t="str">
        <x:v>Enterprise</x:v>
      </x:c>
      <x:c r="J93" s="14" t="str">
        <x:v>Northeast</x:v>
      </x:c>
    </x:row>
    <x:row r="94">
      <x:c r="A94" s="50" t="n">
        <x:v>46151</x:v>
      </x:c>
      <x:c r="B94" s="14" t="str">
        <x:v>SKU-0064</x:v>
      </x:c>
      <x:c r="C94" s="52" t="n">
        <x:v>5</x:v>
      </x:c>
      <x:c r="D94" s="40" t="n">
        <x:v>101.03</x:v>
      </x:c>
      <x:c r="E94" s="44" t="n">
        <x:f>C94*D94</x:f>
        <x:v>505.15</x:v>
      </x:c>
      <x:c r="F94" s="40" t="n">
        <x:v>62.55</x:v>
      </x:c>
      <x:c r="G94" s="44" t="n">
        <x:f>C94*F94</x:f>
        <x:v>312.75</x:v>
      </x:c>
      <x:c r="H94" s="44" t="n">
        <x:f>E94-G94</x:f>
        <x:v>192.39999999999998</x:v>
      </x:c>
      <x:c r="I94" s="14" t="str">
        <x:v>Enterprise</x:v>
      </x:c>
      <x:c r="J94" s="14" t="str">
        <x:v>Midwest</x:v>
      </x:c>
    </x:row>
    <x:row r="95">
      <x:c r="A95" s="50" t="n">
        <x:v>46061</x:v>
      </x:c>
      <x:c r="B95" s="14" t="str">
        <x:v>SKU-0091</x:v>
      </x:c>
      <x:c r="C95" s="52" t="n">
        <x:v>11</x:v>
      </x:c>
      <x:c r="D95" s="40" t="n">
        <x:v>69.53</x:v>
      </x:c>
      <x:c r="E95" s="44" t="n">
        <x:f>C95*D95</x:f>
        <x:v>764.83</x:v>
      </x:c>
      <x:c r="F95" s="40" t="n">
        <x:v>42.22</x:v>
      </x:c>
      <x:c r="G95" s="44" t="n">
        <x:f>C95*F95</x:f>
        <x:v>464.41999999999996</x:v>
      </x:c>
      <x:c r="H95" s="44" t="n">
        <x:f>E95-G95</x:f>
        <x:v>300.4100000000001</x:v>
      </x:c>
      <x:c r="I95" s="14" t="str">
        <x:v>Distributor</x:v>
      </x:c>
      <x:c r="J95" s="14" t="str">
        <x:v>Northeast</x:v>
      </x:c>
    </x:row>
    <x:row r="96">
      <x:c r="A96" s="50" t="n">
        <x:v>46078</x:v>
      </x:c>
      <x:c r="B96" s="14" t="str">
        <x:v>SKU-0066</x:v>
      </x:c>
      <x:c r="C96" s="52" t="n">
        <x:v>6</x:v>
      </x:c>
      <x:c r="D96" s="40" t="n">
        <x:v>428.78</x:v>
      </x:c>
      <x:c r="E96" s="44" t="n">
        <x:f>C96*D96</x:f>
        <x:v>2572.68</x:v>
      </x:c>
      <x:c r="F96" s="40" t="n">
        <x:v>244.68</x:v>
      </x:c>
      <x:c r="G96" s="44" t="n">
        <x:f>C96*F96</x:f>
        <x:v>1468.08</x:v>
      </x:c>
      <x:c r="H96" s="44" t="n">
        <x:f>E96-G96</x:f>
        <x:v>1104.6</x:v>
      </x:c>
      <x:c r="I96" s="14" t="str">
        <x:v>SMB</x:v>
      </x:c>
      <x:c r="J96" s="14" t="str">
        <x:v>Northeast</x:v>
      </x:c>
    </x:row>
    <x:row r="97">
      <x:c r="A97" s="50" t="n">
        <x:v>46146</x:v>
      </x:c>
      <x:c r="B97" s="14" t="str">
        <x:v>SKU-0098</x:v>
      </x:c>
      <x:c r="C97" s="52" t="n">
        <x:v>11</x:v>
      </x:c>
      <x:c r="D97" s="40" t="n">
        <x:v>361.32</x:v>
      </x:c>
      <x:c r="E97" s="44" t="n">
        <x:f>C97*D97</x:f>
        <x:v>3974.52</x:v>
      </x:c>
      <x:c r="F97" s="40" t="n">
        <x:v>270.95</x:v>
      </x:c>
      <x:c r="G97" s="44" t="n">
        <x:f>C97*F97</x:f>
        <x:v>2980.45</x:v>
      </x:c>
      <x:c r="H97" s="44" t="n">
        <x:f>E97-G97</x:f>
        <x:v>994.0700000000002</x:v>
      </x:c>
      <x:c r="I97" s="14" t="str">
        <x:v>SMB</x:v>
      </x:c>
      <x:c r="J97" s="14" t="str">
        <x:v>West</x:v>
      </x:c>
    </x:row>
    <x:row r="98">
      <x:c r="A98" s="50" t="n">
        <x:v>46189</x:v>
      </x:c>
      <x:c r="B98" s="14" t="str">
        <x:v>SKU-0080</x:v>
      </x:c>
      <x:c r="C98" s="52" t="n">
        <x:v>5</x:v>
      </x:c>
      <x:c r="D98" s="40" t="n">
        <x:v>147.56</x:v>
      </x:c>
      <x:c r="E98" s="44" t="n">
        <x:f>C98*D98</x:f>
        <x:v>737.8</x:v>
      </x:c>
      <x:c r="F98" s="40" t="n">
        <x:v>115.72</x:v>
      </x:c>
      <x:c r="G98" s="44" t="n">
        <x:f>C98*F98</x:f>
        <x:v>578.6</x:v>
      </x:c>
      <x:c r="H98" s="44" t="n">
        <x:f>E98-G98</x:f>
        <x:v>159.19999999999993</x:v>
      </x:c>
      <x:c r="I98" s="14" t="str">
        <x:v>SMB</x:v>
      </x:c>
      <x:c r="J98" s="14" t="str">
        <x:v>Southeast</x:v>
      </x:c>
    </x:row>
    <x:row r="99">
      <x:c r="A99" s="50" t="n">
        <x:v>46038</x:v>
      </x:c>
      <x:c r="B99" s="14" t="str">
        <x:v>SKU-0036</x:v>
      </x:c>
      <x:c r="C99" s="52" t="n">
        <x:v>24</x:v>
      </x:c>
      <x:c r="D99" s="40" t="n">
        <x:v>287.5</x:v>
      </x:c>
      <x:c r="E99" s="44" t="n">
        <x:f>C99*D99</x:f>
        <x:v>6900</x:v>
      </x:c>
      <x:c r="F99" s="40" t="n">
        <x:v>122.19</x:v>
      </x:c>
      <x:c r="G99" s="44" t="n">
        <x:f>C99*F99</x:f>
        <x:v>2932.56</x:v>
      </x:c>
      <x:c r="H99" s="44" t="n">
        <x:f>E99-G99</x:f>
        <x:v>3967.44</x:v>
      </x:c>
      <x:c r="I99" s="14" t="str">
        <x:v>SMB</x:v>
      </x:c>
      <x:c r="J99" s="14" t="str">
        <x:v>Southeast</x:v>
      </x:c>
    </x:row>
    <x:row r="100">
      <x:c r="A100" s="50" t="n">
        <x:v>45914</x:v>
      </x:c>
      <x:c r="B100" s="14" t="str">
        <x:v>SKU-0082</x:v>
      </x:c>
      <x:c r="C100" s="52" t="n">
        <x:v>41</x:v>
      </x:c>
      <x:c r="D100" s="40" t="n">
        <x:v>144.14</x:v>
      </x:c>
      <x:c r="E100" s="44" t="n">
        <x:f>C100*D100</x:f>
        <x:v>5909.74</x:v>
      </x:c>
      <x:c r="F100" s="40" t="n">
        <x:v>79.16</x:v>
      </x:c>
      <x:c r="G100" s="44" t="n">
        <x:f>C100*F100</x:f>
        <x:v>3245.56</x:v>
      </x:c>
      <x:c r="H100" s="44" t="n">
        <x:f>E100-G100</x:f>
        <x:v>2664.18</x:v>
      </x:c>
      <x:c r="I100" s="14" t="str">
        <x:v>Distributor</x:v>
      </x:c>
      <x:c r="J100" s="14" t="str">
        <x:v>Southeast</x:v>
      </x:c>
    </x:row>
    <x:row r="101">
      <x:c r="A101" s="50" t="n">
        <x:v>46043</x:v>
      </x:c>
      <x:c r="B101" s="14" t="str">
        <x:v>SKU-0008</x:v>
      </x:c>
      <x:c r="C101" s="52" t="n">
        <x:v>21</x:v>
      </x:c>
      <x:c r="D101" s="40" t="n">
        <x:v>186.22</x:v>
      </x:c>
      <x:c r="E101" s="44" t="n">
        <x:f>C101*D101</x:f>
        <x:v>3910.62</x:v>
      </x:c>
      <x:c r="F101" s="40" t="n">
        <x:v>143.38</x:v>
      </x:c>
      <x:c r="G101" s="44" t="n">
        <x:f>C101*F101</x:f>
        <x:v>3010.98</x:v>
      </x:c>
      <x:c r="H101" s="44" t="n">
        <x:f>E101-G101</x:f>
        <x:v>899.6399999999999</x:v>
      </x:c>
      <x:c r="I101" s="14" t="str">
        <x:v>Internal Use</x:v>
      </x:c>
      <x:c r="J101" s="14" t="str">
        <x:v>Midwest</x:v>
      </x:c>
    </x:row>
    <x:row r="102">
      <x:c r="A102" s="50" t="n">
        <x:v>45976</x:v>
      </x:c>
      <x:c r="B102" s="14" t="str">
        <x:v>SKU-0039</x:v>
      </x:c>
      <x:c r="C102" s="52" t="n">
        <x:v>4</x:v>
      </x:c>
      <x:c r="D102" s="40" t="n">
        <x:v>230.83</x:v>
      </x:c>
      <x:c r="E102" s="44" t="n">
        <x:f>C102*D102</x:f>
        <x:v>923.32</x:v>
      </x:c>
      <x:c r="F102" s="40" t="n">
        <x:v>125.1</x:v>
      </x:c>
      <x:c r="G102" s="44" t="n">
        <x:f>C102*F102</x:f>
        <x:v>500.4</x:v>
      </x:c>
      <x:c r="H102" s="44" t="n">
        <x:f>E102-G102</x:f>
        <x:v>422.9200000000001</x:v>
      </x:c>
      <x:c r="I102" s="14" t="str">
        <x:v>Distributor</x:v>
      </x:c>
      <x:c r="J102" s="14" t="str">
        <x:v>Southeast</x:v>
      </x:c>
    </x:row>
    <x:row r="103">
      <x:c r="A103" s="50" t="n">
        <x:v>45998</x:v>
      </x:c>
      <x:c r="B103" s="14" t="str">
        <x:v>SKU-0060</x:v>
      </x:c>
      <x:c r="C103" s="52" t="n">
        <x:v>13</x:v>
      </x:c>
      <x:c r="D103" s="40" t="n">
        <x:v>122.9</x:v>
      </x:c>
      <x:c r="E103" s="44" t="n">
        <x:f>C103*D103</x:f>
        <x:v>1597.7</x:v>
      </x:c>
      <x:c r="F103" s="40" t="n">
        <x:v>61.36</x:v>
      </x:c>
      <x:c r="G103" s="44" t="n">
        <x:f>C103*F103</x:f>
        <x:v>797.68</x:v>
      </x:c>
      <x:c r="H103" s="44" t="n">
        <x:f>E103-G103</x:f>
        <x:v>800.0200000000001</x:v>
      </x:c>
      <x:c r="I103" s="14" t="str">
        <x:v>Internal Use</x:v>
      </x:c>
      <x:c r="J103" s="14" t="str">
        <x:v>Southeast</x:v>
      </x:c>
    </x:row>
    <x:row r="104">
      <x:c r="A104" s="50" t="n">
        <x:v>46189</x:v>
      </x:c>
      <x:c r="B104" s="14" t="str">
        <x:v>SKU-0129</x:v>
      </x:c>
      <x:c r="C104" s="52" t="n">
        <x:v>7</x:v>
      </x:c>
      <x:c r="D104" s="40" t="n">
        <x:v>272.01</x:v>
      </x:c>
      <x:c r="E104" s="44" t="n">
        <x:f>C104*D104</x:f>
        <x:v>1904.07</x:v>
      </x:c>
      <x:c r="F104" s="40" t="n">
        <x:v>178.22</x:v>
      </x:c>
      <x:c r="G104" s="44" t="n">
        <x:f>C104*F104</x:f>
        <x:v>1247.54</x:v>
      </x:c>
      <x:c r="H104" s="44" t="n">
        <x:f>E104-G104</x:f>
        <x:v>656.53</x:v>
      </x:c>
      <x:c r="I104" s="14" t="str">
        <x:v>Internal Use</x:v>
      </x:c>
      <x:c r="J104" s="14" t="str">
        <x:v>West</x:v>
      </x:c>
    </x:row>
    <x:row r="105">
      <x:c r="A105" s="50" t="n">
        <x:v>45950</x:v>
      </x:c>
      <x:c r="B105" s="14" t="str">
        <x:v>SKU-0122</x:v>
      </x:c>
      <x:c r="C105" s="52" t="n">
        <x:v>4</x:v>
      </x:c>
      <x:c r="D105" s="40" t="n">
        <x:v>37.6</x:v>
      </x:c>
      <x:c r="E105" s="44" t="n">
        <x:f>C105*D105</x:f>
        <x:v>150.4</x:v>
      </x:c>
      <x:c r="F105" s="40" t="n">
        <x:v>25.14</x:v>
      </x:c>
      <x:c r="G105" s="44" t="n">
        <x:f>C105*F105</x:f>
        <x:v>100.56</x:v>
      </x:c>
      <x:c r="H105" s="44" t="n">
        <x:f>E105-G105</x:f>
        <x:v>49.84</x:v>
      </x:c>
      <x:c r="I105" s="14" t="str">
        <x:v>Enterprise</x:v>
      </x:c>
      <x:c r="J105" s="14" t="str">
        <x:v>Midwest</x:v>
      </x:c>
    </x:row>
    <x:row r="106">
      <x:c r="A106" s="50" t="n">
        <x:v>45993</x:v>
      </x:c>
      <x:c r="B106" s="14" t="str">
        <x:v>SKU-0106</x:v>
      </x:c>
      <x:c r="C106" s="52" t="n">
        <x:v>13</x:v>
      </x:c>
      <x:c r="D106" s="40" t="n">
        <x:v>317.57</x:v>
      </x:c>
      <x:c r="E106" s="44" t="n">
        <x:f>C106*D106</x:f>
        <x:v>4128.41</x:v>
      </x:c>
      <x:c r="F106" s="40" t="n">
        <x:v>220.84</x:v>
      </x:c>
      <x:c r="G106" s="44" t="n">
        <x:f>C106*F106</x:f>
        <x:v>2870.92</x:v>
      </x:c>
      <x:c r="H106" s="44" t="n">
        <x:f>E106-G106</x:f>
        <x:v>1257.4899999999998</x:v>
      </x:c>
      <x:c r="I106" s="14" t="str">
        <x:v>Internal Use</x:v>
      </x:c>
      <x:c r="J106" s="14" t="str">
        <x:v>West</x:v>
      </x:c>
    </x:row>
    <x:row r="107">
      <x:c r="A107" s="50" t="n">
        <x:v>46114</x:v>
      </x:c>
      <x:c r="B107" s="14" t="str">
        <x:v>SKU-0084</x:v>
      </x:c>
      <x:c r="C107" s="52" t="n">
        <x:v>22</x:v>
      </x:c>
      <x:c r="D107" s="40" t="n">
        <x:v>231.49</x:v>
      </x:c>
      <x:c r="E107" s="44" t="n">
        <x:f>C107*D107</x:f>
        <x:v>5092.780000000001</x:v>
      </x:c>
      <x:c r="F107" s="40" t="n">
        <x:v>108.77</x:v>
      </x:c>
      <x:c r="G107" s="44" t="n">
        <x:f>C107*F107</x:f>
        <x:v>2392.94</x:v>
      </x:c>
      <x:c r="H107" s="44" t="n">
        <x:f>E107-G107</x:f>
        <x:v>2699.8400000000006</x:v>
      </x:c>
      <x:c r="I107" s="14" t="str">
        <x:v>Internal Use</x:v>
      </x:c>
      <x:c r="J107" s="14" t="str">
        <x:v>Midwest</x:v>
      </x:c>
    </x:row>
    <x:row r="108">
      <x:c r="A108" s="50" t="n">
        <x:v>46193</x:v>
      </x:c>
      <x:c r="B108" s="14" t="str">
        <x:v>SKU-0101</x:v>
      </x:c>
      <x:c r="C108" s="52" t="n">
        <x:v>36</x:v>
      </x:c>
      <x:c r="D108" s="40" t="n">
        <x:v>78.87</x:v>
      </x:c>
      <x:c r="E108" s="44" t="n">
        <x:f>C108*D108</x:f>
        <x:v>2839.32</x:v>
      </x:c>
      <x:c r="F108" s="40" t="n">
        <x:v>63.93</x:v>
      </x:c>
      <x:c r="G108" s="44" t="n">
        <x:f>C108*F108</x:f>
        <x:v>2301.48</x:v>
      </x:c>
      <x:c r="H108" s="44" t="n">
        <x:f>E108-G108</x:f>
        <x:v>537.8400000000001</x:v>
      </x:c>
      <x:c r="I108" s="14" t="str">
        <x:v>Enterprise</x:v>
      </x:c>
      <x:c r="J108" s="14" t="str">
        <x:v>Northeast</x:v>
      </x:c>
    </x:row>
    <x:row r="109">
      <x:c r="A109" s="50" t="n">
        <x:v>46113</x:v>
      </x:c>
      <x:c r="B109" s="14" t="str">
        <x:v>SKU-0116</x:v>
      </x:c>
      <x:c r="C109" s="52" t="n">
        <x:v>5</x:v>
      </x:c>
      <x:c r="D109" s="40" t="n">
        <x:v>52.79</x:v>
      </x:c>
      <x:c r="E109" s="44" t="n">
        <x:f>C109*D109</x:f>
        <x:v>263.95</x:v>
      </x:c>
      <x:c r="F109" s="40" t="n">
        <x:v>36.42</x:v>
      </x:c>
      <x:c r="G109" s="44" t="n">
        <x:f>C109*F109</x:f>
        <x:v>182.10000000000002</x:v>
      </x:c>
      <x:c r="H109" s="44" t="n">
        <x:f>E109-G109</x:f>
        <x:v>81.84999999999997</x:v>
      </x:c>
      <x:c r="I109" s="14" t="str">
        <x:v>Enterprise</x:v>
      </x:c>
      <x:c r="J109" s="14" t="str">
        <x:v>Southeast</x:v>
      </x:c>
    </x:row>
    <x:row r="110">
      <x:c r="A110" s="50" t="n">
        <x:v>46105</x:v>
      </x:c>
      <x:c r="B110" s="14" t="str">
        <x:v>SKU-0075</x:v>
      </x:c>
      <x:c r="C110" s="52" t="n">
        <x:v>7</x:v>
      </x:c>
      <x:c r="D110" s="40" t="n">
        <x:v>27.04</x:v>
      </x:c>
      <x:c r="E110" s="44" t="n">
        <x:f>C110*D110</x:f>
        <x:v>189.28</x:v>
      </x:c>
      <x:c r="F110" s="40" t="n">
        <x:v>13.66</x:v>
      </x:c>
      <x:c r="G110" s="44" t="n">
        <x:f>C110*F110</x:f>
        <x:v>95.62</x:v>
      </x:c>
      <x:c r="H110" s="44" t="n">
        <x:f>E110-G110</x:f>
        <x:v>93.66</x:v>
      </x:c>
      <x:c r="I110" s="14" t="str">
        <x:v>Internal Use</x:v>
      </x:c>
      <x:c r="J110" s="14" t="str">
        <x:v>Southeast</x:v>
      </x:c>
    </x:row>
    <x:row r="111">
      <x:c r="A111" s="50" t="n">
        <x:v>46030</x:v>
      </x:c>
      <x:c r="B111" s="14" t="str">
        <x:v>SKU-0109</x:v>
      </x:c>
      <x:c r="C111" s="52" t="n">
        <x:v>10</x:v>
      </x:c>
      <x:c r="D111" s="40" t="n">
        <x:v>150.59</x:v>
      </x:c>
      <x:c r="E111" s="44" t="n">
        <x:f>C111*D111</x:f>
        <x:v>1505.9</x:v>
      </x:c>
      <x:c r="F111" s="40" t="n">
        <x:v>119.32</x:v>
      </x:c>
      <x:c r="G111" s="44" t="n">
        <x:f>C111*F111</x:f>
        <x:v>1193.1999999999998</x:v>
      </x:c>
      <x:c r="H111" s="44" t="n">
        <x:f>E111-G111</x:f>
        <x:v>312.7000000000003</x:v>
      </x:c>
      <x:c r="I111" s="14" t="str">
        <x:v>SMB</x:v>
      </x:c>
      <x:c r="J111" s="14" t="str">
        <x:v>West</x:v>
      </x:c>
    </x:row>
    <x:row r="112">
      <x:c r="A112" s="50" t="n">
        <x:v>45926</x:v>
      </x:c>
      <x:c r="B112" s="14" t="str">
        <x:v>SKU-0116</x:v>
      </x:c>
      <x:c r="C112" s="52" t="n">
        <x:v>12</x:v>
      </x:c>
      <x:c r="D112" s="40" t="n">
        <x:v>54.57</x:v>
      </x:c>
      <x:c r="E112" s="44" t="n">
        <x:f>C112*D112</x:f>
        <x:v>654.84</x:v>
      </x:c>
      <x:c r="F112" s="40" t="n">
        <x:v>36.42</x:v>
      </x:c>
      <x:c r="G112" s="44" t="n">
        <x:f>C112*F112</x:f>
        <x:v>437.04</x:v>
      </x:c>
      <x:c r="H112" s="44" t="n">
        <x:f>E112-G112</x:f>
        <x:v>217.8</x:v>
      </x:c>
      <x:c r="I112" s="14" t="str">
        <x:v>SMB</x:v>
      </x:c>
      <x:c r="J112" s="14" t="str">
        <x:v>West</x:v>
      </x:c>
    </x:row>
    <x:row r="113">
      <x:c r="A113" s="50" t="n">
        <x:v>46045</x:v>
      </x:c>
      <x:c r="B113" s="14" t="str">
        <x:v>SKU-0106</x:v>
      </x:c>
      <x:c r="C113" s="52" t="n">
        <x:v>8</x:v>
      </x:c>
      <x:c r="D113" s="40" t="n">
        <x:v>302.13</x:v>
      </x:c>
      <x:c r="E113" s="44" t="n">
        <x:f>C113*D113</x:f>
        <x:v>2417.04</x:v>
      </x:c>
      <x:c r="F113" s="40" t="n">
        <x:v>220.84</x:v>
      </x:c>
      <x:c r="G113" s="44" t="n">
        <x:f>C113*F113</x:f>
        <x:v>1766.72</x:v>
      </x:c>
      <x:c r="H113" s="44" t="n">
        <x:f>E113-G113</x:f>
        <x:v>650.3199999999999</x:v>
      </x:c>
      <x:c r="I113" s="14" t="str">
        <x:v>SMB</x:v>
      </x:c>
      <x:c r="J113" s="14" t="str">
        <x:v>West</x:v>
      </x:c>
    </x:row>
    <x:row r="114">
      <x:c r="A114" s="50" t="n">
        <x:v>46008</x:v>
      </x:c>
      <x:c r="B114" s="14" t="str">
        <x:v>SKU-0024</x:v>
      </x:c>
      <x:c r="C114" s="52" t="n">
        <x:v>4</x:v>
      </x:c>
      <x:c r="D114" s="40" t="n">
        <x:v>247.24</x:v>
      </x:c>
      <x:c r="E114" s="44" t="n">
        <x:f>C114*D114</x:f>
        <x:v>988.96</x:v>
      </x:c>
      <x:c r="F114" s="40" t="n">
        <x:v>151.69</x:v>
      </x:c>
      <x:c r="G114" s="44" t="n">
        <x:f>C114*F114</x:f>
        <x:v>606.76</x:v>
      </x:c>
      <x:c r="H114" s="44" t="n">
        <x:f>E114-G114</x:f>
        <x:v>382.20000000000005</x:v>
      </x:c>
      <x:c r="I114" s="14" t="str">
        <x:v>SMB</x:v>
      </x:c>
      <x:c r="J114" s="14" t="str">
        <x:v>Northeast</x:v>
      </x:c>
    </x:row>
    <x:row r="115">
      <x:c r="A115" s="50" t="n">
        <x:v>45938</x:v>
      </x:c>
      <x:c r="B115" s="14" t="str">
        <x:v>SKU-0024</x:v>
      </x:c>
      <x:c r="C115" s="52" t="n">
        <x:v>19</x:v>
      </x:c>
      <x:c r="D115" s="40" t="n">
        <x:v>224.17</x:v>
      </x:c>
      <x:c r="E115" s="44" t="n">
        <x:f>C115*D115</x:f>
        <x:v>4259.23</x:v>
      </x:c>
      <x:c r="F115" s="40" t="n">
        <x:v>151.69</x:v>
      </x:c>
      <x:c r="G115" s="44" t="n">
        <x:f>C115*F115</x:f>
        <x:v>2882.11</x:v>
      </x:c>
      <x:c r="H115" s="44" t="n">
        <x:f>E115-G115</x:f>
        <x:v>1377.1199999999994</x:v>
      </x:c>
      <x:c r="I115" s="14" t="str">
        <x:v>Internal Use</x:v>
      </x:c>
      <x:c r="J115" s="14" t="str">
        <x:v>Southeast</x:v>
      </x:c>
    </x:row>
    <x:row r="116">
      <x:c r="A116" s="50" t="n">
        <x:v>46161</x:v>
      </x:c>
      <x:c r="B116" s="14" t="str">
        <x:v>SKU-0097</x:v>
      </x:c>
      <x:c r="C116" s="52" t="n">
        <x:v>4</x:v>
      </x:c>
      <x:c r="D116" s="40" t="n">
        <x:v>290.31</x:v>
      </x:c>
      <x:c r="E116" s="44" t="n">
        <x:f>C116*D116</x:f>
        <x:v>1161.24</x:v>
      </x:c>
      <x:c r="F116" s="40" t="n">
        <x:v>209.93</x:v>
      </x:c>
      <x:c r="G116" s="44" t="n">
        <x:f>C116*F116</x:f>
        <x:v>839.72</x:v>
      </x:c>
      <x:c r="H116" s="44" t="n">
        <x:f>E116-G116</x:f>
        <x:v>321.52</x:v>
      </x:c>
      <x:c r="I116" s="14" t="str">
        <x:v>SMB</x:v>
      </x:c>
      <x:c r="J116" s="14" t="str">
        <x:v>Southeast</x:v>
      </x:c>
    </x:row>
    <x:row r="117">
      <x:c r="A117" s="50" t="n">
        <x:v>45971</x:v>
      </x:c>
      <x:c r="B117" s="14" t="str">
        <x:v>SKU-0038</x:v>
      </x:c>
      <x:c r="C117" s="52" t="n">
        <x:v>3</x:v>
      </x:c>
      <x:c r="D117" s="40" t="n">
        <x:v>254.74</x:v>
      </x:c>
      <x:c r="E117" s="44" t="n">
        <x:f>C117*D117</x:f>
        <x:v>764.22</x:v>
      </x:c>
      <x:c r="F117" s="40" t="n">
        <x:v>160.43</x:v>
      </x:c>
      <x:c r="G117" s="44" t="n">
        <x:f>C117*F117</x:f>
        <x:v>481.29</x:v>
      </x:c>
      <x:c r="H117" s="44" t="n">
        <x:f>E117-G117</x:f>
        <x:v>282.93</x:v>
      </x:c>
      <x:c r="I117" s="14" t="str">
        <x:v>Distributor</x:v>
      </x:c>
      <x:c r="J117" s="14" t="str">
        <x:v>Southeast</x:v>
      </x:c>
    </x:row>
    <x:row r="118">
      <x:c r="A118" s="50" t="n">
        <x:v>45947</x:v>
      </x:c>
      <x:c r="B118" s="14" t="str">
        <x:v>SKU-0031</x:v>
      </x:c>
      <x:c r="C118" s="52" t="n">
        <x:v>8</x:v>
      </x:c>
      <x:c r="D118" s="40" t="n">
        <x:v>311.46</x:v>
      </x:c>
      <x:c r="E118" s="44" t="n">
        <x:f>C118*D118</x:f>
        <x:v>2491.68</x:v>
      </x:c>
      <x:c r="F118" s="40" t="n">
        <x:v>247.09</x:v>
      </x:c>
      <x:c r="G118" s="44" t="n">
        <x:f>C118*F118</x:f>
        <x:v>1976.72</x:v>
      </x:c>
      <x:c r="H118" s="44" t="n">
        <x:f>E118-G118</x:f>
        <x:v>514.9599999999998</x:v>
      </x:c>
      <x:c r="I118" s="14" t="str">
        <x:v>Internal Use</x:v>
      </x:c>
      <x:c r="J118" s="14" t="str">
        <x:v>Southeast</x:v>
      </x:c>
    </x:row>
    <x:row r="119">
      <x:c r="A119" s="50" t="n">
        <x:v>46181</x:v>
      </x:c>
      <x:c r="B119" s="14" t="str">
        <x:v>SKU-0056</x:v>
      </x:c>
      <x:c r="C119" s="52" t="n">
        <x:v>13</x:v>
      </x:c>
      <x:c r="D119" s="40" t="n">
        <x:v>311.65</x:v>
      </x:c>
      <x:c r="E119" s="44" t="n">
        <x:f>C119*D119</x:f>
        <x:v>4051.45</x:v>
      </x:c>
      <x:c r="F119" s="40" t="n">
        <x:v>219.68</x:v>
      </x:c>
      <x:c r="G119" s="44" t="n">
        <x:f>C119*F119</x:f>
        <x:v>2855.84</x:v>
      </x:c>
      <x:c r="H119" s="44" t="n">
        <x:f>E119-G119</x:f>
        <x:v>1195.6099999999997</x:v>
      </x:c>
      <x:c r="I119" s="14" t="str">
        <x:v>Enterprise</x:v>
      </x:c>
      <x:c r="J119" s="14" t="str">
        <x:v>Southeast</x:v>
      </x:c>
    </x:row>
    <x:row r="120">
      <x:c r="A120" s="50" t="n">
        <x:v>46022</x:v>
      </x:c>
      <x:c r="B120" s="14" t="str">
        <x:v>SKU-0141</x:v>
      </x:c>
      <x:c r="C120" s="52" t="n">
        <x:v>13</x:v>
      </x:c>
      <x:c r="D120" s="40" t="n">
        <x:v>378.16</x:v>
      </x:c>
      <x:c r="E120" s="44" t="n">
        <x:f>C120*D120</x:f>
        <x:v>4916.08</x:v>
      </x:c>
      <x:c r="F120" s="40" t="n">
        <x:v>279.99</x:v>
      </x:c>
      <x:c r="G120" s="44" t="n">
        <x:f>C120*F120</x:f>
        <x:v>3639.87</x:v>
      </x:c>
      <x:c r="H120" s="44" t="n">
        <x:f>E120-G120</x:f>
        <x:v>1276.21</x:v>
      </x:c>
      <x:c r="I120" s="14" t="str">
        <x:v>Enterprise</x:v>
      </x:c>
      <x:c r="J120" s="14" t="str">
        <x:v>Southeast</x:v>
      </x:c>
    </x:row>
    <x:row r="121">
      <x:c r="A121" s="50" t="n">
        <x:v>45908</x:v>
      </x:c>
      <x:c r="B121" s="14" t="str">
        <x:v>SKU-0038</x:v>
      </x:c>
      <x:c r="C121" s="52" t="n">
        <x:v>11</x:v>
      </x:c>
      <x:c r="D121" s="40" t="n">
        <x:v>250.82</x:v>
      </x:c>
      <x:c r="E121" s="44" t="n">
        <x:f>C121*D121</x:f>
        <x:v>2759.02</x:v>
      </x:c>
      <x:c r="F121" s="40" t="n">
        <x:v>160.43</x:v>
      </x:c>
      <x:c r="G121" s="44" t="n">
        <x:f>C121*F121</x:f>
        <x:v>1764.73</x:v>
      </x:c>
      <x:c r="H121" s="44" t="n">
        <x:f>E121-G121</x:f>
        <x:v>994.29</x:v>
      </x:c>
      <x:c r="I121" s="14" t="str">
        <x:v>Distributor</x:v>
      </x:c>
      <x:c r="J121" s="14" t="str">
        <x:v>Midwest</x:v>
      </x:c>
    </x:row>
    <x:row r="122">
      <x:c r="A122" s="50" t="n">
        <x:v>45905</x:v>
      </x:c>
      <x:c r="B122" s="14" t="str">
        <x:v>SKU-0023</x:v>
      </x:c>
      <x:c r="C122" s="52" t="n">
        <x:v>4</x:v>
      </x:c>
      <x:c r="D122" s="40" t="n">
        <x:v>99.19</x:v>
      </x:c>
      <x:c r="E122" s="44" t="n">
        <x:f>C122*D122</x:f>
        <x:v>396.76</x:v>
      </x:c>
      <x:c r="F122" s="40" t="n">
        <x:v>76.21</x:v>
      </x:c>
      <x:c r="G122" s="44" t="n">
        <x:f>C122*F122</x:f>
        <x:v>304.84</x:v>
      </x:c>
      <x:c r="H122" s="44" t="n">
        <x:f>E122-G122</x:f>
        <x:v>91.92000000000002</x:v>
      </x:c>
      <x:c r="I122" s="14" t="str">
        <x:v>SMB</x:v>
      </x:c>
      <x:c r="J122" s="14" t="str">
        <x:v>West</x:v>
      </x:c>
    </x:row>
    <x:row r="123">
      <x:c r="A123" s="50" t="n">
        <x:v>46064</x:v>
      </x:c>
      <x:c r="B123" s="14" t="str">
        <x:v>SKU-0149</x:v>
      </x:c>
      <x:c r="C123" s="52" t="n">
        <x:v>5</x:v>
      </x:c>
      <x:c r="D123" s="40" t="n">
        <x:v>389.83</x:v>
      </x:c>
      <x:c r="E123" s="44" t="n">
        <x:f>C123*D123</x:f>
        <x:v>1949.1499999999999</x:v>
      </x:c>
      <x:c r="F123" s="40" t="n">
        <x:v>257.08</x:v>
      </x:c>
      <x:c r="G123" s="44" t="n">
        <x:f>C123*F123</x:f>
        <x:v>1285.3999999999999</x:v>
      </x:c>
      <x:c r="H123" s="44" t="n">
        <x:f>E123-G123</x:f>
        <x:v>663.75</x:v>
      </x:c>
      <x:c r="I123" s="14" t="str">
        <x:v>Enterprise</x:v>
      </x:c>
      <x:c r="J123" s="14" t="str">
        <x:v>West</x:v>
      </x:c>
    </x:row>
    <x:row r="124">
      <x:c r="A124" s="50" t="n">
        <x:v>45913</x:v>
      </x:c>
      <x:c r="B124" s="14" t="str">
        <x:v>SKU-0141</x:v>
      </x:c>
      <x:c r="C124" s="52" t="n">
        <x:v>6</x:v>
      </x:c>
      <x:c r="D124" s="40" t="n">
        <x:v>370.92</x:v>
      </x:c>
      <x:c r="E124" s="44" t="n">
        <x:f>C124*D124</x:f>
        <x:v>2225.52</x:v>
      </x:c>
      <x:c r="F124" s="40" t="n">
        <x:v>279.99</x:v>
      </x:c>
      <x:c r="G124" s="44" t="n">
        <x:f>C124*F124</x:f>
        <x:v>1679.94</x:v>
      </x:c>
      <x:c r="H124" s="44" t="n">
        <x:f>E124-G124</x:f>
        <x:v>545.5799999999999</x:v>
      </x:c>
      <x:c r="I124" s="14" t="str">
        <x:v>Distributor</x:v>
      </x:c>
      <x:c r="J124" s="14" t="str">
        <x:v>Midwest</x:v>
      </x:c>
    </x:row>
    <x:row r="125">
      <x:c r="A125" s="50" t="n">
        <x:v>46091</x:v>
      </x:c>
      <x:c r="B125" s="14" t="str">
        <x:v>SKU-0135</x:v>
      </x:c>
      <x:c r="C125" s="52" t="n">
        <x:v>10</x:v>
      </x:c>
      <x:c r="D125" s="40" t="n">
        <x:v>347.02</x:v>
      </x:c>
      <x:c r="E125" s="44" t="n">
        <x:f>C125*D125</x:f>
        <x:v>3470.2</x:v>
      </x:c>
      <x:c r="F125" s="40" t="n">
        <x:v>275.11</x:v>
      </x:c>
      <x:c r="G125" s="44" t="n">
        <x:f>C125*F125</x:f>
        <x:v>2751.1000000000004</x:v>
      </x:c>
      <x:c r="H125" s="44" t="n">
        <x:f>E125-G125</x:f>
        <x:v>719.0999999999995</x:v>
      </x:c>
      <x:c r="I125" s="14" t="str">
        <x:v>Enterprise</x:v>
      </x:c>
      <x:c r="J125" s="14" t="str">
        <x:v>Northeast</x:v>
      </x:c>
    </x:row>
    <x:row r="126">
      <x:c r="A126" s="50" t="n">
        <x:v>46232</x:v>
      </x:c>
      <x:c r="B126" s="14" t="str">
        <x:v>SKU-0124</x:v>
      </x:c>
      <x:c r="C126" s="52" t="n">
        <x:v>17</x:v>
      </x:c>
      <x:c r="D126" s="40" t="n">
        <x:v>134.85</x:v>
      </x:c>
      <x:c r="E126" s="44" t="n">
        <x:f>C126*D126</x:f>
        <x:v>2292.45</x:v>
      </x:c>
      <x:c r="F126" s="40" t="n">
        <x:v>59.23</x:v>
      </x:c>
      <x:c r="G126" s="44" t="n">
        <x:f>C126*F126</x:f>
        <x:v>1006.91</x:v>
      </x:c>
      <x:c r="H126" s="44" t="n">
        <x:f>E126-G126</x:f>
        <x:v>1285.54</x:v>
      </x:c>
      <x:c r="I126" s="14" t="str">
        <x:v>Internal Use</x:v>
      </x:c>
      <x:c r="J126" s="14" t="str">
        <x:v>Midwest</x:v>
      </x:c>
    </x:row>
    <x:row r="127">
      <x:c r="A127" s="50" t="n">
        <x:v>46149</x:v>
      </x:c>
      <x:c r="B127" s="14" t="str">
        <x:v>SKU-0067</x:v>
      </x:c>
      <x:c r="C127" s="52" t="n">
        <x:v>11</x:v>
      </x:c>
      <x:c r="D127" s="40" t="n">
        <x:v>149.48</x:v>
      </x:c>
      <x:c r="E127" s="44" t="n">
        <x:f>C127*D127</x:f>
        <x:v>1644.28</x:v>
      </x:c>
      <x:c r="F127" s="40" t="n">
        <x:v>113.7</x:v>
      </x:c>
      <x:c r="G127" s="44" t="n">
        <x:f>C127*F127</x:f>
        <x:v>1250.7</x:v>
      </x:c>
      <x:c r="H127" s="44" t="n">
        <x:f>E127-G127</x:f>
        <x:v>393.5799999999999</x:v>
      </x:c>
      <x:c r="I127" s="14" t="str">
        <x:v>Internal Use</x:v>
      </x:c>
      <x:c r="J127" s="14" t="str">
        <x:v>West</x:v>
      </x:c>
    </x:row>
    <x:row r="128">
      <x:c r="A128" s="50" t="n">
        <x:v>45972</x:v>
      </x:c>
      <x:c r="B128" s="14" t="str">
        <x:v>SKU-0127</x:v>
      </x:c>
      <x:c r="C128" s="52" t="n">
        <x:v>17</x:v>
      </x:c>
      <x:c r="D128" s="40" t="n">
        <x:v>250.08</x:v>
      </x:c>
      <x:c r="E128" s="44" t="n">
        <x:f>C128*D128</x:f>
        <x:v>4251.360000000001</x:v>
      </x:c>
      <x:c r="F128" s="40" t="n">
        <x:v>114.9</x:v>
      </x:c>
      <x:c r="G128" s="44" t="n">
        <x:f>C128*F128</x:f>
        <x:v>1953.3000000000002</x:v>
      </x:c>
      <x:c r="H128" s="44" t="n">
        <x:f>E128-G128</x:f>
        <x:v>2298.0600000000004</x:v>
      </x:c>
      <x:c r="I128" s="14" t="str">
        <x:v>SMB</x:v>
      </x:c>
      <x:c r="J128" s="14" t="str">
        <x:v>Northeast</x:v>
      </x:c>
    </x:row>
    <x:row r="129">
      <x:c r="A129" s="50" t="n">
        <x:v>45892</x:v>
      </x:c>
      <x:c r="B129" s="14" t="str">
        <x:v>SKU-0031</x:v>
      </x:c>
      <x:c r="C129" s="52" t="n">
        <x:v>7</x:v>
      </x:c>
      <x:c r="D129" s="40" t="n">
        <x:v>308.26</x:v>
      </x:c>
      <x:c r="E129" s="44" t="n">
        <x:f>C129*D129</x:f>
        <x:v>2157.8199999999997</x:v>
      </x:c>
      <x:c r="F129" s="40" t="n">
        <x:v>247.09</x:v>
      </x:c>
      <x:c r="G129" s="44" t="n">
        <x:f>C129*F129</x:f>
        <x:v>1729.63</x:v>
      </x:c>
      <x:c r="H129" s="44" t="n">
        <x:f>E129-G129</x:f>
        <x:v>428.1899999999996</x:v>
      </x:c>
      <x:c r="I129" s="14" t="str">
        <x:v>SMB</x:v>
      </x:c>
      <x:c r="J129" s="14" t="str">
        <x:v>West</x:v>
      </x:c>
    </x:row>
    <x:row r="130">
      <x:c r="A130" s="50" t="n">
        <x:v>45903</x:v>
      </x:c>
      <x:c r="B130" s="14" t="str">
        <x:v>SKU-0106</x:v>
      </x:c>
      <x:c r="C130" s="52" t="n">
        <x:v>5</x:v>
      </x:c>
      <x:c r="D130" s="40" t="n">
        <x:v>304.29</x:v>
      </x:c>
      <x:c r="E130" s="44" t="n">
        <x:f>C130*D130</x:f>
        <x:v>1521.45</x:v>
      </x:c>
      <x:c r="F130" s="40" t="n">
        <x:v>220.84</x:v>
      </x:c>
      <x:c r="G130" s="44" t="n">
        <x:f>C130*F130</x:f>
        <x:v>1104.2</x:v>
      </x:c>
      <x:c r="H130" s="44" t="n">
        <x:f>E130-G130</x:f>
        <x:v>417.25</x:v>
      </x:c>
      <x:c r="I130" s="14" t="str">
        <x:v>Enterprise</x:v>
      </x:c>
      <x:c r="J130" s="14" t="str">
        <x:v>Southeast</x:v>
      </x:c>
    </x:row>
    <x:row r="131">
      <x:c r="A131" s="50" t="n">
        <x:v>46010</x:v>
      </x:c>
      <x:c r="B131" s="14" t="str">
        <x:v>SKU-0073</x:v>
      </x:c>
      <x:c r="C131" s="52" t="n">
        <x:v>16</x:v>
      </x:c>
      <x:c r="D131" s="40" t="n">
        <x:v>66.34</x:v>
      </x:c>
      <x:c r="E131" s="44" t="n">
        <x:f>C131*D131</x:f>
        <x:v>1061.44</x:v>
      </x:c>
      <x:c r="F131" s="40" t="n">
        <x:v>37.01</x:v>
      </x:c>
      <x:c r="G131" s="44" t="n">
        <x:f>C131*F131</x:f>
        <x:v>592.16</x:v>
      </x:c>
      <x:c r="H131" s="44" t="n">
        <x:f>E131-G131</x:f>
        <x:v>469.2800000000001</x:v>
      </x:c>
      <x:c r="I131" s="14" t="str">
        <x:v>Distributor</x:v>
      </x:c>
      <x:c r="J131" s="14" t="str">
        <x:v>Northeast</x:v>
      </x:c>
    </x:row>
    <x:row r="132">
      <x:c r="A132" s="50" t="n">
        <x:v>46231</x:v>
      </x:c>
      <x:c r="B132" s="14" t="str">
        <x:v>SKU-0030</x:v>
      </x:c>
      <x:c r="C132" s="52" t="n">
        <x:v>6</x:v>
      </x:c>
      <x:c r="D132" s="40" t="n">
        <x:v>341.56</x:v>
      </x:c>
      <x:c r="E132" s="44" t="n">
        <x:f>C132*D132</x:f>
        <x:v>2049.36</x:v>
      </x:c>
      <x:c r="F132" s="40" t="n">
        <x:v>191.77</x:v>
      </x:c>
      <x:c r="G132" s="44" t="n">
        <x:f>C132*F132</x:f>
        <x:v>1150.6200000000001</x:v>
      </x:c>
      <x:c r="H132" s="44" t="n">
        <x:f>E132-G132</x:f>
        <x:v>898.74</x:v>
      </x:c>
      <x:c r="I132" s="14" t="str">
        <x:v>Enterprise</x:v>
      </x:c>
      <x:c r="J132" s="14" t="str">
        <x:v>Southeast</x:v>
      </x:c>
    </x:row>
    <x:row r="133">
      <x:c r="A133" s="50" t="n">
        <x:v>46049</x:v>
      </x:c>
      <x:c r="B133" s="14" t="str">
        <x:v>SKU-0050</x:v>
      </x:c>
      <x:c r="C133" s="52" t="n">
        <x:v>8</x:v>
      </x:c>
      <x:c r="D133" s="40" t="n">
        <x:v>298.43</x:v>
      </x:c>
      <x:c r="E133" s="44" t="n">
        <x:f>C133*D133</x:f>
        <x:v>2387.44</x:v>
      </x:c>
      <x:c r="F133" s="40" t="n">
        <x:v>150.72</x:v>
      </x:c>
      <x:c r="G133" s="44" t="n">
        <x:f>C133*F133</x:f>
        <x:v>1205.76</x:v>
      </x:c>
      <x:c r="H133" s="44" t="n">
        <x:f>E133-G133</x:f>
        <x:v>1181.68</x:v>
      </x:c>
      <x:c r="I133" s="14" t="str">
        <x:v>SMB</x:v>
      </x:c>
      <x:c r="J133" s="14" t="str">
        <x:v>West</x:v>
      </x:c>
    </x:row>
    <x:row r="134">
      <x:c r="A134" s="50" t="n">
        <x:v>46201</x:v>
      </x:c>
      <x:c r="B134" s="14" t="str">
        <x:v>SKU-0040</x:v>
      </x:c>
      <x:c r="C134" s="52" t="n">
        <x:v>6</x:v>
      </x:c>
      <x:c r="D134" s="40" t="n">
        <x:v>457.14</x:v>
      </x:c>
      <x:c r="E134" s="44" t="n">
        <x:f>C134*D134</x:f>
        <x:v>2742.84</x:v>
      </x:c>
      <x:c r="F134" s="40" t="n">
        <x:v>229.61</x:v>
      </x:c>
      <x:c r="G134" s="44" t="n">
        <x:f>C134*F134</x:f>
        <x:v>1377.66</x:v>
      </x:c>
      <x:c r="H134" s="44" t="n">
        <x:f>E134-G134</x:f>
        <x:v>1365.18</x:v>
      </x:c>
      <x:c r="I134" s="14" t="str">
        <x:v>Internal Use</x:v>
      </x:c>
      <x:c r="J134" s="14" t="str">
        <x:v>West</x:v>
      </x:c>
    </x:row>
    <x:row r="135">
      <x:c r="A135" s="50" t="n">
        <x:v>46146</x:v>
      </x:c>
      <x:c r="B135" s="14" t="str">
        <x:v>SKU-0015</x:v>
      </x:c>
      <x:c r="C135" s="52" t="n">
        <x:v>3</x:v>
      </x:c>
      <x:c r="D135" s="40" t="n">
        <x:v>258.89</x:v>
      </x:c>
      <x:c r="E135" s="44" t="n">
        <x:f>C135*D135</x:f>
        <x:v>776.67</x:v>
      </x:c>
      <x:c r="F135" s="40" t="n">
        <x:v>185.37</x:v>
      </x:c>
      <x:c r="G135" s="44" t="n">
        <x:f>C135*F135</x:f>
        <x:v>556.11</x:v>
      </x:c>
      <x:c r="H135" s="44" t="n">
        <x:f>E135-G135</x:f>
        <x:v>220.55999999999995</x:v>
      </x:c>
      <x:c r="I135" s="14" t="str">
        <x:v>Enterprise</x:v>
      </x:c>
      <x:c r="J135" s="14" t="str">
        <x:v>Southeast</x:v>
      </x:c>
    </x:row>
    <x:row r="136">
      <x:c r="A136" s="50" t="n">
        <x:v>46230</x:v>
      </x:c>
      <x:c r="B136" s="14" t="str">
        <x:v>SKU-0148</x:v>
      </x:c>
      <x:c r="C136" s="52" t="n">
        <x:v>6</x:v>
      </x:c>
      <x:c r="D136" s="40" t="n">
        <x:v>407.37</x:v>
      </x:c>
      <x:c r="E136" s="44" t="n">
        <x:f>C136*D136</x:f>
        <x:v>2444.2200000000003</x:v>
      </x:c>
      <x:c r="F136" s="40" t="n">
        <x:v>278.48</x:v>
      </x:c>
      <x:c r="G136" s="44" t="n">
        <x:f>C136*F136</x:f>
        <x:v>1670.88</x:v>
      </x:c>
      <x:c r="H136" s="44" t="n">
        <x:f>E136-G136</x:f>
        <x:v>773.3400000000001</x:v>
      </x:c>
      <x:c r="I136" s="14" t="str">
        <x:v>SMB</x:v>
      </x:c>
      <x:c r="J136" s="14" t="str">
        <x:v>West</x:v>
      </x:c>
    </x:row>
    <x:row r="137">
      <x:c r="A137" s="50" t="n">
        <x:v>46184</x:v>
      </x:c>
      <x:c r="B137" s="14" t="str">
        <x:v>SKU-0048</x:v>
      </x:c>
      <x:c r="C137" s="52" t="n">
        <x:v>1</x:v>
      </x:c>
      <x:c r="D137" s="40" t="n">
        <x:v>444.94</x:v>
      </x:c>
      <x:c r="E137" s="44" t="n">
        <x:f>C137*D137</x:f>
        <x:v>444.94</x:v>
      </x:c>
      <x:c r="F137" s="40" t="n">
        <x:v>211.59</x:v>
      </x:c>
      <x:c r="G137" s="44" t="n">
        <x:f>C137*F137</x:f>
        <x:v>211.59</x:v>
      </x:c>
      <x:c r="H137" s="44" t="n">
        <x:f>E137-G137</x:f>
        <x:v>233.35</x:v>
      </x:c>
      <x:c r="I137" s="14" t="str">
        <x:v>Distributor</x:v>
      </x:c>
      <x:c r="J137" s="14" t="str">
        <x:v>West</x:v>
      </x:c>
    </x:row>
    <x:row r="138">
      <x:c r="A138" s="50" t="n">
        <x:v>46134</x:v>
      </x:c>
      <x:c r="B138" s="14" t="str">
        <x:v>SKU-0023</x:v>
      </x:c>
      <x:c r="C138" s="52" t="n">
        <x:v>20</x:v>
      </x:c>
      <x:c r="D138" s="40" t="n">
        <x:v>101.7</x:v>
      </x:c>
      <x:c r="E138" s="44" t="n">
        <x:f>C138*D138</x:f>
        <x:v>2034</x:v>
      </x:c>
      <x:c r="F138" s="40" t="n">
        <x:v>76.21</x:v>
      </x:c>
      <x:c r="G138" s="44" t="n">
        <x:f>C138*F138</x:f>
        <x:v>1524.1999999999998</x:v>
      </x:c>
      <x:c r="H138" s="44" t="n">
        <x:f>E138-G138</x:f>
        <x:v>509.8000000000002</x:v>
      </x:c>
      <x:c r="I138" s="14" t="str">
        <x:v>Distributor</x:v>
      </x:c>
      <x:c r="J138" s="14" t="str">
        <x:v>Southeast</x:v>
      </x:c>
    </x:row>
    <x:row r="139">
      <x:c r="A139" s="50" t="n">
        <x:v>46034</x:v>
      </x:c>
      <x:c r="B139" s="14" t="str">
        <x:v>SKU-0135</x:v>
      </x:c>
      <x:c r="C139" s="52" t="n">
        <x:v>4</x:v>
      </x:c>
      <x:c r="D139" s="40" t="n">
        <x:v>316.86</x:v>
      </x:c>
      <x:c r="E139" s="44" t="n">
        <x:f>C139*D139</x:f>
        <x:v>1267.44</x:v>
      </x:c>
      <x:c r="F139" s="40" t="n">
        <x:v>275.11</x:v>
      </x:c>
      <x:c r="G139" s="44" t="n">
        <x:f>C139*F139</x:f>
        <x:v>1100.44</x:v>
      </x:c>
      <x:c r="H139" s="44" t="n">
        <x:f>E139-G139</x:f>
        <x:v>167</x:v>
      </x:c>
      <x:c r="I139" s="14" t="str">
        <x:v>SMB</x:v>
      </x:c>
      <x:c r="J139" s="14" t="str">
        <x:v>Northeast</x:v>
      </x:c>
    </x:row>
    <x:row r="140">
      <x:c r="A140" s="50" t="n">
        <x:v>46139</x:v>
      </x:c>
      <x:c r="B140" s="14" t="str">
        <x:v>SKU-0114</x:v>
      </x:c>
      <x:c r="C140" s="52" t="n">
        <x:v>2</x:v>
      </x:c>
      <x:c r="D140" s="40" t="n">
        <x:v>342.63</x:v>
      </x:c>
      <x:c r="E140" s="44" t="n">
        <x:f>C140*D140</x:f>
        <x:v>685.26</x:v>
      </x:c>
      <x:c r="F140" s="40" t="n">
        <x:v>232.11</x:v>
      </x:c>
      <x:c r="G140" s="44" t="n">
        <x:f>C140*F140</x:f>
        <x:v>464.22</x:v>
      </x:c>
      <x:c r="H140" s="44" t="n">
        <x:f>E140-G140</x:f>
        <x:v>221.03999999999996</x:v>
      </x:c>
      <x:c r="I140" s="14" t="str">
        <x:v>SMB</x:v>
      </x:c>
      <x:c r="J140" s="14" t="str">
        <x:v>Midwest</x:v>
      </x:c>
    </x:row>
    <x:row r="141">
      <x:c r="A141" s="50" t="n">
        <x:v>46148</x:v>
      </x:c>
      <x:c r="B141" s="14" t="str">
        <x:v>SKU-0124</x:v>
      </x:c>
      <x:c r="C141" s="52" t="n">
        <x:v>6</x:v>
      </x:c>
      <x:c r="D141" s="40" t="n">
        <x:v>136.11</x:v>
      </x:c>
      <x:c r="E141" s="44" t="n">
        <x:f>C141*D141</x:f>
        <x:v>816.6600000000001</x:v>
      </x:c>
      <x:c r="F141" s="40" t="n">
        <x:v>59.23</x:v>
      </x:c>
      <x:c r="G141" s="44" t="n">
        <x:f>C141*F141</x:f>
        <x:v>355.38</x:v>
      </x:c>
      <x:c r="H141" s="44" t="n">
        <x:f>E141-G141</x:f>
        <x:v>461.2800000000001</x:v>
      </x:c>
      <x:c r="I141" s="14" t="str">
        <x:v>Enterprise</x:v>
      </x:c>
      <x:c r="J141" s="14" t="str">
        <x:v>Southeast</x:v>
      </x:c>
    </x:row>
    <x:row r="142">
      <x:c r="A142" s="50" t="n">
        <x:v>45898</x:v>
      </x:c>
      <x:c r="B142" s="14" t="str">
        <x:v>SKU-0053</x:v>
      </x:c>
      <x:c r="C142" s="52" t="n">
        <x:v>7</x:v>
      </x:c>
      <x:c r="D142" s="40" t="n">
        <x:v>402.99</x:v>
      </x:c>
      <x:c r="E142" s="44" t="n">
        <x:f>C142*D142</x:f>
        <x:v>2820.9300000000003</x:v>
      </x:c>
      <x:c r="F142" s="40" t="n">
        <x:v>235.39</x:v>
      </x:c>
      <x:c r="G142" s="44" t="n">
        <x:f>C142*F142</x:f>
        <x:v>1647.73</x:v>
      </x:c>
      <x:c r="H142" s="44" t="n">
        <x:f>E142-G142</x:f>
        <x:v>1173.2000000000003</x:v>
      </x:c>
      <x:c r="I142" s="14" t="str">
        <x:v>Enterprise</x:v>
      </x:c>
      <x:c r="J142" s="14" t="str">
        <x:v>Midwest</x:v>
      </x:c>
    </x:row>
    <x:row r="143">
      <x:c r="A143" s="50" t="n">
        <x:v>46231</x:v>
      </x:c>
      <x:c r="B143" s="14" t="str">
        <x:v>SKU-0012</x:v>
      </x:c>
      <x:c r="C143" s="52" t="n">
        <x:v>1</x:v>
      </x:c>
      <x:c r="D143" s="40" t="n">
        <x:v>361</x:v>
      </x:c>
      <x:c r="E143" s="44" t="n">
        <x:f>C143*D143</x:f>
        <x:v>361</x:v>
      </x:c>
      <x:c r="F143" s="40" t="n">
        <x:v>252.14</x:v>
      </x:c>
      <x:c r="G143" s="44" t="n">
        <x:f>C143*F143</x:f>
        <x:v>252.14</x:v>
      </x:c>
      <x:c r="H143" s="44" t="n">
        <x:f>E143-G143</x:f>
        <x:v>108.86000000000001</x:v>
      </x:c>
      <x:c r="I143" s="14" t="str">
        <x:v>Distributor</x:v>
      </x:c>
      <x:c r="J143" s="14" t="str">
        <x:v>Northeast</x:v>
      </x:c>
    </x:row>
    <x:row r="144">
      <x:c r="A144" s="50" t="n">
        <x:v>46039</x:v>
      </x:c>
      <x:c r="B144" s="14" t="str">
        <x:v>SKU-0148</x:v>
      </x:c>
      <x:c r="C144" s="52" t="n">
        <x:v>11</x:v>
      </x:c>
      <x:c r="D144" s="40" t="n">
        <x:v>386.56</x:v>
      </x:c>
      <x:c r="E144" s="44" t="n">
        <x:f>C144*D144</x:f>
        <x:v>4252.16</x:v>
      </x:c>
      <x:c r="F144" s="40" t="n">
        <x:v>278.48</x:v>
      </x:c>
      <x:c r="G144" s="44" t="n">
        <x:f>C144*F144</x:f>
        <x:v>3063.28</x:v>
      </x:c>
      <x:c r="H144" s="44" t="n">
        <x:f>E144-G144</x:f>
        <x:v>1188.8799999999997</x:v>
      </x:c>
      <x:c r="I144" s="14" t="str">
        <x:v>Distributor</x:v>
      </x:c>
      <x:c r="J144" s="14" t="str">
        <x:v>Midwest</x:v>
      </x:c>
    </x:row>
    <x:row r="145">
      <x:c r="A145" s="50" t="n">
        <x:v>46043</x:v>
      </x:c>
      <x:c r="B145" s="14" t="str">
        <x:v>SKU-0137</x:v>
      </x:c>
      <x:c r="C145" s="52" t="n">
        <x:v>28</x:v>
      </x:c>
      <x:c r="D145" s="40" t="n">
        <x:v>148.18</x:v>
      </x:c>
      <x:c r="E145" s="44" t="n">
        <x:f>C145*D145</x:f>
        <x:v>4149.04</x:v>
      </x:c>
      <x:c r="F145" s="40" t="n">
        <x:v>93.99</x:v>
      </x:c>
      <x:c r="G145" s="44" t="n">
        <x:f>C145*F145</x:f>
        <x:v>2631.72</x:v>
      </x:c>
      <x:c r="H145" s="44" t="n">
        <x:f>E145-G145</x:f>
        <x:v>1517.3200000000002</x:v>
      </x:c>
      <x:c r="I145" s="14" t="str">
        <x:v>SMB</x:v>
      </x:c>
      <x:c r="J145" s="14" t="str">
        <x:v>Midwest</x:v>
      </x:c>
    </x:row>
    <x:row r="146">
      <x:c r="A146" s="50" t="n">
        <x:v>45887</x:v>
      </x:c>
      <x:c r="B146" s="14" t="str">
        <x:v>SKU-0030</x:v>
      </x:c>
      <x:c r="C146" s="52" t="n">
        <x:v>37</x:v>
      </x:c>
      <x:c r="D146" s="40" t="n">
        <x:v>317.3</x:v>
      </x:c>
      <x:c r="E146" s="44" t="n">
        <x:f>C146*D146</x:f>
        <x:v>11740.1</x:v>
      </x:c>
      <x:c r="F146" s="40" t="n">
        <x:v>191.77</x:v>
      </x:c>
      <x:c r="G146" s="44" t="n">
        <x:f>C146*F146</x:f>
        <x:v>7095.490000000001</x:v>
      </x:c>
      <x:c r="H146" s="44" t="n">
        <x:f>E146-G146</x:f>
        <x:v>4644.61</x:v>
      </x:c>
      <x:c r="I146" s="14" t="str">
        <x:v>Distributor</x:v>
      </x:c>
      <x:c r="J146" s="14" t="str">
        <x:v>Midwest</x:v>
      </x:c>
    </x:row>
    <x:row r="147">
      <x:c r="A147" s="50" t="n">
        <x:v>45952</x:v>
      </x:c>
      <x:c r="B147" s="14" t="str">
        <x:v>SKU-0070</x:v>
      </x:c>
      <x:c r="C147" s="52" t="n">
        <x:v>10</x:v>
      </x:c>
      <x:c r="D147" s="40" t="n">
        <x:v>109.11</x:v>
      </x:c>
      <x:c r="E147" s="44" t="n">
        <x:f>C147*D147</x:f>
        <x:v>1091.1</x:v>
      </x:c>
      <x:c r="F147" s="40" t="n">
        <x:v>69.06</x:v>
      </x:c>
      <x:c r="G147" s="44" t="n">
        <x:f>C147*F147</x:f>
        <x:v>690.6</x:v>
      </x:c>
      <x:c r="H147" s="44" t="n">
        <x:f>E147-G147</x:f>
        <x:v>400.4999999999999</x:v>
      </x:c>
      <x:c r="I147" s="14" t="str">
        <x:v>Distributor</x:v>
      </x:c>
      <x:c r="J147" s="14" t="str">
        <x:v>West</x:v>
      </x:c>
    </x:row>
    <x:row r="148">
      <x:c r="A148" s="50" t="n">
        <x:v>45946</x:v>
      </x:c>
      <x:c r="B148" s="14" t="str">
        <x:v>SKU-0013</x:v>
      </x:c>
      <x:c r="C148" s="52" t="n">
        <x:v>3</x:v>
      </x:c>
      <x:c r="D148" s="40" t="n">
        <x:v>35.7</x:v>
      </x:c>
      <x:c r="E148" s="44" t="n">
        <x:f>C148*D148</x:f>
        <x:v>107.10000000000001</x:v>
      </x:c>
      <x:c r="F148" s="40" t="n">
        <x:v>22.2</x:v>
      </x:c>
      <x:c r="G148" s="44" t="n">
        <x:f>C148*F148</x:f>
        <x:v>66.6</x:v>
      </x:c>
      <x:c r="H148" s="44" t="n">
        <x:f>E148-G148</x:f>
        <x:v>40.500000000000014</x:v>
      </x:c>
      <x:c r="I148" s="14" t="str">
        <x:v>Internal Use</x:v>
      </x:c>
      <x:c r="J148" s="14" t="str">
        <x:v>Southeast</x:v>
      </x:c>
    </x:row>
    <x:row r="149">
      <x:c r="A149" s="50" t="n">
        <x:v>46195</x:v>
      </x:c>
      <x:c r="B149" s="14" t="str">
        <x:v>SKU-0115</x:v>
      </x:c>
      <x:c r="C149" s="52" t="n">
        <x:v>6</x:v>
      </x:c>
      <x:c r="D149" s="40" t="n">
        <x:v>32.9</x:v>
      </x:c>
      <x:c r="E149" s="44" t="n">
        <x:f>C149*D149</x:f>
        <x:v>197.39999999999998</x:v>
      </x:c>
      <x:c r="F149" s="40" t="n">
        <x:v>27.81</x:v>
      </x:c>
      <x:c r="G149" s="44" t="n">
        <x:f>C149*F149</x:f>
        <x:v>166.85999999999999</x:v>
      </x:c>
      <x:c r="H149" s="44" t="n">
        <x:f>E149-G149</x:f>
        <x:v>30.539999999999992</x:v>
      </x:c>
      <x:c r="I149" s="14" t="str">
        <x:v>Enterprise</x:v>
      </x:c>
      <x:c r="J149" s="14" t="str">
        <x:v>West</x:v>
      </x:c>
    </x:row>
    <x:row r="150">
      <x:c r="A150" s="50" t="n">
        <x:v>45947</x:v>
      </x:c>
      <x:c r="B150" s="14" t="str">
        <x:v>SKU-0146</x:v>
      </x:c>
      <x:c r="C150" s="52" t="n">
        <x:v>12</x:v>
      </x:c>
      <x:c r="D150" s="40" t="n">
        <x:v>462.76</x:v>
      </x:c>
      <x:c r="E150" s="44" t="n">
        <x:f>C150*D150</x:f>
        <x:v>5553.12</x:v>
      </x:c>
      <x:c r="F150" s="40" t="n">
        <x:v>261.77</x:v>
      </x:c>
      <x:c r="G150" s="44" t="n">
        <x:f>C150*F150</x:f>
        <x:v>3141.24</x:v>
      </x:c>
      <x:c r="H150" s="44" t="n">
        <x:f>E150-G150</x:f>
        <x:v>2411.88</x:v>
      </x:c>
      <x:c r="I150" s="14" t="str">
        <x:v>Internal Use</x:v>
      </x:c>
      <x:c r="J150" s="14" t="str">
        <x:v>West</x:v>
      </x:c>
    </x:row>
    <x:row r="151">
      <x:c r="A151" s="50" t="n">
        <x:v>45994</x:v>
      </x:c>
      <x:c r="B151" s="14" t="str">
        <x:v>SKU-0060</x:v>
      </x:c>
      <x:c r="C151" s="52" t="n">
        <x:v>5</x:v>
      </x:c>
      <x:c r="D151" s="40" t="n">
        <x:v>113.63</x:v>
      </x:c>
      <x:c r="E151" s="44" t="n">
        <x:f>C151*D151</x:f>
        <x:v>568.15</x:v>
      </x:c>
      <x:c r="F151" s="40" t="n">
        <x:v>61.36</x:v>
      </x:c>
      <x:c r="G151" s="44" t="n">
        <x:f>C151*F151</x:f>
        <x:v>306.8</x:v>
      </x:c>
      <x:c r="H151" s="44" t="n">
        <x:f>E151-G151</x:f>
        <x:v>261.34999999999997</x:v>
      </x:c>
      <x:c r="I151" s="14" t="str">
        <x:v>Distributor</x:v>
      </x:c>
      <x:c r="J151" s="14" t="str">
        <x:v>Midwest</x:v>
      </x:c>
    </x:row>
    <x:row r="152">
      <x:c r="A152" s="50" t="n">
        <x:v>46129</x:v>
      </x:c>
      <x:c r="B152" s="14" t="str">
        <x:v>SKU-0117</x:v>
      </x:c>
      <x:c r="C152" s="52" t="n">
        <x:v>2</x:v>
      </x:c>
      <x:c r="D152" s="40" t="n">
        <x:v>180.1</x:v>
      </x:c>
      <x:c r="E152" s="44" t="n">
        <x:f>C152*D152</x:f>
        <x:v>360.2</x:v>
      </x:c>
      <x:c r="F152" s="40" t="n">
        <x:v>143.31</x:v>
      </x:c>
      <x:c r="G152" s="44" t="n">
        <x:f>C152*F152</x:f>
        <x:v>286.62</x:v>
      </x:c>
      <x:c r="H152" s="44" t="n">
        <x:f>E152-G152</x:f>
        <x:v>73.57999999999998</x:v>
      </x:c>
      <x:c r="I152" s="14" t="str">
        <x:v>Internal Use</x:v>
      </x:c>
      <x:c r="J152" s="14" t="str">
        <x:v>Southeast</x:v>
      </x:c>
    </x:row>
    <x:row r="153">
      <x:c r="A153" s="50" t="n">
        <x:v>46058</x:v>
      </x:c>
      <x:c r="B153" s="14" t="str">
        <x:v>SKU-0073</x:v>
      </x:c>
      <x:c r="C153" s="52" t="n">
        <x:v>10</x:v>
      </x:c>
      <x:c r="D153" s="40" t="n">
        <x:v>62.22</x:v>
      </x:c>
      <x:c r="E153" s="44" t="n">
        <x:f>C153*D153</x:f>
        <x:v>622.2</x:v>
      </x:c>
      <x:c r="F153" s="40" t="n">
        <x:v>37.01</x:v>
      </x:c>
      <x:c r="G153" s="44" t="n">
        <x:f>C153*F153</x:f>
        <x:v>370.09999999999997</x:v>
      </x:c>
      <x:c r="H153" s="44" t="n">
        <x:f>E153-G153</x:f>
        <x:v>252.10000000000008</x:v>
      </x:c>
      <x:c r="I153" s="14" t="str">
        <x:v>Enterprise</x:v>
      </x:c>
      <x:c r="J153" s="14" t="str">
        <x:v>Midwest</x:v>
      </x:c>
    </x:row>
    <x:row r="154">
      <x:c r="A154" s="50" t="n">
        <x:v>46212</x:v>
      </x:c>
      <x:c r="B154" s="14" t="str">
        <x:v>SKU-0143</x:v>
      </x:c>
      <x:c r="C154" s="52" t="n">
        <x:v>3</x:v>
      </x:c>
      <x:c r="D154" s="40" t="n">
        <x:v>183.22</x:v>
      </x:c>
      <x:c r="E154" s="44" t="n">
        <x:f>C154*D154</x:f>
        <x:v>549.66</x:v>
      </x:c>
      <x:c r="F154" s="40" t="n">
        <x:v>123.95</x:v>
      </x:c>
      <x:c r="G154" s="44" t="n">
        <x:f>C154*F154</x:f>
        <x:v>371.85</x:v>
      </x:c>
      <x:c r="H154" s="44" t="n">
        <x:f>E154-G154</x:f>
        <x:v>177.80999999999995</x:v>
      </x:c>
      <x:c r="I154" s="14" t="str">
        <x:v>Internal Use</x:v>
      </x:c>
      <x:c r="J154" s="14" t="str">
        <x:v>Southeast</x:v>
      </x:c>
    </x:row>
    <x:row r="155">
      <x:c r="A155" s="50" t="n">
        <x:v>46160</x:v>
      </x:c>
      <x:c r="B155" s="14" t="str">
        <x:v>SKU-0063</x:v>
      </x:c>
      <x:c r="C155" s="52" t="n">
        <x:v>3</x:v>
      </x:c>
      <x:c r="D155" s="40" t="n">
        <x:v>252.58</x:v>
      </x:c>
      <x:c r="E155" s="44" t="n">
        <x:f>C155*D155</x:f>
        <x:v>757.74</x:v>
      </x:c>
      <x:c r="F155" s="40" t="n">
        <x:v>197.54</x:v>
      </x:c>
      <x:c r="G155" s="44" t="n">
        <x:f>C155*F155</x:f>
        <x:v>592.62</x:v>
      </x:c>
      <x:c r="H155" s="44" t="n">
        <x:f>E155-G155</x:f>
        <x:v>165.12</x:v>
      </x:c>
      <x:c r="I155" s="14" t="str">
        <x:v>SMB</x:v>
      </x:c>
      <x:c r="J155" s="14" t="str">
        <x:v>West</x:v>
      </x:c>
    </x:row>
    <x:row r="156">
      <x:c r="A156" s="50" t="n">
        <x:v>46170</x:v>
      </x:c>
      <x:c r="B156" s="14" t="str">
        <x:v>SKU-0112</x:v>
      </x:c>
      <x:c r="C156" s="52" t="n">
        <x:v>21</x:v>
      </x:c>
      <x:c r="D156" s="40" t="n">
        <x:v>280.62</x:v>
      </x:c>
      <x:c r="E156" s="44" t="n">
        <x:f>C156*D156</x:f>
        <x:v>5893.02</x:v>
      </x:c>
      <x:c r="F156" s="40" t="n">
        <x:v>175.75</x:v>
      </x:c>
      <x:c r="G156" s="44" t="n">
        <x:f>C156*F156</x:f>
        <x:v>3690.75</x:v>
      </x:c>
      <x:c r="H156" s="44" t="n">
        <x:f>E156-G156</x:f>
        <x:v>2202.2700000000004</x:v>
      </x:c>
      <x:c r="I156" s="14" t="str">
        <x:v>Enterprise</x:v>
      </x:c>
      <x:c r="J156" s="14" t="str">
        <x:v>West</x:v>
      </x:c>
    </x:row>
    <x:row r="157">
      <x:c r="A157" s="50" t="n">
        <x:v>46183</x:v>
      </x:c>
      <x:c r="B157" s="14" t="str">
        <x:v>SKU-0030</x:v>
      </x:c>
      <x:c r="C157" s="52" t="n">
        <x:v>10</x:v>
      </x:c>
      <x:c r="D157" s="40" t="n">
        <x:v>317.05</x:v>
      </x:c>
      <x:c r="E157" s="44" t="n">
        <x:f>C157*D157</x:f>
        <x:v>3170.5</x:v>
      </x:c>
      <x:c r="F157" s="40" t="n">
        <x:v>191.77</x:v>
      </x:c>
      <x:c r="G157" s="44" t="n">
        <x:f>C157*F157</x:f>
        <x:v>1917.7</x:v>
      </x:c>
      <x:c r="H157" s="44" t="n">
        <x:f>E157-G157</x:f>
        <x:v>1252.8</x:v>
      </x:c>
      <x:c r="I157" s="14" t="str">
        <x:v>Internal Use</x:v>
      </x:c>
      <x:c r="J157" s="14" t="str">
        <x:v>Southeast</x:v>
      </x:c>
    </x:row>
    <x:row r="158">
      <x:c r="A158" s="50" t="n">
        <x:v>46087</x:v>
      </x:c>
      <x:c r="B158" s="14" t="str">
        <x:v>SKU-0079</x:v>
      </x:c>
      <x:c r="C158" s="52" t="n">
        <x:v>59</x:v>
      </x:c>
      <x:c r="D158" s="40" t="n">
        <x:v>219.57</x:v>
      </x:c>
      <x:c r="E158" s="44" t="n">
        <x:f>C158*D158</x:f>
        <x:v>12954.63</x:v>
      </x:c>
      <x:c r="F158" s="40" t="n">
        <x:v>124.08</x:v>
      </x:c>
      <x:c r="G158" s="44" t="n">
        <x:f>C158*F158</x:f>
        <x:v>7320.72</x:v>
      </x:c>
      <x:c r="H158" s="44" t="n">
        <x:f>E158-G158</x:f>
        <x:v>5633.909999999999</x:v>
      </x:c>
      <x:c r="I158" s="14" t="str">
        <x:v>Internal Use</x:v>
      </x:c>
      <x:c r="J158" s="14" t="str">
        <x:v>Northeast</x:v>
      </x:c>
    </x:row>
    <x:row r="159">
      <x:c r="A159" s="50" t="n">
        <x:v>45991</x:v>
      </x:c>
      <x:c r="B159" s="14" t="str">
        <x:v>SKU-0024</x:v>
      </x:c>
      <x:c r="C159" s="52" t="n">
        <x:v>41</x:v>
      </x:c>
      <x:c r="D159" s="40" t="n">
        <x:v>221.04</x:v>
      </x:c>
      <x:c r="E159" s="44" t="n">
        <x:f>C159*D159</x:f>
        <x:v>9062.64</x:v>
      </x:c>
      <x:c r="F159" s="40" t="n">
        <x:v>151.69</x:v>
      </x:c>
      <x:c r="G159" s="44" t="n">
        <x:f>C159*F159</x:f>
        <x:v>6219.29</x:v>
      </x:c>
      <x:c r="H159" s="44" t="n">
        <x:f>E159-G159</x:f>
        <x:v>2843.3499999999995</x:v>
      </x:c>
      <x:c r="I159" s="14" t="str">
        <x:v>SMB</x:v>
      </x:c>
      <x:c r="J159" s="14" t="str">
        <x:v>Southeast</x:v>
      </x:c>
    </x:row>
    <x:row r="160">
      <x:c r="A160" s="50" t="n">
        <x:v>46152</x:v>
      </x:c>
      <x:c r="B160" s="14" t="str">
        <x:v>SKU-0116</x:v>
      </x:c>
      <x:c r="C160" s="52" t="n">
        <x:v>4</x:v>
      </x:c>
      <x:c r="D160" s="40" t="n">
        <x:v>51.9</x:v>
      </x:c>
      <x:c r="E160" s="44" t="n">
        <x:f>C160*D160</x:f>
        <x:v>207.6</x:v>
      </x:c>
      <x:c r="F160" s="40" t="n">
        <x:v>36.42</x:v>
      </x:c>
      <x:c r="G160" s="44" t="n">
        <x:f>C160*F160</x:f>
        <x:v>145.68</x:v>
      </x:c>
      <x:c r="H160" s="44" t="n">
        <x:f>E160-G160</x:f>
        <x:v>61.91999999999999</x:v>
      </x:c>
      <x:c r="I160" s="14" t="str">
        <x:v>SMB</x:v>
      </x:c>
      <x:c r="J160" s="14" t="str">
        <x:v>Midwest</x:v>
      </x:c>
    </x:row>
    <x:row r="161">
      <x:c r="A161" s="50" t="n">
        <x:v>46171</x:v>
      </x:c>
      <x:c r="B161" s="14" t="str">
        <x:v>SKU-0077</x:v>
      </x:c>
      <x:c r="C161" s="52" t="n">
        <x:v>31</x:v>
      </x:c>
      <x:c r="D161" s="40" t="n">
        <x:v>16.77</x:v>
      </x:c>
      <x:c r="E161" s="44" t="n">
        <x:f>C161*D161</x:f>
        <x:v>519.87</x:v>
      </x:c>
      <x:c r="F161" s="40" t="n">
        <x:v>12.68</x:v>
      </x:c>
      <x:c r="G161" s="44" t="n">
        <x:f>C161*F161</x:f>
        <x:v>393.08</x:v>
      </x:c>
      <x:c r="H161" s="44" t="n">
        <x:f>E161-G161</x:f>
        <x:v>126.79000000000002</x:v>
      </x:c>
      <x:c r="I161" s="14" t="str">
        <x:v>Internal Use</x:v>
      </x:c>
      <x:c r="J161" s="14" t="str">
        <x:v>Midwest</x:v>
      </x:c>
    </x:row>
    <x:row r="162">
      <x:c r="A162" s="50" t="n">
        <x:v>46178</x:v>
      </x:c>
      <x:c r="B162" s="14" t="str">
        <x:v>SKU-0023</x:v>
      </x:c>
      <x:c r="C162" s="52" t="n">
        <x:v>7</x:v>
      </x:c>
      <x:c r="D162" s="40" t="n">
        <x:v>93.73</x:v>
      </x:c>
      <x:c r="E162" s="44" t="n">
        <x:f>C162*D162</x:f>
        <x:v>656.11</x:v>
      </x:c>
      <x:c r="F162" s="40" t="n">
        <x:v>76.21</x:v>
      </x:c>
      <x:c r="G162" s="44" t="n">
        <x:f>C162*F162</x:f>
        <x:v>533.4699999999999</x:v>
      </x:c>
      <x:c r="H162" s="44" t="n">
        <x:f>E162-G162</x:f>
        <x:v>122.6400000000001</x:v>
      </x:c>
      <x:c r="I162" s="14" t="str">
        <x:v>Distributor</x:v>
      </x:c>
      <x:c r="J162" s="14" t="str">
        <x:v>Northeast</x:v>
      </x:c>
    </x:row>
    <x:row r="163">
      <x:c r="A163" s="50" t="n">
        <x:v>46240</x:v>
      </x:c>
      <x:c r="B163" s="14" t="str">
        <x:v>SKU-0001</x:v>
      </x:c>
      <x:c r="C163" s="52" t="n">
        <x:v>4</x:v>
      </x:c>
      <x:c r="D163" s="40" t="n">
        <x:v>266.64</x:v>
      </x:c>
      <x:c r="E163" s="44" t="n">
        <x:f>C163*D163</x:f>
        <x:v>1066.56</x:v>
      </x:c>
      <x:c r="F163" s="40" t="n">
        <x:v>178.71</x:v>
      </x:c>
      <x:c r="G163" s="44" t="n">
        <x:f>C163*F163</x:f>
        <x:v>714.84</x:v>
      </x:c>
      <x:c r="H163" s="44" t="n">
        <x:f>E163-G163</x:f>
        <x:v>351.7199999999999</x:v>
      </x:c>
      <x:c r="I163" s="14" t="str">
        <x:v>Internal Use</x:v>
      </x:c>
      <x:c r="J163" s="14" t="str">
        <x:v>West</x:v>
      </x:c>
    </x:row>
    <x:row r="164">
      <x:c r="A164" s="50" t="n">
        <x:v>46244</x:v>
      </x:c>
      <x:c r="B164" s="14" t="str">
        <x:v>SKU-0082</x:v>
      </x:c>
      <x:c r="C164" s="52" t="n">
        <x:v>6</x:v>
      </x:c>
      <x:c r="D164" s="40" t="n">
        <x:v>154.2</x:v>
      </x:c>
      <x:c r="E164" s="44" t="n">
        <x:f>C164*D164</x:f>
        <x:v>925.1999999999999</x:v>
      </x:c>
      <x:c r="F164" s="40" t="n">
        <x:v>79.16</x:v>
      </x:c>
      <x:c r="G164" s="44" t="n">
        <x:f>C164*F164</x:f>
        <x:v>474.96</x:v>
      </x:c>
      <x:c r="H164" s="44" t="n">
        <x:f>E164-G164</x:f>
        <x:v>450.23999999999995</x:v>
      </x:c>
      <x:c r="I164" s="14" t="str">
        <x:v>SMB</x:v>
      </x:c>
      <x:c r="J164" s="14" t="str">
        <x:v>West</x:v>
      </x:c>
    </x:row>
    <x:row r="165">
      <x:c r="A165" s="50" t="n">
        <x:v>45976</x:v>
      </x:c>
      <x:c r="B165" s="14" t="str">
        <x:v>SKU-0036</x:v>
      </x:c>
      <x:c r="C165" s="52" t="n">
        <x:v>14</x:v>
      </x:c>
      <x:c r="D165" s="40" t="n">
        <x:v>264.67</x:v>
      </x:c>
      <x:c r="E165" s="44" t="n">
        <x:f>C165*D165</x:f>
        <x:v>3705.38</x:v>
      </x:c>
      <x:c r="F165" s="40" t="n">
        <x:v>122.19</x:v>
      </x:c>
      <x:c r="G165" s="44" t="n">
        <x:f>C165*F165</x:f>
        <x:v>1710.6599999999999</x:v>
      </x:c>
      <x:c r="H165" s="44" t="n">
        <x:f>E165-G165</x:f>
        <x:v>1994.7200000000003</x:v>
      </x:c>
      <x:c r="I165" s="14" t="str">
        <x:v>Internal Use</x:v>
      </x:c>
      <x:c r="J165" s="14" t="str">
        <x:v>Southeast</x:v>
      </x:c>
    </x:row>
    <x:row r="166">
      <x:c r="A166" s="50" t="n">
        <x:v>46223</x:v>
      </x:c>
      <x:c r="B166" s="14" t="str">
        <x:v>SKU-0074</x:v>
      </x:c>
      <x:c r="C166" s="52" t="n">
        <x:v>11</x:v>
      </x:c>
      <x:c r="D166" s="40" t="n">
        <x:v>368.32</x:v>
      </x:c>
      <x:c r="E166" s="44" t="n">
        <x:f>C166*D166</x:f>
        <x:v>4051.52</x:v>
      </x:c>
      <x:c r="F166" s="40" t="n">
        <x:v>206.33</x:v>
      </x:c>
      <x:c r="G166" s="44" t="n">
        <x:f>C166*F166</x:f>
        <x:v>2269.63</x:v>
      </x:c>
      <x:c r="H166" s="44" t="n">
        <x:f>E166-G166</x:f>
        <x:v>1781.8899999999999</x:v>
      </x:c>
      <x:c r="I166" s="14" t="str">
        <x:v>Internal Use</x:v>
      </x:c>
      <x:c r="J166" s="14" t="str">
        <x:v>Southeast</x:v>
      </x:c>
    </x:row>
    <x:row r="167">
      <x:c r="A167" s="50" t="n">
        <x:v>45950</x:v>
      </x:c>
      <x:c r="B167" s="14" t="str">
        <x:v>SKU-0022</x:v>
      </x:c>
      <x:c r="C167" s="52" t="n">
        <x:v>12</x:v>
      </x:c>
      <x:c r="D167" s="40" t="n">
        <x:v>283.42</x:v>
      </x:c>
      <x:c r="E167" s="44" t="n">
        <x:f>C167*D167</x:f>
        <x:v>3401.04</x:v>
      </x:c>
      <x:c r="F167" s="40" t="n">
        <x:v>167.48</x:v>
      </x:c>
      <x:c r="G167" s="44" t="n">
        <x:f>C167*F167</x:f>
        <x:v>2009.7599999999998</x:v>
      </x:c>
      <x:c r="H167" s="44" t="n">
        <x:f>E167-G167</x:f>
        <x:v>1391.2800000000002</x:v>
      </x:c>
      <x:c r="I167" s="14" t="str">
        <x:v>Internal Use</x:v>
      </x:c>
      <x:c r="J167" s="14" t="str">
        <x:v>Southeast</x:v>
      </x:c>
    </x:row>
    <x:row r="168">
      <x:c r="A168" s="50" t="n">
        <x:v>46140</x:v>
      </x:c>
      <x:c r="B168" s="14" t="str">
        <x:v>SKU-0117</x:v>
      </x:c>
      <x:c r="C168" s="52" t="n">
        <x:v>5</x:v>
      </x:c>
      <x:c r="D168" s="40" t="n">
        <x:v>181.04</x:v>
      </x:c>
      <x:c r="E168" s="44" t="n">
        <x:f>C168*D168</x:f>
        <x:v>905.1999999999999</x:v>
      </x:c>
      <x:c r="F168" s="40" t="n">
        <x:v>143.31</x:v>
      </x:c>
      <x:c r="G168" s="44" t="n">
        <x:f>C168*F168</x:f>
        <x:v>716.55</x:v>
      </x:c>
      <x:c r="H168" s="44" t="n">
        <x:f>E168-G168</x:f>
        <x:v>188.64999999999998</x:v>
      </x:c>
      <x:c r="I168" s="14" t="str">
        <x:v>SMB</x:v>
      </x:c>
      <x:c r="J168" s="14" t="str">
        <x:v>Southeast</x:v>
      </x:c>
    </x:row>
    <x:row r="169">
      <x:c r="A169" s="50" t="n">
        <x:v>46189</x:v>
      </x:c>
      <x:c r="B169" s="14" t="str">
        <x:v>SKU-0109</x:v>
      </x:c>
      <x:c r="C169" s="52" t="n">
        <x:v>27</x:v>
      </x:c>
      <x:c r="D169" s="40" t="n">
        <x:v>144.87</x:v>
      </x:c>
      <x:c r="E169" s="44" t="n">
        <x:f>C169*D169</x:f>
        <x:v>3911.4900000000002</x:v>
      </x:c>
      <x:c r="F169" s="40" t="n">
        <x:v>119.32</x:v>
      </x:c>
      <x:c r="G169" s="44" t="n">
        <x:f>C169*F169</x:f>
        <x:v>3221.64</x:v>
      </x:c>
      <x:c r="H169" s="44" t="n">
        <x:f>E169-G169</x:f>
        <x:v>689.8500000000004</x:v>
      </x:c>
      <x:c r="I169" s="14" t="str">
        <x:v>Distributor</x:v>
      </x:c>
      <x:c r="J169" s="14" t="str">
        <x:v>Northeast</x:v>
      </x:c>
    </x:row>
    <x:row r="170">
      <x:c r="A170" s="50" t="n">
        <x:v>46170</x:v>
      </x:c>
      <x:c r="B170" s="14" t="str">
        <x:v>SKU-0010</x:v>
      </x:c>
      <x:c r="C170" s="52" t="n">
        <x:v>8</x:v>
      </x:c>
      <x:c r="D170" s="40" t="n">
        <x:v>171.12</x:v>
      </x:c>
      <x:c r="E170" s="44" t="n">
        <x:f>C170*D170</x:f>
        <x:v>1368.96</x:v>
      </x:c>
      <x:c r="F170" s="40" t="n">
        <x:v>137.36</x:v>
      </x:c>
      <x:c r="G170" s="44" t="n">
        <x:f>C170*F170</x:f>
        <x:v>1098.88</x:v>
      </x:c>
      <x:c r="H170" s="44" t="n">
        <x:f>E170-G170</x:f>
        <x:v>270.0799999999999</x:v>
      </x:c>
      <x:c r="I170" s="14" t="str">
        <x:v>Enterprise</x:v>
      </x:c>
      <x:c r="J170" s="14" t="str">
        <x:v>Southeast</x:v>
      </x:c>
    </x:row>
    <x:row r="171">
      <x:c r="A171" s="50" t="n">
        <x:v>46023</x:v>
      </x:c>
      <x:c r="B171" s="14" t="str">
        <x:v>SKU-0135</x:v>
      </x:c>
      <x:c r="C171" s="52" t="n">
        <x:v>8</x:v>
      </x:c>
      <x:c r="D171" s="40" t="n">
        <x:v>361.61</x:v>
      </x:c>
      <x:c r="E171" s="44" t="n">
        <x:f>C171*D171</x:f>
        <x:v>2892.88</x:v>
      </x:c>
      <x:c r="F171" s="40" t="n">
        <x:v>275.11</x:v>
      </x:c>
      <x:c r="G171" s="44" t="n">
        <x:f>C171*F171</x:f>
        <x:v>2200.88</x:v>
      </x:c>
      <x:c r="H171" s="44" t="n">
        <x:f>E171-G171</x:f>
        <x:v>692</x:v>
      </x:c>
      <x:c r="I171" s="14" t="str">
        <x:v>Enterprise</x:v>
      </x:c>
      <x:c r="J171" s="14" t="str">
        <x:v>Southeast</x:v>
      </x:c>
    </x:row>
    <x:row r="172">
      <x:c r="A172" s="50" t="n">
        <x:v>46202</x:v>
      </x:c>
      <x:c r="B172" s="14" t="str">
        <x:v>SKU-0121</x:v>
      </x:c>
      <x:c r="C172" s="52" t="n">
        <x:v>1</x:v>
      </x:c>
      <x:c r="D172" s="40" t="n">
        <x:v>131.45</x:v>
      </x:c>
      <x:c r="E172" s="44" t="n">
        <x:f>C172*D172</x:f>
        <x:v>131.45</x:v>
      </x:c>
      <x:c r="F172" s="40" t="n">
        <x:v>88.98</x:v>
      </x:c>
      <x:c r="G172" s="44" t="n">
        <x:f>C172*F172</x:f>
        <x:v>88.98</x:v>
      </x:c>
      <x:c r="H172" s="44" t="n">
        <x:f>E172-G172</x:f>
        <x:v>42.469999999999985</x:v>
      </x:c>
      <x:c r="I172" s="14" t="str">
        <x:v>Distributor</x:v>
      </x:c>
      <x:c r="J172" s="14" t="str">
        <x:v>Northeast</x:v>
      </x:c>
    </x:row>
    <x:row r="173">
      <x:c r="A173" s="50" t="n">
        <x:v>46153</x:v>
      </x:c>
      <x:c r="B173" s="14" t="str">
        <x:v>SKU-0088</x:v>
      </x:c>
      <x:c r="C173" s="52" t="n">
        <x:v>18</x:v>
      </x:c>
      <x:c r="D173" s="40" t="n">
        <x:v>37</x:v>
      </x:c>
      <x:c r="E173" s="44" t="n">
        <x:f>C173*D173</x:f>
        <x:v>666</x:v>
      </x:c>
      <x:c r="F173" s="40" t="n">
        <x:v>21.49</x:v>
      </x:c>
      <x:c r="G173" s="44" t="n">
        <x:f>C173*F173</x:f>
        <x:v>386.82</x:v>
      </x:c>
      <x:c r="H173" s="44" t="n">
        <x:f>E173-G173</x:f>
        <x:v>279.18</x:v>
      </x:c>
      <x:c r="I173" s="14" t="str">
        <x:v>Internal Use</x:v>
      </x:c>
      <x:c r="J173" s="14" t="str">
        <x:v>Midwest</x:v>
      </x:c>
    </x:row>
    <x:row r="174">
      <x:c r="A174" s="50" t="n">
        <x:v>46060</x:v>
      </x:c>
      <x:c r="B174" s="14" t="str">
        <x:v>SKU-0108</x:v>
      </x:c>
      <x:c r="C174" s="52" t="n">
        <x:v>6</x:v>
      </x:c>
      <x:c r="D174" s="40" t="n">
        <x:v>328.8</x:v>
      </x:c>
      <x:c r="E174" s="44" t="n">
        <x:f>C174*D174</x:f>
        <x:v>1972.8000000000002</x:v>
      </x:c>
      <x:c r="F174" s="40" t="n">
        <x:v>242.94</x:v>
      </x:c>
      <x:c r="G174" s="44" t="n">
        <x:f>C174*F174</x:f>
        <x:v>1457.6399999999999</x:v>
      </x:c>
      <x:c r="H174" s="44" t="n">
        <x:f>E174-G174</x:f>
        <x:v>515.1600000000003</x:v>
      </x:c>
      <x:c r="I174" s="14" t="str">
        <x:v>Distributor</x:v>
      </x:c>
      <x:c r="J174" s="14" t="str">
        <x:v>Midwest</x:v>
      </x:c>
    </x:row>
    <x:row r="175">
      <x:c r="A175" s="50" t="n">
        <x:v>46202</x:v>
      </x:c>
      <x:c r="B175" s="14" t="str">
        <x:v>SKU-0016</x:v>
      </x:c>
      <x:c r="C175" s="52" t="n">
        <x:v>8</x:v>
      </x:c>
      <x:c r="D175" s="40" t="n">
        <x:v>371.58</x:v>
      </x:c>
      <x:c r="E175" s="44" t="n">
        <x:f>C175*D175</x:f>
        <x:v>2972.64</x:v>
      </x:c>
      <x:c r="F175" s="40" t="n">
        <x:v>204.58</x:v>
      </x:c>
      <x:c r="G175" s="44" t="n">
        <x:f>C175*F175</x:f>
        <x:v>1636.64</x:v>
      </x:c>
      <x:c r="H175" s="44" t="n">
        <x:f>E175-G175</x:f>
        <x:v>1335.9999999999998</x:v>
      </x:c>
      <x:c r="I175" s="14" t="str">
        <x:v>Distributor</x:v>
      </x:c>
      <x:c r="J175" s="14" t="str">
        <x:v>Northeast</x:v>
      </x:c>
    </x:row>
    <x:row r="176">
      <x:c r="A176" s="50" t="n">
        <x:v>46128</x:v>
      </x:c>
      <x:c r="B176" s="14" t="str">
        <x:v>SKU-0074</x:v>
      </x:c>
      <x:c r="C176" s="52" t="n">
        <x:v>2</x:v>
      </x:c>
      <x:c r="D176" s="40" t="n">
        <x:v>366.54</x:v>
      </x:c>
      <x:c r="E176" s="44" t="n">
        <x:f>C176*D176</x:f>
        <x:v>733.08</x:v>
      </x:c>
      <x:c r="F176" s="40" t="n">
        <x:v>206.33</x:v>
      </x:c>
      <x:c r="G176" s="44" t="n">
        <x:f>C176*F176</x:f>
        <x:v>412.66</x:v>
      </x:c>
      <x:c r="H176" s="44" t="n">
        <x:f>E176-G176</x:f>
        <x:v>320.42</x:v>
      </x:c>
      <x:c r="I176" s="14" t="str">
        <x:v>Distributor</x:v>
      </x:c>
      <x:c r="J176" s="14" t="str">
        <x:v>Midwest</x:v>
      </x:c>
    </x:row>
    <x:row r="177">
      <x:c r="A177" s="50" t="n">
        <x:v>46195</x:v>
      </x:c>
      <x:c r="B177" s="14" t="str">
        <x:v>SKU-0034</x:v>
      </x:c>
      <x:c r="C177" s="52" t="n">
        <x:v>1</x:v>
      </x:c>
      <x:c r="D177" s="40" t="n">
        <x:v>72.09</x:v>
      </x:c>
      <x:c r="E177" s="44" t="n">
        <x:f>C177*D177</x:f>
        <x:v>72.09</x:v>
      </x:c>
      <x:c r="F177" s="40" t="n">
        <x:v>34.51</x:v>
      </x:c>
      <x:c r="G177" s="44" t="n">
        <x:f>C177*F177</x:f>
        <x:v>34.51</x:v>
      </x:c>
      <x:c r="H177" s="44" t="n">
        <x:f>E177-G177</x:f>
        <x:v>37.580000000000005</x:v>
      </x:c>
      <x:c r="I177" s="14" t="str">
        <x:v>Enterprise</x:v>
      </x:c>
      <x:c r="J177" s="14" t="str">
        <x:v>Southeast</x:v>
      </x:c>
    </x:row>
    <x:row r="178">
      <x:c r="A178" s="50" t="n">
        <x:v>46217</x:v>
      </x:c>
      <x:c r="B178" s="14" t="str">
        <x:v>SKU-0039</x:v>
      </x:c>
      <x:c r="C178" s="52" t="n">
        <x:v>6</x:v>
      </x:c>
      <x:c r="D178" s="40" t="n">
        <x:v>213.72</x:v>
      </x:c>
      <x:c r="E178" s="44" t="n">
        <x:f>C178*D178</x:f>
        <x:v>1282.32</x:v>
      </x:c>
      <x:c r="F178" s="40" t="n">
        <x:v>125.1</x:v>
      </x:c>
      <x:c r="G178" s="44" t="n">
        <x:f>C178*F178</x:f>
        <x:v>750.5999999999999</x:v>
      </x:c>
      <x:c r="H178" s="44" t="n">
        <x:f>E178-G178</x:f>
        <x:v>531.72</x:v>
      </x:c>
      <x:c r="I178" s="14" t="str">
        <x:v>SMB</x:v>
      </x:c>
      <x:c r="J178" s="14" t="str">
        <x:v>West</x:v>
      </x:c>
    </x:row>
    <x:row r="179">
      <x:c r="A179" s="50" t="n">
        <x:v>46150</x:v>
      </x:c>
      <x:c r="B179" s="14" t="str">
        <x:v>SKU-0047</x:v>
      </x:c>
      <x:c r="C179" s="52" t="n">
        <x:v>19</x:v>
      </x:c>
      <x:c r="D179" s="40" t="n">
        <x:v>321.02</x:v>
      </x:c>
      <x:c r="E179" s="44" t="n">
        <x:f>C179*D179</x:f>
        <x:v>6099.379999999999</x:v>
      </x:c>
      <x:c r="F179" s="40" t="n">
        <x:v>233.63</x:v>
      </x:c>
      <x:c r="G179" s="44" t="n">
        <x:f>C179*F179</x:f>
        <x:v>4438.97</x:v>
      </x:c>
      <x:c r="H179" s="44" t="n">
        <x:f>E179-G179</x:f>
        <x:v>1660.409999999999</x:v>
      </x:c>
      <x:c r="I179" s="14" t="str">
        <x:v>SMB</x:v>
      </x:c>
      <x:c r="J179" s="14" t="str">
        <x:v>Southeast</x:v>
      </x:c>
    </x:row>
    <x:row r="180">
      <x:c r="A180" s="50" t="n">
        <x:v>46091</x:v>
      </x:c>
      <x:c r="B180" s="14" t="str">
        <x:v>SKU-0127</x:v>
      </x:c>
      <x:c r="C180" s="52" t="n">
        <x:v>14</x:v>
      </x:c>
      <x:c r="D180" s="40" t="n">
        <x:v>256.04</x:v>
      </x:c>
      <x:c r="E180" s="44" t="n">
        <x:f>C180*D180</x:f>
        <x:v>3584.5600000000004</x:v>
      </x:c>
      <x:c r="F180" s="40" t="n">
        <x:v>114.9</x:v>
      </x:c>
      <x:c r="G180" s="44" t="n">
        <x:f>C180*F180</x:f>
        <x:v>1608.6000000000001</x:v>
      </x:c>
      <x:c r="H180" s="44" t="n">
        <x:f>E180-G180</x:f>
        <x:v>1975.9600000000003</x:v>
      </x:c>
      <x:c r="I180" s="14" t="str">
        <x:v>SMB</x:v>
      </x:c>
      <x:c r="J180" s="14" t="str">
        <x:v>Southeast</x:v>
      </x:c>
    </x:row>
    <x:row r="181">
      <x:c r="A181" s="50" t="n">
        <x:v>46056</x:v>
      </x:c>
      <x:c r="B181" s="14" t="str">
        <x:v>SKU-0148</x:v>
      </x:c>
      <x:c r="C181" s="52" t="n">
        <x:v>3</x:v>
      </x:c>
      <x:c r="D181" s="40" t="n">
        <x:v>425.15</x:v>
      </x:c>
      <x:c r="E181" s="44" t="n">
        <x:f>C181*D181</x:f>
        <x:v>1275.4499999999998</x:v>
      </x:c>
      <x:c r="F181" s="40" t="n">
        <x:v>278.48</x:v>
      </x:c>
      <x:c r="G181" s="44" t="n">
        <x:f>C181*F181</x:f>
        <x:v>835.44</x:v>
      </x:c>
      <x:c r="H181" s="44" t="n">
        <x:f>E181-G181</x:f>
        <x:v>440.00999999999976</x:v>
      </x:c>
      <x:c r="I181" s="14" t="str">
        <x:v>Enterprise</x:v>
      </x:c>
      <x:c r="J181" s="14" t="str">
        <x:v>Southeast</x:v>
      </x:c>
    </x:row>
    <x:row r="182">
      <x:c r="A182" s="50" t="n">
        <x:v>46084</x:v>
      </x:c>
      <x:c r="B182" s="14" t="str">
        <x:v>SKU-0119</x:v>
      </x:c>
      <x:c r="C182" s="52" t="n">
        <x:v>8</x:v>
      </x:c>
      <x:c r="D182" s="40" t="n">
        <x:v>101.67</x:v>
      </x:c>
      <x:c r="E182" s="44" t="n">
        <x:f>C182*D182</x:f>
        <x:v>813.36</x:v>
      </x:c>
      <x:c r="F182" s="40" t="n">
        <x:v>52.57</x:v>
      </x:c>
      <x:c r="G182" s="44" t="n">
        <x:f>C182*F182</x:f>
        <x:v>420.56</x:v>
      </x:c>
      <x:c r="H182" s="44" t="n">
        <x:f>E182-G182</x:f>
        <x:v>392.8</x:v>
      </x:c>
      <x:c r="I182" s="14" t="str">
        <x:v>SMB</x:v>
      </x:c>
      <x:c r="J182" s="14" t="str">
        <x:v>West</x:v>
      </x:c>
    </x:row>
    <x:row r="183">
      <x:c r="A183" s="50" t="n">
        <x:v>46122</x:v>
      </x:c>
      <x:c r="B183" s="14" t="str">
        <x:v>SKU-0100</x:v>
      </x:c>
      <x:c r="C183" s="52" t="n">
        <x:v>4</x:v>
      </x:c>
      <x:c r="D183" s="40" t="n">
        <x:v>185.03</x:v>
      </x:c>
      <x:c r="E183" s="44" t="n">
        <x:f>C183*D183</x:f>
        <x:v>740.12</x:v>
      </x:c>
      <x:c r="F183" s="40" t="n">
        <x:v>108.23</x:v>
      </x:c>
      <x:c r="G183" s="44" t="n">
        <x:f>C183*F183</x:f>
        <x:v>432.92</x:v>
      </x:c>
      <x:c r="H183" s="44" t="n">
        <x:f>E183-G183</x:f>
        <x:v>307.2</x:v>
      </x:c>
      <x:c r="I183" s="14" t="str">
        <x:v>Distributor</x:v>
      </x:c>
      <x:c r="J183" s="14" t="str">
        <x:v>West</x:v>
      </x:c>
    </x:row>
    <x:row r="184">
      <x:c r="A184" s="50" t="n">
        <x:v>46227</x:v>
      </x:c>
      <x:c r="B184" s="14" t="str">
        <x:v>SKU-0098</x:v>
      </x:c>
      <x:c r="C184" s="52" t="n">
        <x:v>5</x:v>
      </x:c>
      <x:c r="D184" s="40" t="n">
        <x:v>402.74</x:v>
      </x:c>
      <x:c r="E184" s="44" t="n">
        <x:f>C184*D184</x:f>
        <x:v>2013.7</x:v>
      </x:c>
      <x:c r="F184" s="40" t="n">
        <x:v>270.95</x:v>
      </x:c>
      <x:c r="G184" s="44" t="n">
        <x:f>C184*F184</x:f>
        <x:v>1354.75</x:v>
      </x:c>
      <x:c r="H184" s="44" t="n">
        <x:f>E184-G184</x:f>
        <x:v>658.95</x:v>
      </x:c>
      <x:c r="I184" s="14" t="str">
        <x:v>Enterprise</x:v>
      </x:c>
      <x:c r="J184" s="14" t="str">
        <x:v>Midwest</x:v>
      </x:c>
    </x:row>
    <x:row r="185">
      <x:c r="A185" s="50" t="n">
        <x:v>46192</x:v>
      </x:c>
      <x:c r="B185" s="14" t="str">
        <x:v>SKU-0111</x:v>
      </x:c>
      <x:c r="C185" s="52" t="n">
        <x:v>6</x:v>
      </x:c>
      <x:c r="D185" s="40" t="n">
        <x:v>142.23</x:v>
      </x:c>
      <x:c r="E185" s="44" t="n">
        <x:f>C185*D185</x:f>
        <x:v>853.3799999999999</x:v>
      </x:c>
      <x:c r="F185" s="40" t="n">
        <x:v>120.79</x:v>
      </x:c>
      <x:c r="G185" s="44" t="n">
        <x:f>C185*F185</x:f>
        <x:v>724.74</x:v>
      </x:c>
      <x:c r="H185" s="44" t="n">
        <x:f>E185-G185</x:f>
        <x:v>128.63999999999987</x:v>
      </x:c>
      <x:c r="I185" s="14" t="str">
        <x:v>Internal Use</x:v>
      </x:c>
      <x:c r="J185" s="14" t="str">
        <x:v>West</x:v>
      </x:c>
    </x:row>
    <x:row r="186">
      <x:c r="A186" s="50" t="n">
        <x:v>46224</x:v>
      </x:c>
      <x:c r="B186" s="14" t="str">
        <x:v>SKU-0062</x:v>
      </x:c>
      <x:c r="C186" s="52" t="n">
        <x:v>10</x:v>
      </x:c>
      <x:c r="D186" s="40" t="n">
        <x:v>111.96</x:v>
      </x:c>
      <x:c r="E186" s="44" t="n">
        <x:f>C186*D186</x:f>
        <x:v>1119.6</x:v>
      </x:c>
      <x:c r="F186" s="40" t="n">
        <x:v>63.99</x:v>
      </x:c>
      <x:c r="G186" s="44" t="n">
        <x:f>C186*F186</x:f>
        <x:v>639.9</x:v>
      </x:c>
      <x:c r="H186" s="44" t="n">
        <x:f>E186-G186</x:f>
        <x:v>479.69999999999993</x:v>
      </x:c>
      <x:c r="I186" s="14" t="str">
        <x:v>SMB</x:v>
      </x:c>
      <x:c r="J186" s="14" t="str">
        <x:v>Midwest</x:v>
      </x:c>
    </x:row>
    <x:row r="187">
      <x:c r="A187" s="50" t="n">
        <x:v>45885</x:v>
      </x:c>
      <x:c r="B187" s="14" t="str">
        <x:v>SKU-0141</x:v>
      </x:c>
      <x:c r="C187" s="52" t="n">
        <x:v>36</x:v>
      </x:c>
      <x:c r="D187" s="40" t="n">
        <x:v>333.1</x:v>
      </x:c>
      <x:c r="E187" s="44" t="n">
        <x:f>C187*D187</x:f>
        <x:v>11991.6</x:v>
      </x:c>
      <x:c r="F187" s="40" t="n">
        <x:v>279.99</x:v>
      </x:c>
      <x:c r="G187" s="44" t="n">
        <x:f>C187*F187</x:f>
        <x:v>10079.64</x:v>
      </x:c>
      <x:c r="H187" s="44" t="n">
        <x:f>E187-G187</x:f>
        <x:v>1911.960000000001</x:v>
      </x:c>
      <x:c r="I187" s="14" t="str">
        <x:v>Enterprise</x:v>
      </x:c>
      <x:c r="J187" s="14" t="str">
        <x:v>Northeast</x:v>
      </x:c>
    </x:row>
    <x:row r="188">
      <x:c r="A188" s="50" t="n">
        <x:v>46059</x:v>
      </x:c>
      <x:c r="B188" s="14" t="str">
        <x:v>SKU-0115</x:v>
      </x:c>
      <x:c r="C188" s="52" t="n">
        <x:v>5</x:v>
      </x:c>
      <x:c r="D188" s="40" t="n">
        <x:v>32.88</x:v>
      </x:c>
      <x:c r="E188" s="44" t="n">
        <x:f>C188*D188</x:f>
        <x:v>164.4</x:v>
      </x:c>
      <x:c r="F188" s="40" t="n">
        <x:v>27.81</x:v>
      </x:c>
      <x:c r="G188" s="44" t="n">
        <x:f>C188*F188</x:f>
        <x:v>139.04999999999998</x:v>
      </x:c>
      <x:c r="H188" s="44" t="n">
        <x:f>E188-G188</x:f>
        <x:v>25.350000000000023</x:v>
      </x:c>
      <x:c r="I188" s="14" t="str">
        <x:v>Enterprise</x:v>
      </x:c>
      <x:c r="J188" s="14" t="str">
        <x:v>Northeast</x:v>
      </x:c>
    </x:row>
    <x:row r="189">
      <x:c r="A189" s="50" t="n">
        <x:v>46184</x:v>
      </x:c>
      <x:c r="B189" s="14" t="str">
        <x:v>SKU-0015</x:v>
      </x:c>
      <x:c r="C189" s="52" t="n">
        <x:v>33</x:v>
      </x:c>
      <x:c r="D189" s="40" t="n">
        <x:v>284.92</x:v>
      </x:c>
      <x:c r="E189" s="44" t="n">
        <x:f>C189*D189</x:f>
        <x:v>9402.36</x:v>
      </x:c>
      <x:c r="F189" s="40" t="n">
        <x:v>185.37</x:v>
      </x:c>
      <x:c r="G189" s="44" t="n">
        <x:f>C189*F189</x:f>
        <x:v>6117.21</x:v>
      </x:c>
      <x:c r="H189" s="44" t="n">
        <x:f>E189-G189</x:f>
        <x:v>3285.1500000000005</x:v>
      </x:c>
      <x:c r="I189" s="14" t="str">
        <x:v>Enterprise</x:v>
      </x:c>
      <x:c r="J189" s="14" t="str">
        <x:v>Northeast</x:v>
      </x:c>
    </x:row>
    <x:row r="190">
      <x:c r="A190" s="50" t="n">
        <x:v>46189</x:v>
      </x:c>
      <x:c r="B190" s="14" t="str">
        <x:v>SKU-0023</x:v>
      </x:c>
      <x:c r="C190" s="52" t="n">
        <x:v>2</x:v>
      </x:c>
      <x:c r="D190" s="40" t="n">
        <x:v>102.75</x:v>
      </x:c>
      <x:c r="E190" s="44" t="n">
        <x:f>C190*D190</x:f>
        <x:v>205.5</x:v>
      </x:c>
      <x:c r="F190" s="40" t="n">
        <x:v>76.21</x:v>
      </x:c>
      <x:c r="G190" s="44" t="n">
        <x:f>C190*F190</x:f>
        <x:v>152.42</x:v>
      </x:c>
      <x:c r="H190" s="44" t="n">
        <x:f>E190-G190</x:f>
        <x:v>53.08000000000001</x:v>
      </x:c>
      <x:c r="I190" s="14" t="str">
        <x:v>SMB</x:v>
      </x:c>
      <x:c r="J190" s="14" t="str">
        <x:v>Northeast</x:v>
      </x:c>
    </x:row>
    <x:row r="191">
      <x:c r="A191" s="50" t="n">
        <x:v>46009</x:v>
      </x:c>
      <x:c r="B191" s="14" t="str">
        <x:v>SKU-0048</x:v>
      </x:c>
      <x:c r="C191" s="52" t="n">
        <x:v>3</x:v>
      </x:c>
      <x:c r="D191" s="40" t="n">
        <x:v>402.89</x:v>
      </x:c>
      <x:c r="E191" s="44" t="n">
        <x:f>C191*D191</x:f>
        <x:v>1208.67</x:v>
      </x:c>
      <x:c r="F191" s="40" t="n">
        <x:v>211.59</x:v>
      </x:c>
      <x:c r="G191" s="44" t="n">
        <x:f>C191*F191</x:f>
        <x:v>634.77</x:v>
      </x:c>
      <x:c r="H191" s="44" t="n">
        <x:f>E191-G191</x:f>
        <x:v>573.9000000000001</x:v>
      </x:c>
      <x:c r="I191" s="14" t="str">
        <x:v>Internal Use</x:v>
      </x:c>
      <x:c r="J191" s="14" t="str">
        <x:v>Midwest</x:v>
      </x:c>
    </x:row>
    <x:row r="192">
      <x:c r="A192" s="50" t="n">
        <x:v>46234</x:v>
      </x:c>
      <x:c r="B192" s="14" t="str">
        <x:v>SKU-0110</x:v>
      </x:c>
      <x:c r="C192" s="52" t="n">
        <x:v>6</x:v>
      </x:c>
      <x:c r="D192" s="40" t="n">
        <x:v>26.13</x:v>
      </x:c>
      <x:c r="E192" s="44" t="n">
        <x:f>C192*D192</x:f>
        <x:v>156.78</x:v>
      </x:c>
      <x:c r="F192" s="40" t="n">
        <x:v>14.53</x:v>
      </x:c>
      <x:c r="G192" s="44" t="n">
        <x:f>C192*F192</x:f>
        <x:v>87.17999999999999</x:v>
      </x:c>
      <x:c r="H192" s="44" t="n">
        <x:f>E192-G192</x:f>
        <x:v>69.60000000000001</x:v>
      </x:c>
      <x:c r="I192" s="14" t="str">
        <x:v>Enterprise</x:v>
      </x:c>
      <x:c r="J192" s="14" t="str">
        <x:v>West</x:v>
      </x:c>
    </x:row>
    <x:row r="193">
      <x:c r="A193" s="50" t="n">
        <x:v>46050</x:v>
      </x:c>
      <x:c r="B193" s="14" t="str">
        <x:v>SKU-0100</x:v>
      </x:c>
      <x:c r="C193" s="52" t="n">
        <x:v>15</x:v>
      </x:c>
      <x:c r="D193" s="40" t="n">
        <x:v>174.53</x:v>
      </x:c>
      <x:c r="E193" s="44" t="n">
        <x:f>C193*D193</x:f>
        <x:v>2617.95</x:v>
      </x:c>
      <x:c r="F193" s="40" t="n">
        <x:v>108.23</x:v>
      </x:c>
      <x:c r="G193" s="44" t="n">
        <x:f>C193*F193</x:f>
        <x:v>1623.45</x:v>
      </x:c>
      <x:c r="H193" s="44" t="n">
        <x:f>E193-G193</x:f>
        <x:v>994.4999999999998</x:v>
      </x:c>
      <x:c r="I193" s="14" t="str">
        <x:v>SMB</x:v>
      </x:c>
      <x:c r="J193" s="14" t="str">
        <x:v>West</x:v>
      </x:c>
    </x:row>
    <x:row r="194">
      <x:c r="A194" s="50" t="n">
        <x:v>46210</x:v>
      </x:c>
      <x:c r="B194" s="14" t="str">
        <x:v>SKU-0046</x:v>
      </x:c>
      <x:c r="C194" s="52" t="n">
        <x:v>8</x:v>
      </x:c>
      <x:c r="D194" s="40" t="n">
        <x:v>124.81</x:v>
      </x:c>
      <x:c r="E194" s="44" t="n">
        <x:f>C194*D194</x:f>
        <x:v>998.48</x:v>
      </x:c>
      <x:c r="F194" s="40" t="n">
        <x:v>66.68</x:v>
      </x:c>
      <x:c r="G194" s="44" t="n">
        <x:f>C194*F194</x:f>
        <x:v>533.44</x:v>
      </x:c>
      <x:c r="H194" s="44" t="n">
        <x:f>E194-G194</x:f>
        <x:v>465.03999999999996</x:v>
      </x:c>
      <x:c r="I194" s="14" t="str">
        <x:v>SMB</x:v>
      </x:c>
      <x:c r="J194" s="14" t="str">
        <x:v>Northeast</x:v>
      </x:c>
    </x:row>
    <x:row r="195">
      <x:c r="A195" s="50" t="n">
        <x:v>46012</x:v>
      </x:c>
      <x:c r="B195" s="14" t="str">
        <x:v>SKU-0114</x:v>
      </x:c>
      <x:c r="C195" s="52" t="n">
        <x:v>10</x:v>
      </x:c>
      <x:c r="D195" s="40" t="n">
        <x:v>339.77</x:v>
      </x:c>
      <x:c r="E195" s="44" t="n">
        <x:f>C195*D195</x:f>
        <x:v>3397.7</x:v>
      </x:c>
      <x:c r="F195" s="40" t="n">
        <x:v>232.11</x:v>
      </x:c>
      <x:c r="G195" s="44" t="n">
        <x:f>C195*F195</x:f>
        <x:v>2321.1000000000004</x:v>
      </x:c>
      <x:c r="H195" s="44" t="n">
        <x:f>E195-G195</x:f>
        <x:v>1076.5999999999995</x:v>
      </x:c>
      <x:c r="I195" s="14" t="str">
        <x:v>Internal Use</x:v>
      </x:c>
      <x:c r="J195" s="14" t="str">
        <x:v>Southeast</x:v>
      </x:c>
    </x:row>
    <x:row r="196">
      <x:c r="A196" s="50" t="n">
        <x:v>45899</x:v>
      </x:c>
      <x:c r="B196" s="14" t="str">
        <x:v>SKU-0001</x:v>
      </x:c>
      <x:c r="C196" s="52" t="n">
        <x:v>12</x:v>
      </x:c>
      <x:c r="D196" s="40" t="n">
        <x:v>296.21</x:v>
      </x:c>
      <x:c r="E196" s="44" t="n">
        <x:f>C196*D196</x:f>
        <x:v>3554.5199999999995</x:v>
      </x:c>
      <x:c r="F196" s="40" t="n">
        <x:v>178.71</x:v>
      </x:c>
      <x:c r="G196" s="44" t="n">
        <x:f>C196*F196</x:f>
        <x:v>2144.52</x:v>
      </x:c>
      <x:c r="H196" s="44" t="n">
        <x:f>E196-G196</x:f>
        <x:v>1409.9999999999995</x:v>
      </x:c>
      <x:c r="I196" s="14" t="str">
        <x:v>Internal Use</x:v>
      </x:c>
      <x:c r="J196" s="14" t="str">
        <x:v>Northeast</x:v>
      </x:c>
    </x:row>
    <x:row r="197">
      <x:c r="A197" s="50" t="n">
        <x:v>46242</x:v>
      </x:c>
      <x:c r="B197" s="14" t="str">
        <x:v>SKU-0132</x:v>
      </x:c>
      <x:c r="C197" s="52" t="n">
        <x:v>29</x:v>
      </x:c>
      <x:c r="D197" s="40" t="n">
        <x:v>342.12</x:v>
      </x:c>
      <x:c r="E197" s="44" t="n">
        <x:f>C197*D197</x:f>
        <x:v>9921.48</x:v>
      </x:c>
      <x:c r="F197" s="40" t="n">
        <x:v>177.71</x:v>
      </x:c>
      <x:c r="G197" s="44" t="n">
        <x:f>C197*F197</x:f>
        <x:v>5153.59</x:v>
      </x:c>
      <x:c r="H197" s="44" t="n">
        <x:f>E197-G197</x:f>
        <x:v>4767.889999999999</x:v>
      </x:c>
      <x:c r="I197" s="14" t="str">
        <x:v>Enterprise</x:v>
      </x:c>
      <x:c r="J197" s="14" t="str">
        <x:v>Southeast</x:v>
      </x:c>
    </x:row>
    <x:row r="198">
      <x:c r="A198" s="50" t="n">
        <x:v>46076</x:v>
      </x:c>
      <x:c r="B198" s="14" t="str">
        <x:v>SKU-0001</x:v>
      </x:c>
      <x:c r="C198" s="52" t="n">
        <x:v>8</x:v>
      </x:c>
      <x:c r="D198" s="40" t="n">
        <x:v>306.59</x:v>
      </x:c>
      <x:c r="E198" s="44" t="n">
        <x:f>C198*D198</x:f>
        <x:v>2452.72</x:v>
      </x:c>
      <x:c r="F198" s="40" t="n">
        <x:v>178.71</x:v>
      </x:c>
      <x:c r="G198" s="44" t="n">
        <x:f>C198*F198</x:f>
        <x:v>1429.68</x:v>
      </x:c>
      <x:c r="H198" s="44" t="n">
        <x:f>E198-G198</x:f>
        <x:v>1023.0399999999997</x:v>
      </x:c>
      <x:c r="I198" s="14" t="str">
        <x:v>Distributor</x:v>
      </x:c>
      <x:c r="J198" s="14" t="str">
        <x:v>Midwest</x:v>
      </x:c>
    </x:row>
    <x:row r="199">
      <x:c r="A199" s="50" t="n">
        <x:v>46085</x:v>
      </x:c>
      <x:c r="B199" s="14" t="str">
        <x:v>SKU-0078</x:v>
      </x:c>
      <x:c r="C199" s="52" t="n">
        <x:v>12</x:v>
      </x:c>
      <x:c r="D199" s="40" t="n">
        <x:v>29.43</x:v>
      </x:c>
      <x:c r="E199" s="44" t="n">
        <x:f>C199*D199</x:f>
        <x:v>353.15999999999997</x:v>
      </x:c>
      <x:c r="F199" s="40" t="n">
        <x:v>17.54</x:v>
      </x:c>
      <x:c r="G199" s="44" t="n">
        <x:f>C199*F199</x:f>
        <x:v>210.48</x:v>
      </x:c>
      <x:c r="H199" s="44" t="n">
        <x:f>E199-G199</x:f>
        <x:v>142.67999999999998</x:v>
      </x:c>
      <x:c r="I199" s="14" t="str">
        <x:v>Distributor</x:v>
      </x:c>
      <x:c r="J199" s="14" t="str">
        <x:v>Northeast</x:v>
      </x:c>
    </x:row>
    <x:row r="200">
      <x:c r="A200" s="50" t="n">
        <x:v>46028</x:v>
      </x:c>
      <x:c r="B200" s="14" t="str">
        <x:v>SKU-0118</x:v>
      </x:c>
      <x:c r="C200" s="52" t="n">
        <x:v>11</x:v>
      </x:c>
      <x:c r="D200" s="40" t="n">
        <x:v>499.15</x:v>
      </x:c>
      <x:c r="E200" s="44" t="n">
        <x:f>C200*D200</x:f>
        <x:v>5490.65</x:v>
      </x:c>
      <x:c r="F200" s="40" t="n">
        <x:v>237.03</x:v>
      </x:c>
      <x:c r="G200" s="44" t="n">
        <x:f>C200*F200</x:f>
        <x:v>2607.33</x:v>
      </x:c>
      <x:c r="H200" s="44" t="n">
        <x:f>E200-G200</x:f>
        <x:v>2883.3199999999997</x:v>
      </x:c>
      <x:c r="I200" s="14" t="str">
        <x:v>Internal Use</x:v>
      </x:c>
      <x:c r="J200" s="14" t="str">
        <x:v>Southeast</x:v>
      </x:c>
    </x:row>
    <x:row r="201">
      <x:c r="A201" s="50" t="n">
        <x:v>46236</x:v>
      </x:c>
      <x:c r="B201" s="14" t="str">
        <x:v>SKU-0077</x:v>
      </x:c>
      <x:c r="C201" s="52" t="n">
        <x:v>7</x:v>
      </x:c>
      <x:c r="D201" s="40" t="n">
        <x:v>16.21</x:v>
      </x:c>
      <x:c r="E201" s="44" t="n">
        <x:f>C201*D201</x:f>
        <x:v>113.47</x:v>
      </x:c>
      <x:c r="F201" s="40" t="n">
        <x:v>12.68</x:v>
      </x:c>
      <x:c r="G201" s="44" t="n">
        <x:f>C201*F201</x:f>
        <x:v>88.75999999999999</x:v>
      </x:c>
      <x:c r="H201" s="44" t="n">
        <x:f>E201-G201</x:f>
        <x:v>24.710000000000008</x:v>
      </x:c>
      <x:c r="I201" s="14" t="str">
        <x:v>Internal Use</x:v>
      </x:c>
      <x:c r="J201" s="14" t="str">
        <x:v>Northeast</x:v>
      </x:c>
    </x:row>
    <x:row r="202">
      <x:c r="A202" s="50" t="n">
        <x:v>45977</x:v>
      </x:c>
      <x:c r="B202" s="14" t="str">
        <x:v>SKU-0113</x:v>
      </x:c>
      <x:c r="C202" s="52" t="n">
        <x:v>4</x:v>
      </x:c>
      <x:c r="D202" s="40" t="n">
        <x:v>289.77</x:v>
      </x:c>
      <x:c r="E202" s="44" t="n">
        <x:f>C202*D202</x:f>
        <x:v>1159.08</x:v>
      </x:c>
      <x:c r="F202" s="40" t="n">
        <x:v>222.58</x:v>
      </x:c>
      <x:c r="G202" s="44" t="n">
        <x:f>C202*F202</x:f>
        <x:v>890.32</x:v>
      </x:c>
      <x:c r="H202" s="44" t="n">
        <x:f>E202-G202</x:f>
        <x:v>268.7599999999999</x:v>
      </x:c>
      <x:c r="I202" s="14" t="str">
        <x:v>SMB</x:v>
      </x:c>
      <x:c r="J202" s="14" t="str">
        <x:v>West</x:v>
      </x:c>
    </x:row>
    <x:row r="203">
      <x:c r="A203" s="50" t="n">
        <x:v>45912</x:v>
      </x:c>
      <x:c r="B203" s="14" t="str">
        <x:v>SKU-0100</x:v>
      </x:c>
      <x:c r="C203" s="52" t="n">
        <x:v>27</x:v>
      </x:c>
      <x:c r="D203" s="40" t="n">
        <x:v>186.9</x:v>
      </x:c>
      <x:c r="E203" s="44" t="n">
        <x:f>C203*D203</x:f>
        <x:v>5046.3</x:v>
      </x:c>
      <x:c r="F203" s="40" t="n">
        <x:v>108.23</x:v>
      </x:c>
      <x:c r="G203" s="44" t="n">
        <x:f>C203*F203</x:f>
        <x:v>2922.21</x:v>
      </x:c>
      <x:c r="H203" s="44" t="n">
        <x:f>E203-G203</x:f>
        <x:v>2124.09</x:v>
      </x:c>
      <x:c r="I203" s="14" t="str">
        <x:v>Internal Use</x:v>
      </x:c>
      <x:c r="J203" s="14" t="str">
        <x:v>Northeast</x:v>
      </x:c>
    </x:row>
    <x:row r="204">
      <x:c r="A204" s="50" t="n">
        <x:v>46053</x:v>
      </x:c>
      <x:c r="B204" s="14" t="str">
        <x:v>SKU-0010</x:v>
      </x:c>
      <x:c r="C204" s="52" t="n">
        <x:v>32</x:v>
      </x:c>
      <x:c r="D204" s="40" t="n">
        <x:v>167.95</x:v>
      </x:c>
      <x:c r="E204" s="44" t="n">
        <x:f>C204*D204</x:f>
        <x:v>5374.4</x:v>
      </x:c>
      <x:c r="F204" s="40" t="n">
        <x:v>137.36</x:v>
      </x:c>
      <x:c r="G204" s="44" t="n">
        <x:f>C204*F204</x:f>
        <x:v>4395.52</x:v>
      </x:c>
      <x:c r="H204" s="44" t="n">
        <x:f>E204-G204</x:f>
        <x:v>978.8799999999992</x:v>
      </x:c>
      <x:c r="I204" s="14" t="str">
        <x:v>SMB</x:v>
      </x:c>
      <x:c r="J204" s="14" t="str">
        <x:v>Southeast</x:v>
      </x:c>
    </x:row>
    <x:row r="205">
      <x:c r="A205" s="50" t="n">
        <x:v>45898</x:v>
      </x:c>
      <x:c r="B205" s="14" t="str">
        <x:v>SKU-0019</x:v>
      </x:c>
      <x:c r="C205" s="52" t="n">
        <x:v>16</x:v>
      </x:c>
      <x:c r="D205" s="40" t="n">
        <x:v>136.19</x:v>
      </x:c>
      <x:c r="E205" s="44" t="n">
        <x:f>C205*D205</x:f>
        <x:v>2179.04</x:v>
      </x:c>
      <x:c r="F205" s="40" t="n">
        <x:v>81.66</x:v>
      </x:c>
      <x:c r="G205" s="44" t="n">
        <x:f>C205*F205</x:f>
        <x:v>1306.56</x:v>
      </x:c>
      <x:c r="H205" s="44" t="n">
        <x:f>E205-G205</x:f>
        <x:v>872.48</x:v>
      </x:c>
      <x:c r="I205" s="14" t="str">
        <x:v>Enterprise</x:v>
      </x:c>
      <x:c r="J205" s="14" t="str">
        <x:v>Southeast</x:v>
      </x:c>
    </x:row>
    <x:row r="206">
      <x:c r="A206" s="50" t="n">
        <x:v>45887</x:v>
      </x:c>
      <x:c r="B206" s="14" t="str">
        <x:v>SKU-0034</x:v>
      </x:c>
      <x:c r="C206" s="52" t="n">
        <x:v>2</x:v>
      </x:c>
      <x:c r="D206" s="40" t="n">
        <x:v>77.39</x:v>
      </x:c>
      <x:c r="E206" s="44" t="n">
        <x:f>C206*D206</x:f>
        <x:v>154.78</x:v>
      </x:c>
      <x:c r="F206" s="40" t="n">
        <x:v>34.51</x:v>
      </x:c>
      <x:c r="G206" s="44" t="n">
        <x:f>C206*F206</x:f>
        <x:v>69.02</x:v>
      </x:c>
      <x:c r="H206" s="44" t="n">
        <x:f>E206-G206</x:f>
        <x:v>85.76</x:v>
      </x:c>
      <x:c r="I206" s="14" t="str">
        <x:v>SMB</x:v>
      </x:c>
      <x:c r="J206" s="14" t="str">
        <x:v>Northeast</x:v>
      </x:c>
    </x:row>
    <x:row r="207">
      <x:c r="A207" s="50" t="n">
        <x:v>45938</x:v>
      </x:c>
      <x:c r="B207" s="14" t="str">
        <x:v>SKU-0028</x:v>
      </x:c>
      <x:c r="C207" s="52" t="n">
        <x:v>8</x:v>
      </x:c>
      <x:c r="D207" s="40" t="n">
        <x:v>338.94</x:v>
      </x:c>
      <x:c r="E207" s="44" t="n">
        <x:f>C207*D207</x:f>
        <x:v>2711.52</x:v>
      </x:c>
      <x:c r="F207" s="40" t="n">
        <x:v>274.39</x:v>
      </x:c>
      <x:c r="G207" s="44" t="n">
        <x:f>C207*F207</x:f>
        <x:v>2195.12</x:v>
      </x:c>
      <x:c r="H207" s="44" t="n">
        <x:f>E207-G207</x:f>
        <x:v>516.4000000000001</x:v>
      </x:c>
      <x:c r="I207" s="14" t="str">
        <x:v>SMB</x:v>
      </x:c>
      <x:c r="J207" s="14" t="str">
        <x:v>West</x:v>
      </x:c>
    </x:row>
    <x:row r="208">
      <x:c r="A208" s="50" t="n">
        <x:v>46227</x:v>
      </x:c>
      <x:c r="B208" s="14" t="str">
        <x:v>SKU-0087</x:v>
      </x:c>
      <x:c r="C208" s="52" t="n">
        <x:v>7</x:v>
      </x:c>
      <x:c r="D208" s="40" t="n">
        <x:v>348.6</x:v>
      </x:c>
      <x:c r="E208" s="44" t="n">
        <x:f>C208*D208</x:f>
        <x:v>2440.2000000000003</x:v>
      </x:c>
      <x:c r="F208" s="40" t="n">
        <x:v>194.73</x:v>
      </x:c>
      <x:c r="G208" s="44" t="n">
        <x:f>C208*F208</x:f>
        <x:v>1363.11</x:v>
      </x:c>
      <x:c r="H208" s="44" t="n">
        <x:f>E208-G208</x:f>
        <x:v>1077.0900000000004</x:v>
      </x:c>
      <x:c r="I208" s="14" t="str">
        <x:v>SMB</x:v>
      </x:c>
      <x:c r="J208" s="14" t="str">
        <x:v>Midwest</x:v>
      </x:c>
    </x:row>
    <x:row r="209">
      <x:c r="A209" s="50" t="n">
        <x:v>45903</x:v>
      </x:c>
      <x:c r="B209" s="14" t="str">
        <x:v>SKU-0055</x:v>
      </x:c>
      <x:c r="C209" s="52" t="n">
        <x:v>10</x:v>
      </x:c>
      <x:c r="D209" s="40" t="n">
        <x:v>326.95</x:v>
      </x:c>
      <x:c r="E209" s="44" t="n">
        <x:f>C209*D209</x:f>
        <x:v>3269.5</x:v>
      </x:c>
      <x:c r="F209" s="40" t="n">
        <x:v>263.76</x:v>
      </x:c>
      <x:c r="G209" s="44" t="n">
        <x:f>C209*F209</x:f>
        <x:v>2637.6</x:v>
      </x:c>
      <x:c r="H209" s="44" t="n">
        <x:f>E209-G209</x:f>
        <x:v>631.9000000000001</x:v>
      </x:c>
      <x:c r="I209" s="14" t="str">
        <x:v>SMB</x:v>
      </x:c>
      <x:c r="J209" s="14" t="str">
        <x:v>West</x:v>
      </x:c>
    </x:row>
    <x:row r="210">
      <x:c r="A210" s="50" t="n">
        <x:v>46236</x:v>
      </x:c>
      <x:c r="B210" s="14" t="str">
        <x:v>SKU-0044</x:v>
      </x:c>
      <x:c r="C210" s="52" t="n">
        <x:v>7</x:v>
      </x:c>
      <x:c r="D210" s="40" t="n">
        <x:v>156.32</x:v>
      </x:c>
      <x:c r="E210" s="44" t="n">
        <x:f>C210*D210</x:f>
        <x:v>1094.24</x:v>
      </x:c>
      <x:c r="F210" s="40" t="n">
        <x:v>126.24</x:v>
      </x:c>
      <x:c r="G210" s="44" t="n">
        <x:f>C210*F210</x:f>
        <x:v>883.68</x:v>
      </x:c>
      <x:c r="H210" s="44" t="n">
        <x:f>E210-G210</x:f>
        <x:v>210.56000000000006</x:v>
      </x:c>
      <x:c r="I210" s="14" t="str">
        <x:v>Enterprise</x:v>
      </x:c>
      <x:c r="J210" s="14" t="str">
        <x:v>Southeast</x:v>
      </x:c>
    </x:row>
    <x:row r="211">
      <x:c r="A211" s="50" t="n">
        <x:v>46203</x:v>
      </x:c>
      <x:c r="B211" s="14" t="str">
        <x:v>SKU-0026</x:v>
      </x:c>
      <x:c r="C211" s="52" t="n">
        <x:v>18</x:v>
      </x:c>
      <x:c r="D211" s="40" t="n">
        <x:v>430.26</x:v>
      </x:c>
      <x:c r="E211" s="44" t="n">
        <x:f>C211*D211</x:f>
        <x:v>7744.68</x:v>
      </x:c>
      <x:c r="F211" s="40" t="n">
        <x:v>249.4</x:v>
      </x:c>
      <x:c r="G211" s="44" t="n">
        <x:f>C211*F211</x:f>
        <x:v>4489.2</x:v>
      </x:c>
      <x:c r="H211" s="44" t="n">
        <x:f>E211-G211</x:f>
        <x:v>3255.4800000000005</x:v>
      </x:c>
      <x:c r="I211" s="14" t="str">
        <x:v>Internal Use</x:v>
      </x:c>
      <x:c r="J211" s="14" t="str">
        <x:v>Northeast</x:v>
      </x:c>
    </x:row>
    <x:row r="212">
      <x:c r="A212" s="50" t="n">
        <x:v>45883</x:v>
      </x:c>
      <x:c r="B212" s="14" t="str">
        <x:v>SKU-0002</x:v>
      </x:c>
      <x:c r="C212" s="52" t="n">
        <x:v>5</x:v>
      </x:c>
      <x:c r="D212" s="40" t="n">
        <x:v>81.66</x:v>
      </x:c>
      <x:c r="E212" s="44" t="n">
        <x:f>C212*D212</x:f>
        <x:v>408.29999999999995</x:v>
      </x:c>
      <x:c r="F212" s="40" t="n">
        <x:v>66.06</x:v>
      </x:c>
      <x:c r="G212" s="44" t="n">
        <x:f>C212*F212</x:f>
        <x:v>330.3</x:v>
      </x:c>
      <x:c r="H212" s="44" t="n">
        <x:f>E212-G212</x:f>
        <x:v>77.99999999999994</x:v>
      </x:c>
      <x:c r="I212" s="14" t="str">
        <x:v>Distributor</x:v>
      </x:c>
      <x:c r="J212" s="14" t="str">
        <x:v>West</x:v>
      </x:c>
    </x:row>
    <x:row r="213">
      <x:c r="A213" s="50" t="n">
        <x:v>46234</x:v>
      </x:c>
      <x:c r="B213" s="14" t="str">
        <x:v>SKU-0122</x:v>
      </x:c>
      <x:c r="C213" s="52" t="n">
        <x:v>4</x:v>
      </x:c>
      <x:c r="D213" s="40" t="n">
        <x:v>36.79</x:v>
      </x:c>
      <x:c r="E213" s="44" t="n">
        <x:f>C213*D213</x:f>
        <x:v>147.16</x:v>
      </x:c>
      <x:c r="F213" s="40" t="n">
        <x:v>25.14</x:v>
      </x:c>
      <x:c r="G213" s="44" t="n">
        <x:f>C213*F213</x:f>
        <x:v>100.56</x:v>
      </x:c>
      <x:c r="H213" s="44" t="n">
        <x:f>E213-G213</x:f>
        <x:v>46.599999999999994</x:v>
      </x:c>
      <x:c r="I213" s="14" t="str">
        <x:v>Internal Use</x:v>
      </x:c>
      <x:c r="J213" s="14" t="str">
        <x:v>West</x:v>
      </x:c>
    </x:row>
    <x:row r="214">
      <x:c r="A214" s="50" t="n">
        <x:v>45969</x:v>
      </x:c>
      <x:c r="B214" s="14" t="str">
        <x:v>SKU-0062</x:v>
      </x:c>
      <x:c r="C214" s="52" t="n">
        <x:v>10</x:v>
      </x:c>
      <x:c r="D214" s="40" t="n">
        <x:v>109.18</x:v>
      </x:c>
      <x:c r="E214" s="44" t="n">
        <x:f>C214*D214</x:f>
        <x:v>1091.8000000000002</x:v>
      </x:c>
      <x:c r="F214" s="40" t="n">
        <x:v>63.99</x:v>
      </x:c>
      <x:c r="G214" s="44" t="n">
        <x:f>C214*F214</x:f>
        <x:v>639.9</x:v>
      </x:c>
      <x:c r="H214" s="44" t="n">
        <x:f>E214-G214</x:f>
        <x:v>451.9000000000002</x:v>
      </x:c>
      <x:c r="I214" s="14" t="str">
        <x:v>Internal Use</x:v>
      </x:c>
      <x:c r="J214" s="14" t="str">
        <x:v>Northeast</x:v>
      </x:c>
    </x:row>
    <x:row r="215">
      <x:c r="A215" s="50" t="n">
        <x:v>46058</x:v>
      </x:c>
      <x:c r="B215" s="14" t="str">
        <x:v>SKU-0078</x:v>
      </x:c>
      <x:c r="C215" s="52" t="n">
        <x:v>7</x:v>
      </x:c>
      <x:c r="D215" s="40" t="n">
        <x:v>26.59</x:v>
      </x:c>
      <x:c r="E215" s="44" t="n">
        <x:f>C215*D215</x:f>
        <x:v>186.13</x:v>
      </x:c>
      <x:c r="F215" s="40" t="n">
        <x:v>17.54</x:v>
      </x:c>
      <x:c r="G215" s="44" t="n">
        <x:f>C215*F215</x:f>
        <x:v>122.78</x:v>
      </x:c>
      <x:c r="H215" s="44" t="n">
        <x:f>E215-G215</x:f>
        <x:v>63.349999999999994</x:v>
      </x:c>
      <x:c r="I215" s="14" t="str">
        <x:v>Enterprise</x:v>
      </x:c>
      <x:c r="J215" s="14" t="str">
        <x:v>Midwest</x:v>
      </x:c>
    </x:row>
    <x:row r="216">
      <x:c r="A216" s="50" t="n">
        <x:v>46139</x:v>
      </x:c>
      <x:c r="B216" s="14" t="str">
        <x:v>SKU-0139</x:v>
      </x:c>
      <x:c r="C216" s="52" t="n">
        <x:v>1</x:v>
      </x:c>
      <x:c r="D216" s="40" t="n">
        <x:v>279.82</x:v>
      </x:c>
      <x:c r="E216" s="44" t="n">
        <x:f>C216*D216</x:f>
        <x:v>279.82</x:v>
      </x:c>
      <x:c r="F216" s="40" t="n">
        <x:v>157.6</x:v>
      </x:c>
      <x:c r="G216" s="44" t="n">
        <x:f>C216*F216</x:f>
        <x:v>157.6</x:v>
      </x:c>
      <x:c r="H216" s="44" t="n">
        <x:f>E216-G216</x:f>
        <x:v>122.22</x:v>
      </x:c>
      <x:c r="I216" s="14" t="str">
        <x:v>Distributor</x:v>
      </x:c>
      <x:c r="J216" s="14" t="str">
        <x:v>Northeast</x:v>
      </x:c>
    </x:row>
    <x:row r="217">
      <x:c r="A217" s="50" t="n">
        <x:v>45937</x:v>
      </x:c>
      <x:c r="B217" s="14" t="str">
        <x:v>SKU-0050</x:v>
      </x:c>
      <x:c r="C217" s="52" t="n">
        <x:v>32</x:v>
      </x:c>
      <x:c r="D217" s="40" t="n">
        <x:v>344.57</x:v>
      </x:c>
      <x:c r="E217" s="44" t="n">
        <x:f>C217*D217</x:f>
        <x:v>11026.24</x:v>
      </x:c>
      <x:c r="F217" s="40" t="n">
        <x:v>150.72</x:v>
      </x:c>
      <x:c r="G217" s="44" t="n">
        <x:f>C217*F217</x:f>
        <x:v>4823.04</x:v>
      </x:c>
      <x:c r="H217" s="44" t="n">
        <x:f>E217-G217</x:f>
        <x:v>6203.2</x:v>
      </x:c>
      <x:c r="I217" s="14" t="str">
        <x:v>Internal Use</x:v>
      </x:c>
      <x:c r="J217" s="14" t="str">
        <x:v>West</x:v>
      </x:c>
    </x:row>
    <x:row r="218">
      <x:c r="A218" s="50" t="n">
        <x:v>45961</x:v>
      </x:c>
      <x:c r="B218" s="14" t="str">
        <x:v>SKU-0046</x:v>
      </x:c>
      <x:c r="C218" s="52" t="n">
        <x:v>11</x:v>
      </x:c>
      <x:c r="D218" s="40" t="n">
        <x:v>122.53</x:v>
      </x:c>
      <x:c r="E218" s="44" t="n">
        <x:f>C218*D218</x:f>
        <x:v>1347.83</x:v>
      </x:c>
      <x:c r="F218" s="40" t="n">
        <x:v>66.68</x:v>
      </x:c>
      <x:c r="G218" s="44" t="n">
        <x:f>C218*F218</x:f>
        <x:v>733.48</x:v>
      </x:c>
      <x:c r="H218" s="44" t="n">
        <x:f>E218-G218</x:f>
        <x:v>614.3499999999999</x:v>
      </x:c>
      <x:c r="I218" s="14" t="str">
        <x:v>Distributor</x:v>
      </x:c>
      <x:c r="J218" s="14" t="str">
        <x:v>Southeast</x:v>
      </x:c>
    </x:row>
    <x:row r="219">
      <x:c r="A219" s="50" t="n">
        <x:v>46008</x:v>
      </x:c>
      <x:c r="B219" s="14" t="str">
        <x:v>SKU-0112</x:v>
      </x:c>
      <x:c r="C219" s="52" t="n">
        <x:v>2</x:v>
      </x:c>
      <x:c r="D219" s="40" t="n">
        <x:v>304.12</x:v>
      </x:c>
      <x:c r="E219" s="44" t="n">
        <x:f>C219*D219</x:f>
        <x:v>608.24</x:v>
      </x:c>
      <x:c r="F219" s="40" t="n">
        <x:v>175.75</x:v>
      </x:c>
      <x:c r="G219" s="44" t="n">
        <x:f>C219*F219</x:f>
        <x:v>351.5</x:v>
      </x:c>
      <x:c r="H219" s="44" t="n">
        <x:f>E219-G219</x:f>
        <x:v>256.74</x:v>
      </x:c>
      <x:c r="I219" s="14" t="str">
        <x:v>Enterprise</x:v>
      </x:c>
      <x:c r="J219" s="14" t="str">
        <x:v>Northeast</x:v>
      </x:c>
    </x:row>
    <x:row r="220">
      <x:c r="A220" s="50" t="n">
        <x:v>46155</x:v>
      </x:c>
      <x:c r="B220" s="14" t="str">
        <x:v>SKU-0014</x:v>
      </x:c>
      <x:c r="C220" s="52" t="n">
        <x:v>8</x:v>
      </x:c>
      <x:c r="D220" s="40" t="n">
        <x:v>296.52</x:v>
      </x:c>
      <x:c r="E220" s="44" t="n">
        <x:f>C220*D220</x:f>
        <x:v>2372.16</x:v>
      </x:c>
      <x:c r="F220" s="40" t="n">
        <x:v>152.14</x:v>
      </x:c>
      <x:c r="G220" s="44" t="n">
        <x:f>C220*F220</x:f>
        <x:v>1217.12</x:v>
      </x:c>
      <x:c r="H220" s="44" t="n">
        <x:f>E220-G220</x:f>
        <x:v>1155.04</x:v>
      </x:c>
      <x:c r="I220" s="14" t="str">
        <x:v>Internal Use</x:v>
      </x:c>
      <x:c r="J220" s="14" t="str">
        <x:v>Midwest</x:v>
      </x:c>
    </x:row>
    <x:row r="221">
      <x:c r="A221" s="50" t="n">
        <x:v>45981</x:v>
      </x:c>
      <x:c r="B221" s="14" t="str">
        <x:v>SKU-0108</x:v>
      </x:c>
      <x:c r="C221" s="52" t="n">
        <x:v>5</x:v>
      </x:c>
      <x:c r="D221" s="40" t="n">
        <x:v>295.79</x:v>
      </x:c>
      <x:c r="E221" s="44" t="n">
        <x:f>C221*D221</x:f>
        <x:v>1478.95</x:v>
      </x:c>
      <x:c r="F221" s="40" t="n">
        <x:v>242.94</x:v>
      </x:c>
      <x:c r="G221" s="44" t="n">
        <x:f>C221*F221</x:f>
        <x:v>1214.7</x:v>
      </x:c>
      <x:c r="H221" s="44" t="n">
        <x:f>E221-G221</x:f>
        <x:v>264.25</x:v>
      </x:c>
      <x:c r="I221" s="14" t="str">
        <x:v>SMB</x:v>
      </x:c>
      <x:c r="J221" s="14" t="str">
        <x:v>West</x:v>
      </x:c>
    </x:row>
    <x:row r="222">
      <x:c r="A222" s="50" t="n">
        <x:v>46072</x:v>
      </x:c>
      <x:c r="B222" s="14" t="str">
        <x:v>SKU-0052</x:v>
      </x:c>
      <x:c r="C222" s="52" t="n">
        <x:v>10</x:v>
      </x:c>
      <x:c r="D222" s="40" t="n">
        <x:v>254.1</x:v>
      </x:c>
      <x:c r="E222" s="44" t="n">
        <x:f>C222*D222</x:f>
        <x:v>2541</x:v>
      </x:c>
      <x:c r="F222" s="40" t="n">
        <x:v>210.35</x:v>
      </x:c>
      <x:c r="G222" s="44" t="n">
        <x:f>C222*F222</x:f>
        <x:v>2103.5</x:v>
      </x:c>
      <x:c r="H222" s="44" t="n">
        <x:f>E222-G222</x:f>
        <x:v>437.5</x:v>
      </x:c>
      <x:c r="I222" s="14" t="str">
        <x:v>SMB</x:v>
      </x:c>
      <x:c r="J222" s="14" t="str">
        <x:v>West</x:v>
      </x:c>
    </x:row>
    <x:row r="223">
      <x:c r="A223" s="50" t="n">
        <x:v>46078</x:v>
      </x:c>
      <x:c r="B223" s="14" t="str">
        <x:v>SKU-0046</x:v>
      </x:c>
      <x:c r="C223" s="52" t="n">
        <x:v>6</x:v>
      </x:c>
      <x:c r="D223" s="40" t="n">
        <x:v>114.22</x:v>
      </x:c>
      <x:c r="E223" s="44" t="n">
        <x:f>C223*D223</x:f>
        <x:v>685.3199999999999</x:v>
      </x:c>
      <x:c r="F223" s="40" t="n">
        <x:v>66.68</x:v>
      </x:c>
      <x:c r="G223" s="44" t="n">
        <x:f>C223*F223</x:f>
        <x:v>400.08000000000004</x:v>
      </x:c>
      <x:c r="H223" s="44" t="n">
        <x:f>E223-G223</x:f>
        <x:v>285.2399999999999</x:v>
      </x:c>
      <x:c r="I223" s="14" t="str">
        <x:v>Distributor</x:v>
      </x:c>
      <x:c r="J223" s="14" t="str">
        <x:v>Midwest</x:v>
      </x:c>
    </x:row>
    <x:row r="224">
      <x:c r="A224" s="50" t="n">
        <x:v>46051</x:v>
      </x:c>
      <x:c r="B224" s="14" t="str">
        <x:v>SKU-0052</x:v>
      </x:c>
      <x:c r="C224" s="52" t="n">
        <x:v>1</x:v>
      </x:c>
      <x:c r="D224" s="40" t="n">
        <x:v>239.24</x:v>
      </x:c>
      <x:c r="E224" s="44" t="n">
        <x:f>C224*D224</x:f>
        <x:v>239.24</x:v>
      </x:c>
      <x:c r="F224" s="40" t="n">
        <x:v>210.35</x:v>
      </x:c>
      <x:c r="G224" s="44" t="n">
        <x:f>C224*F224</x:f>
        <x:v>210.35</x:v>
      </x:c>
      <x:c r="H224" s="44" t="n">
        <x:f>E224-G224</x:f>
        <x:v>28.890000000000015</x:v>
      </x:c>
      <x:c r="I224" s="14" t="str">
        <x:v>SMB</x:v>
      </x:c>
      <x:c r="J224" s="14" t="str">
        <x:v>Northeast</x:v>
      </x:c>
    </x:row>
    <x:row r="225">
      <x:c r="A225" s="50" t="n">
        <x:v>46114</x:v>
      </x:c>
      <x:c r="B225" s="14" t="str">
        <x:v>SKU-0120</x:v>
      </x:c>
      <x:c r="C225" s="52" t="n">
        <x:v>5</x:v>
      </x:c>
      <x:c r="D225" s="40" t="n">
        <x:v>68.93</x:v>
      </x:c>
      <x:c r="E225" s="44" t="n">
        <x:f>C225*D225</x:f>
        <x:v>344.65000000000003</x:v>
      </x:c>
      <x:c r="F225" s="40" t="n">
        <x:v>41.87</x:v>
      </x:c>
      <x:c r="G225" s="44" t="n">
        <x:f>C225*F225</x:f>
        <x:v>209.35</x:v>
      </x:c>
      <x:c r="H225" s="44" t="n">
        <x:f>E225-G225</x:f>
        <x:v>135.30000000000004</x:v>
      </x:c>
      <x:c r="I225" s="14" t="str">
        <x:v>Distributor</x:v>
      </x:c>
      <x:c r="J225" s="14" t="str">
        <x:v>Southeast</x:v>
      </x:c>
    </x:row>
    <x:row r="226">
      <x:c r="A226" s="50" t="n">
        <x:v>46175</x:v>
      </x:c>
      <x:c r="B226" s="14" t="str">
        <x:v>SKU-0044</x:v>
      </x:c>
      <x:c r="C226" s="52" t="n">
        <x:v>1</x:v>
      </x:c>
      <x:c r="D226" s="40" t="n">
        <x:v>165.03</x:v>
      </x:c>
      <x:c r="E226" s="44" t="n">
        <x:f>C226*D226</x:f>
        <x:v>165.03</x:v>
      </x:c>
      <x:c r="F226" s="40" t="n">
        <x:v>126.24</x:v>
      </x:c>
      <x:c r="G226" s="44" t="n">
        <x:f>C226*F226</x:f>
        <x:v>126.24</x:v>
      </x:c>
      <x:c r="H226" s="44" t="n">
        <x:f>E226-G226</x:f>
        <x:v>38.790000000000006</x:v>
      </x:c>
      <x:c r="I226" s="14" t="str">
        <x:v>Internal Use</x:v>
      </x:c>
      <x:c r="J226" s="14" t="str">
        <x:v>Midwest</x:v>
      </x:c>
    </x:row>
    <x:row r="227">
      <x:c r="A227" s="50" t="n">
        <x:v>46099</x:v>
      </x:c>
      <x:c r="B227" s="14" t="str">
        <x:v>SKU-0004</x:v>
      </x:c>
      <x:c r="C227" s="52" t="n">
        <x:v>13</x:v>
      </x:c>
      <x:c r="D227" s="40" t="n">
        <x:v>339.22</x:v>
      </x:c>
      <x:c r="E227" s="44" t="n">
        <x:f>C227*D227</x:f>
        <x:v>4409.860000000001</x:v>
      </x:c>
      <x:c r="F227" s="40" t="n">
        <x:v>164.72</x:v>
      </x:c>
      <x:c r="G227" s="44" t="n">
        <x:f>C227*F227</x:f>
        <x:v>2141.36</x:v>
      </x:c>
      <x:c r="H227" s="44" t="n">
        <x:f>E227-G227</x:f>
        <x:v>2268.5000000000005</x:v>
      </x:c>
      <x:c r="I227" s="14" t="str">
        <x:v>SMB</x:v>
      </x:c>
      <x:c r="J227" s="14" t="str">
        <x:v>Southeast</x:v>
      </x:c>
    </x:row>
    <x:row r="228">
      <x:c r="A228" s="50" t="n">
        <x:v>45882</x:v>
      </x:c>
      <x:c r="B228" s="14" t="str">
        <x:v>SKU-0147</x:v>
      </x:c>
      <x:c r="C228" s="52" t="n">
        <x:v>8</x:v>
      </x:c>
      <x:c r="D228" s="40" t="n">
        <x:v>64.31</x:v>
      </x:c>
      <x:c r="E228" s="44" t="n">
        <x:f>C228*D228</x:f>
        <x:v>514.48</x:v>
      </x:c>
      <x:c r="F228" s="40" t="n">
        <x:v>27.95</x:v>
      </x:c>
      <x:c r="G228" s="44" t="n">
        <x:f>C228*F228</x:f>
        <x:v>223.6</x:v>
      </x:c>
      <x:c r="H228" s="44" t="n">
        <x:f>E228-G228</x:f>
        <x:v>290.88</x:v>
      </x:c>
      <x:c r="I228" s="14" t="str">
        <x:v>Enterprise</x:v>
      </x:c>
      <x:c r="J228" s="14" t="str">
        <x:v>West</x:v>
      </x:c>
    </x:row>
    <x:row r="229">
      <x:c r="A229" s="50" t="n">
        <x:v>46081</x:v>
      </x:c>
      <x:c r="B229" s="14" t="str">
        <x:v>SKU-0136</x:v>
      </x:c>
      <x:c r="C229" s="52" t="n">
        <x:v>7</x:v>
      </x:c>
      <x:c r="D229" s="40" t="n">
        <x:v>153.4</x:v>
      </x:c>
      <x:c r="E229" s="44" t="n">
        <x:f>C229*D229</x:f>
        <x:v>1073.8</x:v>
      </x:c>
      <x:c r="F229" s="40" t="n">
        <x:v>105.97</x:v>
      </x:c>
      <x:c r="G229" s="44" t="n">
        <x:f>C229*F229</x:f>
        <x:v>741.79</x:v>
      </x:c>
      <x:c r="H229" s="44" t="n">
        <x:f>E229-G229</x:f>
        <x:v>332.01</x:v>
      </x:c>
      <x:c r="I229" s="14" t="str">
        <x:v>Internal Use</x:v>
      </x:c>
      <x:c r="J229" s="14" t="str">
        <x:v>West</x:v>
      </x:c>
    </x:row>
    <x:row r="230">
      <x:c r="A230" s="50" t="n">
        <x:v>45922</x:v>
      </x:c>
      <x:c r="B230" s="14" t="str">
        <x:v>SKU-0062</x:v>
      </x:c>
      <x:c r="C230" s="52" t="n">
        <x:v>9</x:v>
      </x:c>
      <x:c r="D230" s="40" t="n">
        <x:v>118.93</x:v>
      </x:c>
      <x:c r="E230" s="44" t="n">
        <x:f>C230*D230</x:f>
        <x:v>1070.3700000000001</x:v>
      </x:c>
      <x:c r="F230" s="40" t="n">
        <x:v>63.99</x:v>
      </x:c>
      <x:c r="G230" s="44" t="n">
        <x:f>C230*F230</x:f>
        <x:v>575.91</x:v>
      </x:c>
      <x:c r="H230" s="44" t="n">
        <x:f>E230-G230</x:f>
        <x:v>494.46000000000015</x:v>
      </x:c>
      <x:c r="I230" s="14" t="str">
        <x:v>SMB</x:v>
      </x:c>
      <x:c r="J230" s="14" t="str">
        <x:v>Southeast</x:v>
      </x:c>
    </x:row>
    <x:row r="231">
      <x:c r="A231" s="50" t="n">
        <x:v>46031</x:v>
      </x:c>
      <x:c r="B231" s="14" t="str">
        <x:v>SKU-0092</x:v>
      </x:c>
      <x:c r="C231" s="52" t="n">
        <x:v>3</x:v>
      </x:c>
      <x:c r="D231" s="40" t="n">
        <x:v>180.81</x:v>
      </x:c>
      <x:c r="E231" s="44" t="n">
        <x:f>C231*D231</x:f>
        <x:v>542.4300000000001</x:v>
      </x:c>
      <x:c r="F231" s="40" t="n">
        <x:v>125.08</x:v>
      </x:c>
      <x:c r="G231" s="44" t="n">
        <x:f>C231*F231</x:f>
        <x:v>375.24</x:v>
      </x:c>
      <x:c r="H231" s="44" t="n">
        <x:f>E231-G231</x:f>
        <x:v>167.19000000000005</x:v>
      </x:c>
      <x:c r="I231" s="14" t="str">
        <x:v>Enterprise</x:v>
      </x:c>
      <x:c r="J231" s="14" t="str">
        <x:v>West</x:v>
      </x:c>
    </x:row>
    <x:row r="232">
      <x:c r="A232" s="50" t="n">
        <x:v>45950</x:v>
      </x:c>
      <x:c r="B232" s="14" t="str">
        <x:v>SKU-0119</x:v>
      </x:c>
      <x:c r="C232" s="52" t="n">
        <x:v>21</x:v>
      </x:c>
      <x:c r="D232" s="40" t="n">
        <x:v>99.35</x:v>
      </x:c>
      <x:c r="E232" s="44" t="n">
        <x:f>C232*D232</x:f>
        <x:v>2086.35</x:v>
      </x:c>
      <x:c r="F232" s="40" t="n">
        <x:v>52.57</x:v>
      </x:c>
      <x:c r="G232" s="44" t="n">
        <x:f>C232*F232</x:f>
        <x:v>1103.97</x:v>
      </x:c>
      <x:c r="H232" s="44" t="n">
        <x:f>E232-G232</x:f>
        <x:v>982.3799999999999</x:v>
      </x:c>
      <x:c r="I232" s="14" t="str">
        <x:v>Distributor</x:v>
      </x:c>
      <x:c r="J232" s="14" t="str">
        <x:v>West</x:v>
      </x:c>
    </x:row>
    <x:row r="233">
      <x:c r="A233" s="50" t="n">
        <x:v>46201</x:v>
      </x:c>
      <x:c r="B233" s="14" t="str">
        <x:v>SKU-0001</x:v>
      </x:c>
      <x:c r="C233" s="52" t="n">
        <x:v>7</x:v>
      </x:c>
      <x:c r="D233" s="40" t="n">
        <x:v>284.09</x:v>
      </x:c>
      <x:c r="E233" s="44" t="n">
        <x:f>C233*D233</x:f>
        <x:v>1988.6299999999999</x:v>
      </x:c>
      <x:c r="F233" s="40" t="n">
        <x:v>178.71</x:v>
      </x:c>
      <x:c r="G233" s="44" t="n">
        <x:f>C233*F233</x:f>
        <x:v>1250.97</x:v>
      </x:c>
      <x:c r="H233" s="44" t="n">
        <x:f>E233-G233</x:f>
        <x:v>737.6599999999999</x:v>
      </x:c>
      <x:c r="I233" s="14" t="str">
        <x:v>Distributor</x:v>
      </x:c>
      <x:c r="J233" s="14" t="str">
        <x:v>Southeast</x:v>
      </x:c>
    </x:row>
    <x:row r="234">
      <x:c r="A234" s="50" t="n">
        <x:v>46197</x:v>
      </x:c>
      <x:c r="B234" s="14" t="str">
        <x:v>SKU-0021</x:v>
      </x:c>
      <x:c r="C234" s="52" t="n">
        <x:v>76</x:v>
      </x:c>
      <x:c r="D234" s="40" t="n">
        <x:v>313.07</x:v>
      </x:c>
      <x:c r="E234" s="44" t="n">
        <x:f>C234*D234</x:f>
        <x:v>23793.32</x:v>
      </x:c>
      <x:c r="F234" s="40" t="n">
        <x:v>269.12</x:v>
      </x:c>
      <x:c r="G234" s="44" t="n">
        <x:f>C234*F234</x:f>
        <x:v>20453.12</x:v>
      </x:c>
      <x:c r="H234" s="44" t="n">
        <x:f>E234-G234</x:f>
        <x:v>3340.2000000000007</x:v>
      </x:c>
      <x:c r="I234" s="14" t="str">
        <x:v>Distributor</x:v>
      </x:c>
      <x:c r="J234" s="14" t="str">
        <x:v>West</x:v>
      </x:c>
    </x:row>
    <x:row r="235">
      <x:c r="A235" s="50" t="n">
        <x:v>46067</x:v>
      </x:c>
      <x:c r="B235" s="14" t="str">
        <x:v>SKU-0011</x:v>
      </x:c>
      <x:c r="C235" s="52" t="n">
        <x:v>5</x:v>
      </x:c>
      <x:c r="D235" s="40" t="n">
        <x:v>378.03</x:v>
      </x:c>
      <x:c r="E235" s="44" t="n">
        <x:f>C235*D235</x:f>
        <x:v>1890.1499999999999</x:v>
      </x:c>
      <x:c r="F235" s="40" t="n">
        <x:v>244.6</x:v>
      </x:c>
      <x:c r="G235" s="44" t="n">
        <x:f>C235*F235</x:f>
        <x:v>1223</x:v>
      </x:c>
      <x:c r="H235" s="44" t="n">
        <x:f>E235-G235</x:f>
        <x:v>667.1499999999999</x:v>
      </x:c>
      <x:c r="I235" s="14" t="str">
        <x:v>SMB</x:v>
      </x:c>
      <x:c r="J235" s="14" t="str">
        <x:v>Southeast</x:v>
      </x:c>
    </x:row>
    <x:row r="236">
      <x:c r="A236" s="50" t="n">
        <x:v>46002</x:v>
      </x:c>
      <x:c r="B236" s="14" t="str">
        <x:v>SKU-0086</x:v>
      </x:c>
      <x:c r="C236" s="52" t="n">
        <x:v>10</x:v>
      </x:c>
      <x:c r="D236" s="40" t="n">
        <x:v>235.43</x:v>
      </x:c>
      <x:c r="E236" s="44" t="n">
        <x:f>C236*D236</x:f>
        <x:v>2354.3</x:v>
      </x:c>
      <x:c r="F236" s="40" t="n">
        <x:v>148.45</x:v>
      </x:c>
      <x:c r="G236" s="44" t="n">
        <x:f>C236*F236</x:f>
        <x:v>1484.5</x:v>
      </x:c>
      <x:c r="H236" s="44" t="n">
        <x:f>E236-G236</x:f>
        <x:v>869.8000000000002</x:v>
      </x:c>
      <x:c r="I236" s="14" t="str">
        <x:v>SMB</x:v>
      </x:c>
      <x:c r="J236" s="14" t="str">
        <x:v>Southeast</x:v>
      </x:c>
    </x:row>
    <x:row r="237">
      <x:c r="A237" s="50" t="n">
        <x:v>46060</x:v>
      </x:c>
      <x:c r="B237" s="14" t="str">
        <x:v>SKU-0083</x:v>
      </x:c>
      <x:c r="C237" s="52" t="n">
        <x:v>27</x:v>
      </x:c>
      <x:c r="D237" s="40" t="n">
        <x:v>194.48</x:v>
      </x:c>
      <x:c r="E237" s="44" t="n">
        <x:f>C237*D237</x:f>
        <x:v>5250.96</x:v>
      </x:c>
      <x:c r="F237" s="40" t="n">
        <x:v>126.42</x:v>
      </x:c>
      <x:c r="G237" s="44" t="n">
        <x:f>C237*F237</x:f>
        <x:v>3413.34</x:v>
      </x:c>
      <x:c r="H237" s="44" t="n">
        <x:f>E237-G237</x:f>
        <x:v>1837.62</x:v>
      </x:c>
      <x:c r="I237" s="14" t="str">
        <x:v>Enterprise</x:v>
      </x:c>
      <x:c r="J237" s="14" t="str">
        <x:v>Northeast</x:v>
      </x:c>
    </x:row>
    <x:row r="238">
      <x:c r="A238" s="50" t="n">
        <x:v>46056</x:v>
      </x:c>
      <x:c r="B238" s="14" t="str">
        <x:v>SKU-0096</x:v>
      </x:c>
      <x:c r="C238" s="52" t="n">
        <x:v>7</x:v>
      </x:c>
      <x:c r="D238" s="40" t="n">
        <x:v>53.03</x:v>
      </x:c>
      <x:c r="E238" s="44" t="n">
        <x:f>C238*D238</x:f>
        <x:v>371.21000000000004</x:v>
      </x:c>
      <x:c r="F238" s="40" t="n">
        <x:v>29.46</x:v>
      </x:c>
      <x:c r="G238" s="44" t="n">
        <x:f>C238*F238</x:f>
        <x:v>206.22</x:v>
      </x:c>
      <x:c r="H238" s="44" t="n">
        <x:f>E238-G238</x:f>
        <x:v>164.99000000000004</x:v>
      </x:c>
      <x:c r="I238" s="14" t="str">
        <x:v>Internal Use</x:v>
      </x:c>
      <x:c r="J238" s="14" t="str">
        <x:v>Midwest</x:v>
      </x:c>
    </x:row>
    <x:row r="239">
      <x:c r="A239" s="50" t="n">
        <x:v>46197</x:v>
      </x:c>
      <x:c r="B239" s="14" t="str">
        <x:v>SKU-0116</x:v>
      </x:c>
      <x:c r="C239" s="52" t="n">
        <x:v>5</x:v>
      </x:c>
      <x:c r="D239" s="40" t="n">
        <x:v>53.88</x:v>
      </x:c>
      <x:c r="E239" s="44" t="n">
        <x:f>C239*D239</x:f>
        <x:v>269.40000000000003</x:v>
      </x:c>
      <x:c r="F239" s="40" t="n">
        <x:v>36.42</x:v>
      </x:c>
      <x:c r="G239" s="44" t="n">
        <x:f>C239*F239</x:f>
        <x:v>182.10000000000002</x:v>
      </x:c>
      <x:c r="H239" s="44" t="n">
        <x:f>E239-G239</x:f>
        <x:v>87.30000000000001</x:v>
      </x:c>
      <x:c r="I239" s="14" t="str">
        <x:v>Enterprise</x:v>
      </x:c>
      <x:c r="J239" s="14" t="str">
        <x:v>Southeast</x:v>
      </x:c>
    </x:row>
    <x:row r="240">
      <x:c r="A240" s="50" t="n">
        <x:v>45924</x:v>
      </x:c>
      <x:c r="B240" s="14" t="str">
        <x:v>SKU-0118</x:v>
      </x:c>
      <x:c r="C240" s="52" t="n">
        <x:v>4</x:v>
      </x:c>
      <x:c r="D240" s="40" t="n">
        <x:v>553.51</x:v>
      </x:c>
      <x:c r="E240" s="44" t="n">
        <x:f>C240*D240</x:f>
        <x:v>2214.04</x:v>
      </x:c>
      <x:c r="F240" s="40" t="n">
        <x:v>237.03</x:v>
      </x:c>
      <x:c r="G240" s="44" t="n">
        <x:f>C240*F240</x:f>
        <x:v>948.12</x:v>
      </x:c>
      <x:c r="H240" s="44" t="n">
        <x:f>E240-G240</x:f>
        <x:v>1265.92</x:v>
      </x:c>
      <x:c r="I240" s="14" t="str">
        <x:v>Internal Use</x:v>
      </x:c>
      <x:c r="J240" s="14" t="str">
        <x:v>Southeast</x:v>
      </x:c>
    </x:row>
    <x:row r="241">
      <x:c r="A241" s="50" t="n">
        <x:v>46146</x:v>
      </x:c>
      <x:c r="B241" s="14" t="str">
        <x:v>SKU-0053</x:v>
      </x:c>
      <x:c r="C241" s="52" t="n">
        <x:v>6</x:v>
      </x:c>
      <x:c r="D241" s="40" t="n">
        <x:v>428.29</x:v>
      </x:c>
      <x:c r="E241" s="44" t="n">
        <x:f>C241*D241</x:f>
        <x:v>2569.7400000000002</x:v>
      </x:c>
      <x:c r="F241" s="40" t="n">
        <x:v>235.39</x:v>
      </x:c>
      <x:c r="G241" s="44" t="n">
        <x:f>C241*F241</x:f>
        <x:v>1412.34</x:v>
      </x:c>
      <x:c r="H241" s="44" t="n">
        <x:f>E241-G241</x:f>
        <x:v>1157.4000000000003</x:v>
      </x:c>
      <x:c r="I241" s="14" t="str">
        <x:v>Internal Use</x:v>
      </x:c>
      <x:c r="J241" s="14" t="str">
        <x:v>Midwest</x:v>
      </x:c>
    </x:row>
    <x:row r="242">
      <x:c r="A242" s="50" t="n">
        <x:v>46107</x:v>
      </x:c>
      <x:c r="B242" s="14" t="str">
        <x:v>SKU-0108</x:v>
      </x:c>
      <x:c r="C242" s="52" t="n">
        <x:v>9</x:v>
      </x:c>
      <x:c r="D242" s="40" t="n">
        <x:v>312.45</x:v>
      </x:c>
      <x:c r="E242" s="44" t="n">
        <x:f>C242*D242</x:f>
        <x:v>2812.0499999999997</x:v>
      </x:c>
      <x:c r="F242" s="40" t="n">
        <x:v>242.94</x:v>
      </x:c>
      <x:c r="G242" s="44" t="n">
        <x:f>C242*F242</x:f>
        <x:v>2186.46</x:v>
      </x:c>
      <x:c r="H242" s="44" t="n">
        <x:f>E242-G242</x:f>
        <x:v>625.5899999999997</x:v>
      </x:c>
      <x:c r="I242" s="14" t="str">
        <x:v>Distributor</x:v>
      </x:c>
      <x:c r="J242" s="14" t="str">
        <x:v>West</x:v>
      </x:c>
    </x:row>
    <x:row r="243">
      <x:c r="A243" s="50" t="n">
        <x:v>46160</x:v>
      </x:c>
      <x:c r="B243" s="14" t="str">
        <x:v>SKU-0136</x:v>
      </x:c>
      <x:c r="C243" s="52" t="n">
        <x:v>8</x:v>
      </x:c>
      <x:c r="D243" s="40" t="n">
        <x:v>137.9</x:v>
      </x:c>
      <x:c r="E243" s="44" t="n">
        <x:f>C243*D243</x:f>
        <x:v>1103.2</x:v>
      </x:c>
      <x:c r="F243" s="40" t="n">
        <x:v>105.97</x:v>
      </x:c>
      <x:c r="G243" s="44" t="n">
        <x:f>C243*F243</x:f>
        <x:v>847.76</x:v>
      </x:c>
      <x:c r="H243" s="44" t="n">
        <x:f>E243-G243</x:f>
        <x:v>255.44000000000005</x:v>
      </x:c>
      <x:c r="I243" s="14" t="str">
        <x:v>Distributor</x:v>
      </x:c>
      <x:c r="J243" s="14" t="str">
        <x:v>Southeast</x:v>
      </x:c>
    </x:row>
    <x:row r="244">
      <x:c r="A244" s="50" t="n">
        <x:v>45996</x:v>
      </x:c>
      <x:c r="B244" s="14" t="str">
        <x:v>SKU-0067</x:v>
      </x:c>
      <x:c r="C244" s="52" t="n">
        <x:v>4</x:v>
      </x:c>
      <x:c r="D244" s="40" t="n">
        <x:v>146.08</x:v>
      </x:c>
      <x:c r="E244" s="44" t="n">
        <x:f>C244*D244</x:f>
        <x:v>584.32</x:v>
      </x:c>
      <x:c r="F244" s="40" t="n">
        <x:v>113.7</x:v>
      </x:c>
      <x:c r="G244" s="44" t="n">
        <x:f>C244*F244</x:f>
        <x:v>454.8</x:v>
      </x:c>
      <x:c r="H244" s="44" t="n">
        <x:f>E244-G244</x:f>
        <x:v>129.52000000000004</x:v>
      </x:c>
      <x:c r="I244" s="14" t="str">
        <x:v>Enterprise</x:v>
      </x:c>
      <x:c r="J244" s="14" t="str">
        <x:v>Southeast</x:v>
      </x:c>
    </x:row>
    <x:row r="245">
      <x:c r="A245" s="50" t="n">
        <x:v>46025</x:v>
      </x:c>
      <x:c r="B245" s="14" t="str">
        <x:v>SKU-0091</x:v>
      </x:c>
      <x:c r="C245" s="52" t="n">
        <x:v>8</x:v>
      </x:c>
      <x:c r="D245" s="40" t="n">
        <x:v>69</x:v>
      </x:c>
      <x:c r="E245" s="44" t="n">
        <x:f>C245*D245</x:f>
        <x:v>552</x:v>
      </x:c>
      <x:c r="F245" s="40" t="n">
        <x:v>42.22</x:v>
      </x:c>
      <x:c r="G245" s="44" t="n">
        <x:f>C245*F245</x:f>
        <x:v>337.76</x:v>
      </x:c>
      <x:c r="H245" s="44" t="n">
        <x:f>E245-G245</x:f>
        <x:v>214.24</x:v>
      </x:c>
      <x:c r="I245" s="14" t="str">
        <x:v>Distributor</x:v>
      </x:c>
      <x:c r="J245" s="14" t="str">
        <x:v>Southeast</x:v>
      </x:c>
    </x:row>
    <x:row r="246">
      <x:c r="A246" s="50" t="n">
        <x:v>46242</x:v>
      </x:c>
      <x:c r="B246" s="14" t="str">
        <x:v>SKU-0045</x:v>
      </x:c>
      <x:c r="C246" s="52" t="n">
        <x:v>19</x:v>
      </x:c>
      <x:c r="D246" s="40" t="n">
        <x:v>98.73</x:v>
      </x:c>
      <x:c r="E246" s="44" t="n">
        <x:f>C246*D246</x:f>
        <x:v>1875.8700000000001</x:v>
      </x:c>
      <x:c r="F246" s="40" t="n">
        <x:v>68.89</x:v>
      </x:c>
      <x:c r="G246" s="44" t="n">
        <x:f>C246*F246</x:f>
        <x:v>1308.91</x:v>
      </x:c>
      <x:c r="H246" s="44" t="n">
        <x:f>E246-G246</x:f>
        <x:v>566.96</x:v>
      </x:c>
      <x:c r="I246" s="14" t="str">
        <x:v>SMB</x:v>
      </x:c>
      <x:c r="J246" s="14" t="str">
        <x:v>Northeast</x:v>
      </x:c>
    </x:row>
    <x:row r="247">
      <x:c r="A247" s="50" t="n">
        <x:v>46042</x:v>
      </x:c>
      <x:c r="B247" s="14" t="str">
        <x:v>SKU-0011</x:v>
      </x:c>
      <x:c r="C247" s="52" t="n">
        <x:v>10</x:v>
      </x:c>
      <x:c r="D247" s="40" t="n">
        <x:v>359.13</x:v>
      </x:c>
      <x:c r="E247" s="44" t="n">
        <x:f>C247*D247</x:f>
        <x:v>3591.3</x:v>
      </x:c>
      <x:c r="F247" s="40" t="n">
        <x:v>244.6</x:v>
      </x:c>
      <x:c r="G247" s="44" t="n">
        <x:f>C247*F247</x:f>
        <x:v>2446</x:v>
      </x:c>
      <x:c r="H247" s="44" t="n">
        <x:f>E247-G247</x:f>
        <x:v>1145.3000000000002</x:v>
      </x:c>
      <x:c r="I247" s="14" t="str">
        <x:v>SMB</x:v>
      </x:c>
      <x:c r="J247" s="14" t="str">
        <x:v>Northeast</x:v>
      </x:c>
    </x:row>
    <x:row r="248">
      <x:c r="A248" s="50" t="n">
        <x:v>46056</x:v>
      </x:c>
      <x:c r="B248" s="14" t="str">
        <x:v>SKU-0082</x:v>
      </x:c>
      <x:c r="C248" s="52" t="n">
        <x:v>3</x:v>
      </x:c>
      <x:c r="D248" s="40" t="n">
        <x:v>164.33</x:v>
      </x:c>
      <x:c r="E248" s="44" t="n">
        <x:f>C248*D248</x:f>
        <x:v>492.99</x:v>
      </x:c>
      <x:c r="F248" s="40" t="n">
        <x:v>79.16</x:v>
      </x:c>
      <x:c r="G248" s="44" t="n">
        <x:f>C248*F248</x:f>
        <x:v>237.48</x:v>
      </x:c>
      <x:c r="H248" s="44" t="n">
        <x:f>E248-G248</x:f>
        <x:v>255.51000000000002</x:v>
      </x:c>
      <x:c r="I248" s="14" t="str">
        <x:v>Distributor</x:v>
      </x:c>
      <x:c r="J248" s="14" t="str">
        <x:v>Northeast</x:v>
      </x:c>
    </x:row>
    <x:row r="249">
      <x:c r="A249" s="50" t="n">
        <x:v>46087</x:v>
      </x:c>
      <x:c r="B249" s="14" t="str">
        <x:v>SKU-0007</x:v>
      </x:c>
      <x:c r="C249" s="52" t="n">
        <x:v>10</x:v>
      </x:c>
      <x:c r="D249" s="40" t="n">
        <x:v>192.31</x:v>
      </x:c>
      <x:c r="E249" s="44" t="n">
        <x:f>C249*D249</x:f>
        <x:v>1923.1</x:v>
      </x:c>
      <x:c r="F249" s="40" t="n">
        <x:v>123.15</x:v>
      </x:c>
      <x:c r="G249" s="44" t="n">
        <x:f>C249*F249</x:f>
        <x:v>1231.5</x:v>
      </x:c>
      <x:c r="H249" s="44" t="n">
        <x:f>E249-G249</x:f>
        <x:v>691.5999999999999</x:v>
      </x:c>
      <x:c r="I249" s="14" t="str">
        <x:v>Distributor</x:v>
      </x:c>
      <x:c r="J249" s="14" t="str">
        <x:v>West</x:v>
      </x:c>
    </x:row>
    <x:row r="250">
      <x:c r="A250" s="50" t="n">
        <x:v>46173</x:v>
      </x:c>
      <x:c r="B250" s="14" t="str">
        <x:v>SKU-0075</x:v>
      </x:c>
      <x:c r="C250" s="52" t="n">
        <x:v>28</x:v>
      </x:c>
      <x:c r="D250" s="40" t="n">
        <x:v>26.65</x:v>
      </x:c>
      <x:c r="E250" s="44" t="n">
        <x:f>C250*D250</x:f>
        <x:v>746.1999999999999</x:v>
      </x:c>
      <x:c r="F250" s="40" t="n">
        <x:v>13.66</x:v>
      </x:c>
      <x:c r="G250" s="44" t="n">
        <x:f>C250*F250</x:f>
        <x:v>382.48</x:v>
      </x:c>
      <x:c r="H250" s="44" t="n">
        <x:f>E250-G250</x:f>
        <x:v>363.7199999999999</x:v>
      </x:c>
      <x:c r="I250" s="14" t="str">
        <x:v>Internal Use</x:v>
      </x:c>
      <x:c r="J250" s="14" t="str">
        <x:v>Midwest</x:v>
      </x:c>
    </x:row>
    <x:row r="251">
      <x:c r="A251" s="50" t="n">
        <x:v>46125</x:v>
      </x:c>
      <x:c r="B251" s="14" t="str">
        <x:v>SKU-0029</x:v>
      </x:c>
      <x:c r="C251" s="52" t="n">
        <x:v>9</x:v>
      </x:c>
      <x:c r="D251" s="40" t="n">
        <x:v>17.85</x:v>
      </x:c>
      <x:c r="E251" s="44" t="n">
        <x:f>C251*D251</x:f>
        <x:v>160.65</x:v>
      </x:c>
      <x:c r="F251" s="40" t="n">
        <x:v>12.5</x:v>
      </x:c>
      <x:c r="G251" s="44" t="n">
        <x:f>C251*F251</x:f>
        <x:v>112.5</x:v>
      </x:c>
      <x:c r="H251" s="44" t="n">
        <x:f>E251-G251</x:f>
        <x:v>48.150000000000006</x:v>
      </x:c>
      <x:c r="I251" s="14" t="str">
        <x:v>SMB</x:v>
      </x:c>
      <x:c r="J251" s="14" t="str">
        <x:v>West</x:v>
      </x:c>
    </x:row>
    <x:row r="252">
      <x:c r="A252" s="50" t="n">
        <x:v>45927</x:v>
      </x:c>
      <x:c r="B252" s="14" t="str">
        <x:v>SKU-0092</x:v>
      </x:c>
      <x:c r="C252" s="52" t="n">
        <x:v>4</x:v>
      </x:c>
      <x:c r="D252" s="40" t="n">
        <x:v>170.48</x:v>
      </x:c>
      <x:c r="E252" s="44" t="n">
        <x:f>C252*D252</x:f>
        <x:v>681.92</x:v>
      </x:c>
      <x:c r="F252" s="40" t="n">
        <x:v>125.08</x:v>
      </x:c>
      <x:c r="G252" s="44" t="n">
        <x:f>C252*F252</x:f>
        <x:v>500.32</x:v>
      </x:c>
      <x:c r="H252" s="44" t="n">
        <x:f>E252-G252</x:f>
        <x:v>181.59999999999997</x:v>
      </x:c>
      <x:c r="I252" s="14" t="str">
        <x:v>SMB</x:v>
      </x:c>
      <x:c r="J252" s="14" t="str">
        <x:v>Midwest</x:v>
      </x:c>
    </x:row>
    <x:row r="253">
      <x:c r="A253" s="50" t="n">
        <x:v>45891</x:v>
      </x:c>
      <x:c r="B253" s="14" t="str">
        <x:v>SKU-0051</x:v>
      </x:c>
      <x:c r="C253" s="52" t="n">
        <x:v>26</x:v>
      </x:c>
      <x:c r="D253" s="40" t="n">
        <x:v>105.53</x:v>
      </x:c>
      <x:c r="E253" s="44" t="n">
        <x:f>C253*D253</x:f>
        <x:v>2743.78</x:v>
      </x:c>
      <x:c r="F253" s="40" t="n">
        <x:v>74.69</x:v>
      </x:c>
      <x:c r="G253" s="44" t="n">
        <x:f>C253*F253</x:f>
        <x:v>1941.94</x:v>
      </x:c>
      <x:c r="H253" s="44" t="n">
        <x:f>E253-G253</x:f>
        <x:v>801.8400000000001</x:v>
      </x:c>
      <x:c r="I253" s="14" t="str">
        <x:v>Enterprise</x:v>
      </x:c>
      <x:c r="J253" s="14" t="str">
        <x:v>Midwest</x:v>
      </x:c>
    </x:row>
    <x:row r="254">
      <x:c r="A254" s="50" t="n">
        <x:v>45955</x:v>
      </x:c>
      <x:c r="B254" s="14" t="str">
        <x:v>SKU-0102</x:v>
      </x:c>
      <x:c r="C254" s="52" t="n">
        <x:v>15</x:v>
      </x:c>
      <x:c r="D254" s="40" t="n">
        <x:v>345.34</x:v>
      </x:c>
      <x:c r="E254" s="44" t="n">
        <x:f>C254*D254</x:f>
        <x:v>5180.099999999999</x:v>
      </x:c>
      <x:c r="F254" s="40" t="n">
        <x:v>278.87</x:v>
      </x:c>
      <x:c r="G254" s="44" t="n">
        <x:f>C254*F254</x:f>
        <x:v>4183.05</x:v>
      </x:c>
      <x:c r="H254" s="44" t="n">
        <x:f>E254-G254</x:f>
        <x:v>997.0499999999993</x:v>
      </x:c>
      <x:c r="I254" s="14" t="str">
        <x:v>Enterprise</x:v>
      </x:c>
      <x:c r="J254" s="14" t="str">
        <x:v>Midwest</x:v>
      </x:c>
    </x:row>
    <x:row r="255">
      <x:c r="A255" s="50" t="n">
        <x:v>46059</x:v>
      </x:c>
      <x:c r="B255" s="14" t="str">
        <x:v>SKU-0089</x:v>
      </x:c>
      <x:c r="C255" s="52" t="n">
        <x:v>5</x:v>
      </x:c>
      <x:c r="D255" s="40" t="n">
        <x:v>68.41</x:v>
      </x:c>
      <x:c r="E255" s="44" t="n">
        <x:f>C255*D255</x:f>
        <x:v>342.04999999999995</x:v>
      </x:c>
      <x:c r="F255" s="40" t="n">
        <x:v>48.67</x:v>
      </x:c>
      <x:c r="G255" s="44" t="n">
        <x:f>C255*F255</x:f>
        <x:v>243.35000000000002</x:v>
      </x:c>
      <x:c r="H255" s="44" t="n">
        <x:f>E255-G255</x:f>
        <x:v>98.69999999999993</x:v>
      </x:c>
      <x:c r="I255" s="14" t="str">
        <x:v>SMB</x:v>
      </x:c>
      <x:c r="J255" s="14" t="str">
        <x:v>West</x:v>
      </x:c>
    </x:row>
    <x:row r="256">
      <x:c r="A256" s="50" t="n">
        <x:v>46106</x:v>
      </x:c>
      <x:c r="B256" s="14" t="str">
        <x:v>SKU-0107</x:v>
      </x:c>
      <x:c r="C256" s="52" t="n">
        <x:v>2</x:v>
      </x:c>
      <x:c r="D256" s="40" t="n">
        <x:v>450.5</x:v>
      </x:c>
      <x:c r="E256" s="44" t="n">
        <x:f>C256*D256</x:f>
        <x:v>901</x:v>
      </x:c>
      <x:c r="F256" s="40" t="n">
        <x:v>217.39</x:v>
      </x:c>
      <x:c r="G256" s="44" t="n">
        <x:f>C256*F256</x:f>
        <x:v>434.78</x:v>
      </x:c>
      <x:c r="H256" s="44" t="n">
        <x:f>E256-G256</x:f>
        <x:v>466.22</x:v>
      </x:c>
      <x:c r="I256" s="14" t="str">
        <x:v>Internal Use</x:v>
      </x:c>
      <x:c r="J256" s="14" t="str">
        <x:v>West</x:v>
      </x:c>
    </x:row>
    <x:row r="257">
      <x:c r="A257" s="50" t="n">
        <x:v>46180</x:v>
      </x:c>
      <x:c r="B257" s="14" t="str">
        <x:v>SKU-0036</x:v>
      </x:c>
      <x:c r="C257" s="52" t="n">
        <x:v>10</x:v>
      </x:c>
      <x:c r="D257" s="40" t="n">
        <x:v>262.3</x:v>
      </x:c>
      <x:c r="E257" s="44" t="n">
        <x:f>C257*D257</x:f>
        <x:v>2623</x:v>
      </x:c>
      <x:c r="F257" s="40" t="n">
        <x:v>122.19</x:v>
      </x:c>
      <x:c r="G257" s="44" t="n">
        <x:f>C257*F257</x:f>
        <x:v>1221.9</x:v>
      </x:c>
      <x:c r="H257" s="44" t="n">
        <x:f>E257-G257</x:f>
        <x:v>1401.1</x:v>
      </x:c>
      <x:c r="I257" s="14" t="str">
        <x:v>Distributor</x:v>
      </x:c>
      <x:c r="J257" s="14" t="str">
        <x:v>Northeast</x:v>
      </x:c>
    </x:row>
    <x:row r="258">
      <x:c r="A258" s="50" t="n">
        <x:v>45925</x:v>
      </x:c>
      <x:c r="B258" s="14" t="str">
        <x:v>SKU-0097</x:v>
      </x:c>
      <x:c r="C258" s="52" t="n">
        <x:v>6</x:v>
      </x:c>
      <x:c r="D258" s="40" t="n">
        <x:v>271.41</x:v>
      </x:c>
      <x:c r="E258" s="44" t="n">
        <x:f>C258*D258</x:f>
        <x:v>1628.46</x:v>
      </x:c>
      <x:c r="F258" s="40" t="n">
        <x:v>209.93</x:v>
      </x:c>
      <x:c r="G258" s="44" t="n">
        <x:f>C258*F258</x:f>
        <x:v>1259.58</x:v>
      </x:c>
      <x:c r="H258" s="44" t="n">
        <x:f>E258-G258</x:f>
        <x:v>368.8800000000001</x:v>
      </x:c>
      <x:c r="I258" s="14" t="str">
        <x:v>SMB</x:v>
      </x:c>
      <x:c r="J258" s="14" t="str">
        <x:v>Southeast</x:v>
      </x:c>
    </x:row>
    <x:row r="259">
      <x:c r="A259" s="50" t="n">
        <x:v>46075</x:v>
      </x:c>
      <x:c r="B259" s="14" t="str">
        <x:v>SKU-0048</x:v>
      </x:c>
      <x:c r="C259" s="52" t="n">
        <x:v>5</x:v>
      </x:c>
      <x:c r="D259" s="40" t="n">
        <x:v>452.43</x:v>
      </x:c>
      <x:c r="E259" s="44" t="n">
        <x:f>C259*D259</x:f>
        <x:v>2262.15</x:v>
      </x:c>
      <x:c r="F259" s="40" t="n">
        <x:v>211.59</x:v>
      </x:c>
      <x:c r="G259" s="44" t="n">
        <x:f>C259*F259</x:f>
        <x:v>1057.95</x:v>
      </x:c>
      <x:c r="H259" s="44" t="n">
        <x:f>E259-G259</x:f>
        <x:v>1204.2</x:v>
      </x:c>
      <x:c r="I259" s="14" t="str">
        <x:v>Distributor</x:v>
      </x:c>
      <x:c r="J259" s="14" t="str">
        <x:v>Midwest</x:v>
      </x:c>
    </x:row>
    <x:row r="260">
      <x:c r="A260" s="50" t="n">
        <x:v>46166</x:v>
      </x:c>
      <x:c r="B260" s="14" t="str">
        <x:v>SKU-0127</x:v>
      </x:c>
      <x:c r="C260" s="52" t="n">
        <x:v>13</x:v>
      </x:c>
      <x:c r="D260" s="40" t="n">
        <x:v>269.99</x:v>
      </x:c>
      <x:c r="E260" s="44" t="n">
        <x:f>C260*D260</x:f>
        <x:v>3509.87</x:v>
      </x:c>
      <x:c r="F260" s="40" t="n">
        <x:v>114.9</x:v>
      </x:c>
      <x:c r="G260" s="44" t="n">
        <x:f>C260*F260</x:f>
        <x:v>1493.7</x:v>
      </x:c>
      <x:c r="H260" s="44" t="n">
        <x:f>E260-G260</x:f>
        <x:v>2016.1699999999998</x:v>
      </x:c>
      <x:c r="I260" s="14" t="str">
        <x:v>SMB</x:v>
      </x:c>
      <x:c r="J260" s="14" t="str">
        <x:v>Midwest</x:v>
      </x:c>
    </x:row>
    <x:row r="261">
      <x:c r="A261" s="50" t="n">
        <x:v>46207</x:v>
      </x:c>
      <x:c r="B261" s="14" t="str">
        <x:v>SKU-0077</x:v>
      </x:c>
      <x:c r="C261" s="52" t="n">
        <x:v>21</x:v>
      </x:c>
      <x:c r="D261" s="40" t="n">
        <x:v>16.13</x:v>
      </x:c>
      <x:c r="E261" s="44" t="n">
        <x:f>C261*D261</x:f>
        <x:v>338.72999999999996</x:v>
      </x:c>
      <x:c r="F261" s="40" t="n">
        <x:v>12.68</x:v>
      </x:c>
      <x:c r="G261" s="44" t="n">
        <x:f>C261*F261</x:f>
        <x:v>266.28</x:v>
      </x:c>
      <x:c r="H261" s="44" t="n">
        <x:f>E261-G261</x:f>
        <x:v>72.44999999999999</x:v>
      </x:c>
      <x:c r="I261" s="14" t="str">
        <x:v>Distributor</x:v>
      </x:c>
      <x:c r="J261" s="14" t="str">
        <x:v>West</x:v>
      </x:c>
    </x:row>
    <x:row r="262">
      <x:c r="A262" s="50" t="n">
        <x:v>46131</x:v>
      </x:c>
      <x:c r="B262" s="14" t="str">
        <x:v>SKU-0046</x:v>
      </x:c>
      <x:c r="C262" s="52" t="n">
        <x:v>43</x:v>
      </x:c>
      <x:c r="D262" s="40" t="n">
        <x:v>111.16</x:v>
      </x:c>
      <x:c r="E262" s="44" t="n">
        <x:f>C262*D262</x:f>
        <x:v>4779.88</x:v>
      </x:c>
      <x:c r="F262" s="40" t="n">
        <x:v>66.68</x:v>
      </x:c>
      <x:c r="G262" s="44" t="n">
        <x:f>C262*F262</x:f>
        <x:v>2867.2400000000002</x:v>
      </x:c>
      <x:c r="H262" s="44" t="n">
        <x:f>E262-G262</x:f>
        <x:v>1912.6399999999999</x:v>
      </x:c>
      <x:c r="I262" s="14" t="str">
        <x:v>Distributor</x:v>
      </x:c>
      <x:c r="J262" s="14" t="str">
        <x:v>West</x:v>
      </x:c>
    </x:row>
    <x:row r="263">
      <x:c r="A263" s="50" t="n">
        <x:v>46186</x:v>
      </x:c>
      <x:c r="B263" s="14" t="str">
        <x:v>SKU-0018</x:v>
      </x:c>
      <x:c r="C263" s="52" t="n">
        <x:v>20</x:v>
      </x:c>
      <x:c r="D263" s="40" t="n">
        <x:v>76.57</x:v>
      </x:c>
      <x:c r="E263" s="44" t="n">
        <x:f>C263*D263</x:f>
        <x:v>1531.3999999999999</x:v>
      </x:c>
      <x:c r="F263" s="40" t="n">
        <x:v>48.65</x:v>
      </x:c>
      <x:c r="G263" s="44" t="n">
        <x:f>C263*F263</x:f>
        <x:v>973</x:v>
      </x:c>
      <x:c r="H263" s="44" t="n">
        <x:f>E263-G263</x:f>
        <x:v>558.3999999999999</x:v>
      </x:c>
      <x:c r="I263" s="14" t="str">
        <x:v>Distributor</x:v>
      </x:c>
      <x:c r="J263" s="14" t="str">
        <x:v>West</x:v>
      </x:c>
    </x:row>
    <x:row r="264">
      <x:c r="A264" s="50" t="n">
        <x:v>46071</x:v>
      </x:c>
      <x:c r="B264" s="14" t="str">
        <x:v>SKU-0031</x:v>
      </x:c>
      <x:c r="C264" s="52" t="n">
        <x:v>9</x:v>
      </x:c>
      <x:c r="D264" s="40" t="n">
        <x:v>313.19</x:v>
      </x:c>
      <x:c r="E264" s="44" t="n">
        <x:f>C264*D264</x:f>
        <x:v>2818.71</x:v>
      </x:c>
      <x:c r="F264" s="40" t="n">
        <x:v>247.09</x:v>
      </x:c>
      <x:c r="G264" s="44" t="n">
        <x:f>C264*F264</x:f>
        <x:v>2223.81</x:v>
      </x:c>
      <x:c r="H264" s="44" t="n">
        <x:f>E264-G264</x:f>
        <x:v>594.9000000000001</x:v>
      </x:c>
      <x:c r="I264" s="14" t="str">
        <x:v>SMB</x:v>
      </x:c>
      <x:c r="J264" s="14" t="str">
        <x:v>Northeast</x:v>
      </x:c>
    </x:row>
    <x:row r="265">
      <x:c r="A265" s="50" t="n">
        <x:v>46043</x:v>
      </x:c>
      <x:c r="B265" s="14" t="str">
        <x:v>SKU-0038</x:v>
      </x:c>
      <x:c r="C265" s="52" t="n">
        <x:v>7</x:v>
      </x:c>
      <x:c r="D265" s="40" t="n">
        <x:v>232.65</x:v>
      </x:c>
      <x:c r="E265" s="44" t="n">
        <x:f>C265*D265</x:f>
        <x:v>1628.55</x:v>
      </x:c>
      <x:c r="F265" s="40" t="n">
        <x:v>160.43</x:v>
      </x:c>
      <x:c r="G265" s="44" t="n">
        <x:f>C265*F265</x:f>
        <x:v>1123.01</x:v>
      </x:c>
      <x:c r="H265" s="44" t="n">
        <x:f>E265-G265</x:f>
        <x:v>505.53999999999996</x:v>
      </x:c>
      <x:c r="I265" s="14" t="str">
        <x:v>Enterprise</x:v>
      </x:c>
      <x:c r="J265" s="14" t="str">
        <x:v>Midwest</x:v>
      </x:c>
    </x:row>
    <x:row r="266">
      <x:c r="A266" s="50" t="n">
        <x:v>46094</x:v>
      </x:c>
      <x:c r="B266" s="14" t="str">
        <x:v>SKU-0093</x:v>
      </x:c>
      <x:c r="C266" s="52" t="n">
        <x:v>3</x:v>
      </x:c>
      <x:c r="D266" s="40" t="n">
        <x:v>306.57</x:v>
      </x:c>
      <x:c r="E266" s="44" t="n">
        <x:f>C266*D266</x:f>
        <x:v>919.71</x:v>
      </x:c>
      <x:c r="F266" s="40" t="n">
        <x:v>239.3</x:v>
      </x:c>
      <x:c r="G266" s="44" t="n">
        <x:f>C266*F266</x:f>
        <x:v>717.9000000000001</x:v>
      </x:c>
      <x:c r="H266" s="44" t="n">
        <x:f>E266-G266</x:f>
        <x:v>201.80999999999995</x:v>
      </x:c>
      <x:c r="I266" s="14" t="str">
        <x:v>Enterprise</x:v>
      </x:c>
      <x:c r="J266" s="14" t="str">
        <x:v>Southeast</x:v>
      </x:c>
    </x:row>
    <x:row r="267">
      <x:c r="A267" s="50" t="n">
        <x:v>45928</x:v>
      </x:c>
      <x:c r="B267" s="14" t="str">
        <x:v>SKU-0047</x:v>
      </x:c>
      <x:c r="C267" s="52" t="n">
        <x:v>10</x:v>
      </x:c>
      <x:c r="D267" s="40" t="n">
        <x:v>333.59</x:v>
      </x:c>
      <x:c r="E267" s="44" t="n">
        <x:f>C267*D267</x:f>
        <x:v>3335.8999999999996</x:v>
      </x:c>
      <x:c r="F267" s="40" t="n">
        <x:v>233.63</x:v>
      </x:c>
      <x:c r="G267" s="44" t="n">
        <x:f>C267*F267</x:f>
        <x:v>2336.3</x:v>
      </x:c>
      <x:c r="H267" s="44" t="n">
        <x:f>E267-G267</x:f>
        <x:v>999.5999999999995</x:v>
      </x:c>
      <x:c r="I267" s="14" t="str">
        <x:v>Distributor</x:v>
      </x:c>
      <x:c r="J267" s="14" t="str">
        <x:v>Midwest</x:v>
      </x:c>
    </x:row>
    <x:row r="268">
      <x:c r="A268" s="50" t="n">
        <x:v>46230</x:v>
      </x:c>
      <x:c r="B268" s="14" t="str">
        <x:v>SKU-0070</x:v>
      </x:c>
      <x:c r="C268" s="52" t="n">
        <x:v>13</x:v>
      </x:c>
      <x:c r="D268" s="40" t="n">
        <x:v>112.96</x:v>
      </x:c>
      <x:c r="E268" s="44" t="n">
        <x:f>C268*D268</x:f>
        <x:v>1468.48</x:v>
      </x:c>
      <x:c r="F268" s="40" t="n">
        <x:v>69.06</x:v>
      </x:c>
      <x:c r="G268" s="44" t="n">
        <x:f>C268*F268</x:f>
        <x:v>897.78</x:v>
      </x:c>
      <x:c r="H268" s="44" t="n">
        <x:f>E268-G268</x:f>
        <x:v>570.7</x:v>
      </x:c>
      <x:c r="I268" s="14" t="str">
        <x:v>Distributor</x:v>
      </x:c>
      <x:c r="J268" s="14" t="str">
        <x:v>Southeast</x:v>
      </x:c>
    </x:row>
    <x:row r="269">
      <x:c r="A269" s="50" t="n">
        <x:v>45950</x:v>
      </x:c>
      <x:c r="B269" s="14" t="str">
        <x:v>SKU-0004</x:v>
      </x:c>
      <x:c r="C269" s="52" t="n">
        <x:v>9</x:v>
      </x:c>
      <x:c r="D269" s="40" t="n">
        <x:v>347.67</x:v>
      </x:c>
      <x:c r="E269" s="44" t="n">
        <x:f>C269*D269</x:f>
        <x:v>3129.03</x:v>
      </x:c>
      <x:c r="F269" s="40" t="n">
        <x:v>164.72</x:v>
      </x:c>
      <x:c r="G269" s="44" t="n">
        <x:f>C269*F269</x:f>
        <x:v>1482.48</x:v>
      </x:c>
      <x:c r="H269" s="44" t="n">
        <x:f>E269-G269</x:f>
        <x:v>1646.5500000000002</x:v>
      </x:c>
      <x:c r="I269" s="14" t="str">
        <x:v>Distributor</x:v>
      </x:c>
      <x:c r="J269" s="14" t="str">
        <x:v>Southeast</x:v>
      </x:c>
    </x:row>
    <x:row r="270">
      <x:c r="A270" s="50" t="n">
        <x:v>45991</x:v>
      </x:c>
      <x:c r="B270" s="14" t="str">
        <x:v>SKU-0027</x:v>
      </x:c>
      <x:c r="C270" s="52" t="n">
        <x:v>4</x:v>
      </x:c>
      <x:c r="D270" s="40" t="n">
        <x:v>279.92</x:v>
      </x:c>
      <x:c r="E270" s="44" t="n">
        <x:f>C270*D270</x:f>
        <x:v>1119.68</x:v>
      </x:c>
      <x:c r="F270" s="40" t="n">
        <x:v>138.07</x:v>
      </x:c>
      <x:c r="G270" s="44" t="n">
        <x:f>C270*F270</x:f>
        <x:v>552.28</x:v>
      </x:c>
      <x:c r="H270" s="44" t="n">
        <x:f>E270-G270</x:f>
        <x:v>567.4000000000001</x:v>
      </x:c>
      <x:c r="I270" s="14" t="str">
        <x:v>Enterprise</x:v>
      </x:c>
      <x:c r="J270" s="14" t="str">
        <x:v>West</x:v>
      </x:c>
    </x:row>
    <x:row r="271">
      <x:c r="A271" s="50" t="n">
        <x:v>45919</x:v>
      </x:c>
      <x:c r="B271" s="14" t="str">
        <x:v>SKU-0118</x:v>
      </x:c>
      <x:c r="C271" s="52" t="n">
        <x:v>3</x:v>
      </x:c>
      <x:c r="D271" s="40" t="n">
        <x:v>553.02</x:v>
      </x:c>
      <x:c r="E271" s="44" t="n">
        <x:f>C271*D271</x:f>
        <x:v>1659.06</x:v>
      </x:c>
      <x:c r="F271" s="40" t="n">
        <x:v>237.03</x:v>
      </x:c>
      <x:c r="G271" s="44" t="n">
        <x:f>C271*F271</x:f>
        <x:v>711.09</x:v>
      </x:c>
      <x:c r="H271" s="44" t="n">
        <x:f>E271-G271</x:f>
        <x:v>947.9699999999999</x:v>
      </x:c>
      <x:c r="I271" s="14" t="str">
        <x:v>SMB</x:v>
      </x:c>
      <x:c r="J271" s="14" t="str">
        <x:v>West</x:v>
      </x:c>
    </x:row>
    <x:row r="272">
      <x:c r="A272" s="50" t="n">
        <x:v>46055</x:v>
      </x:c>
      <x:c r="B272" s="14" t="str">
        <x:v>SKU-0134</x:v>
      </x:c>
      <x:c r="C272" s="52" t="n">
        <x:v>4</x:v>
      </x:c>
      <x:c r="D272" s="40" t="n">
        <x:v>435.85</x:v>
      </x:c>
      <x:c r="E272" s="44" t="n">
        <x:f>C272*D272</x:f>
        <x:v>1743.4</x:v>
      </x:c>
      <x:c r="F272" s="40" t="n">
        <x:v>254.76</x:v>
      </x:c>
      <x:c r="G272" s="44" t="n">
        <x:f>C272*F272</x:f>
        <x:v>1019.04</x:v>
      </x:c>
      <x:c r="H272" s="44" t="n">
        <x:f>E272-G272</x:f>
        <x:v>724.3600000000001</x:v>
      </x:c>
      <x:c r="I272" s="14" t="str">
        <x:v>Enterprise</x:v>
      </x:c>
      <x:c r="J272" s="14" t="str">
        <x:v>Southeast</x:v>
      </x:c>
    </x:row>
    <x:row r="273">
      <x:c r="A273" s="50" t="n">
        <x:v>46235</x:v>
      </x:c>
      <x:c r="B273" s="14" t="str">
        <x:v>SKU-0033</x:v>
      </x:c>
      <x:c r="C273" s="52" t="n">
        <x:v>4</x:v>
      </x:c>
      <x:c r="D273" s="40" t="n">
        <x:v>258.22</x:v>
      </x:c>
      <x:c r="E273" s="44" t="n">
        <x:f>C273*D273</x:f>
        <x:v>1032.88</x:v>
      </x:c>
      <x:c r="F273" s="40" t="n">
        <x:v>185.66</x:v>
      </x:c>
      <x:c r="G273" s="44" t="n">
        <x:f>C273*F273</x:f>
        <x:v>742.64</x:v>
      </x:c>
      <x:c r="H273" s="44" t="n">
        <x:f>E273-G273</x:f>
        <x:v>290.2400000000001</x:v>
      </x:c>
      <x:c r="I273" s="14" t="str">
        <x:v>SMB</x:v>
      </x:c>
      <x:c r="J273" s="14" t="str">
        <x:v>Northeast</x:v>
      </x:c>
    </x:row>
    <x:row r="274">
      <x:c r="A274" s="50" t="n">
        <x:v>46233</x:v>
      </x:c>
      <x:c r="B274" s="14" t="str">
        <x:v>SKU-0109</x:v>
      </x:c>
      <x:c r="C274" s="52" t="n">
        <x:v>13</x:v>
      </x:c>
      <x:c r="D274" s="40" t="n">
        <x:v>139.08</x:v>
      </x:c>
      <x:c r="E274" s="44" t="n">
        <x:f>C274*D274</x:f>
        <x:v>1808.0400000000002</x:v>
      </x:c>
      <x:c r="F274" s="40" t="n">
        <x:v>119.32</x:v>
      </x:c>
      <x:c r="G274" s="44" t="n">
        <x:f>C274*F274</x:f>
        <x:v>1551.1599999999999</x:v>
      </x:c>
      <x:c r="H274" s="44" t="n">
        <x:f>E274-G274</x:f>
        <x:v>256.88000000000034</x:v>
      </x:c>
      <x:c r="I274" s="14" t="str">
        <x:v>Internal Use</x:v>
      </x:c>
      <x:c r="J274" s="14" t="str">
        <x:v>West</x:v>
      </x:c>
    </x:row>
    <x:row r="275">
      <x:c r="A275" s="50" t="n">
        <x:v>45980</x:v>
      </x:c>
      <x:c r="B275" s="14" t="str">
        <x:v>SKU-0011</x:v>
      </x:c>
      <x:c r="C275" s="52" t="n">
        <x:v>9</x:v>
      </x:c>
      <x:c r="D275" s="40" t="n">
        <x:v>345</x:v>
      </x:c>
      <x:c r="E275" s="44" t="n">
        <x:f>C275*D275</x:f>
        <x:v>3105</x:v>
      </x:c>
      <x:c r="F275" s="40" t="n">
        <x:v>244.6</x:v>
      </x:c>
      <x:c r="G275" s="44" t="n">
        <x:f>C275*F275</x:f>
        <x:v>2201.4</x:v>
      </x:c>
      <x:c r="H275" s="44" t="n">
        <x:f>E275-G275</x:f>
        <x:v>903.5999999999999</x:v>
      </x:c>
      <x:c r="I275" s="14" t="str">
        <x:v>Distributor</x:v>
      </x:c>
      <x:c r="J275" s="14" t="str">
        <x:v>Northeast</x:v>
      </x:c>
    </x:row>
    <x:row r="276">
      <x:c r="A276" s="50" t="n">
        <x:v>46034</x:v>
      </x:c>
      <x:c r="B276" s="14" t="str">
        <x:v>SKU-0017</x:v>
      </x:c>
      <x:c r="C276" s="52" t="n">
        <x:v>23</x:v>
      </x:c>
      <x:c r="D276" s="40" t="n">
        <x:v>162.12</x:v>
      </x:c>
      <x:c r="E276" s="44" t="n">
        <x:f>C276*D276</x:f>
        <x:v>3728.76</x:v>
      </x:c>
      <x:c r="F276" s="40" t="n">
        <x:v>71.82</x:v>
      </x:c>
      <x:c r="G276" s="44" t="n">
        <x:f>C276*F276</x:f>
        <x:v>1651.86</x:v>
      </x:c>
      <x:c r="H276" s="44" t="n">
        <x:f>E276-G276</x:f>
        <x:v>2076.9000000000005</x:v>
      </x:c>
      <x:c r="I276" s="14" t="str">
        <x:v>SMB</x:v>
      </x:c>
      <x:c r="J276" s="14" t="str">
        <x:v>Southeast</x:v>
      </x:c>
    </x:row>
    <x:row r="277">
      <x:c r="A277" s="50" t="n">
        <x:v>46223</x:v>
      </x:c>
      <x:c r="B277" s="14" t="str">
        <x:v>SKU-0048</x:v>
      </x:c>
      <x:c r="C277" s="52" t="n">
        <x:v>7</x:v>
      </x:c>
      <x:c r="D277" s="40" t="n">
        <x:v>453.96</x:v>
      </x:c>
      <x:c r="E277" s="44" t="n">
        <x:f>C277*D277</x:f>
        <x:v>3177.72</x:v>
      </x:c>
      <x:c r="F277" s="40" t="n">
        <x:v>211.59</x:v>
      </x:c>
      <x:c r="G277" s="44" t="n">
        <x:f>C277*F277</x:f>
        <x:v>1481.13</x:v>
      </x:c>
      <x:c r="H277" s="44" t="n">
        <x:f>E277-G277</x:f>
        <x:v>1696.5899999999997</x:v>
      </x:c>
      <x:c r="I277" s="14" t="str">
        <x:v>Distributor</x:v>
      </x:c>
      <x:c r="J277" s="14" t="str">
        <x:v>Midwest</x:v>
      </x:c>
    </x:row>
    <x:row r="278">
      <x:c r="A278" s="50" t="n">
        <x:v>45962</x:v>
      </x:c>
      <x:c r="B278" s="14" t="str">
        <x:v>SKU-0091</x:v>
      </x:c>
      <x:c r="C278" s="52" t="n">
        <x:v>12</x:v>
      </x:c>
      <x:c r="D278" s="40" t="n">
        <x:v>60.47</x:v>
      </x:c>
      <x:c r="E278" s="44" t="n">
        <x:f>C278*D278</x:f>
        <x:v>725.64</x:v>
      </x:c>
      <x:c r="F278" s="40" t="n">
        <x:v>42.22</x:v>
      </x:c>
      <x:c r="G278" s="44" t="n">
        <x:f>C278*F278</x:f>
        <x:v>506.64</x:v>
      </x:c>
      <x:c r="H278" s="44" t="n">
        <x:f>E278-G278</x:f>
        <x:v>219</x:v>
      </x:c>
      <x:c r="I278" s="14" t="str">
        <x:v>Enterprise</x:v>
      </x:c>
      <x:c r="J278" s="14" t="str">
        <x:v>Southeast</x:v>
      </x:c>
    </x:row>
    <x:row r="279">
      <x:c r="A279" s="50" t="n">
        <x:v>46024</x:v>
      </x:c>
      <x:c r="B279" s="14" t="str">
        <x:v>SKU-0050</x:v>
      </x:c>
      <x:c r="C279" s="52" t="n">
        <x:v>1</x:v>
      </x:c>
      <x:c r="D279" s="40" t="n">
        <x:v>296.89</x:v>
      </x:c>
      <x:c r="E279" s="44" t="n">
        <x:f>C279*D279</x:f>
        <x:v>296.89</x:v>
      </x:c>
      <x:c r="F279" s="40" t="n">
        <x:v>150.72</x:v>
      </x:c>
      <x:c r="G279" s="44" t="n">
        <x:f>C279*F279</x:f>
        <x:v>150.72</x:v>
      </x:c>
      <x:c r="H279" s="44" t="n">
        <x:f>E279-G279</x:f>
        <x:v>146.17</x:v>
      </x:c>
      <x:c r="I279" s="14" t="str">
        <x:v>Enterprise</x:v>
      </x:c>
      <x:c r="J279" s="14" t="str">
        <x:v>Southeast</x:v>
      </x:c>
    </x:row>
    <x:row r="280">
      <x:c r="A280" s="50" t="n">
        <x:v>46242</x:v>
      </x:c>
      <x:c r="B280" s="14" t="str">
        <x:v>SKU-0130</x:v>
      </x:c>
      <x:c r="C280" s="52" t="n">
        <x:v>8</x:v>
      </x:c>
      <x:c r="D280" s="40" t="n">
        <x:v>90.88</x:v>
      </x:c>
      <x:c r="E280" s="44" t="n">
        <x:f>C280*D280</x:f>
        <x:v>727.04</x:v>
      </x:c>
      <x:c r="F280" s="40" t="n">
        <x:v>73.53</x:v>
      </x:c>
      <x:c r="G280" s="44" t="n">
        <x:f>C280*F280</x:f>
        <x:v>588.24</x:v>
      </x:c>
      <x:c r="H280" s="44" t="n">
        <x:f>E280-G280</x:f>
        <x:v>138.79999999999995</x:v>
      </x:c>
      <x:c r="I280" s="14" t="str">
        <x:v>Enterprise</x:v>
      </x:c>
      <x:c r="J280" s="14" t="str">
        <x:v>Southeast</x:v>
      </x:c>
    </x:row>
    <x:row r="281">
      <x:c r="A281" s="50" t="n">
        <x:v>46074</x:v>
      </x:c>
      <x:c r="B281" s="14" t="str">
        <x:v>SKU-0091</x:v>
      </x:c>
      <x:c r="C281" s="52" t="n">
        <x:v>7</x:v>
      </x:c>
      <x:c r="D281" s="40" t="n">
        <x:v>63.85</x:v>
      </x:c>
      <x:c r="E281" s="44" t="n">
        <x:f>C281*D281</x:f>
        <x:v>446.95</x:v>
      </x:c>
      <x:c r="F281" s="40" t="n">
        <x:v>42.22</x:v>
      </x:c>
      <x:c r="G281" s="44" t="n">
        <x:f>C281*F281</x:f>
        <x:v>295.53999999999996</x:v>
      </x:c>
      <x:c r="H281" s="44" t="n">
        <x:f>E281-G281</x:f>
        <x:v>151.41000000000003</x:v>
      </x:c>
      <x:c r="I281" s="14" t="str">
        <x:v>Distributor</x:v>
      </x:c>
      <x:c r="J281" s="14" t="str">
        <x:v>Northeast</x:v>
      </x:c>
    </x:row>
    <x:row r="282">
      <x:c r="A282" s="50" t="n">
        <x:v>45936</x:v>
      </x:c>
      <x:c r="B282" s="14" t="str">
        <x:v>SKU-0120</x:v>
      </x:c>
      <x:c r="C282" s="52" t="n">
        <x:v>9</x:v>
      </x:c>
      <x:c r="D282" s="40" t="n">
        <x:v>70.5</x:v>
      </x:c>
      <x:c r="E282" s="44" t="n">
        <x:f>C282*D282</x:f>
        <x:v>634.5</x:v>
      </x:c>
      <x:c r="F282" s="40" t="n">
        <x:v>41.87</x:v>
      </x:c>
      <x:c r="G282" s="44" t="n">
        <x:f>C282*F282</x:f>
        <x:v>376.83</x:v>
      </x:c>
      <x:c r="H282" s="44" t="n">
        <x:f>E282-G282</x:f>
        <x:v>257.67</x:v>
      </x:c>
      <x:c r="I282" s="14" t="str">
        <x:v>Distributor</x:v>
      </x:c>
      <x:c r="J282" s="14" t="str">
        <x:v>Northeast</x:v>
      </x:c>
    </x:row>
    <x:row r="283">
      <x:c r="A283" s="50" t="n">
        <x:v>46047</x:v>
      </x:c>
      <x:c r="B283" s="14" t="str">
        <x:v>SKU-0022</x:v>
      </x:c>
      <x:c r="C283" s="52" t="n">
        <x:v>8</x:v>
      </x:c>
      <x:c r="D283" s="40" t="n">
        <x:v>283.46</x:v>
      </x:c>
      <x:c r="E283" s="44" t="n">
        <x:f>C283*D283</x:f>
        <x:v>2267.68</x:v>
      </x:c>
      <x:c r="F283" s="40" t="n">
        <x:v>167.48</x:v>
      </x:c>
      <x:c r="G283" s="44" t="n">
        <x:f>C283*F283</x:f>
        <x:v>1339.84</x:v>
      </x:c>
      <x:c r="H283" s="44" t="n">
        <x:f>E283-G283</x:f>
        <x:v>927.8399999999999</x:v>
      </x:c>
      <x:c r="I283" s="14" t="str">
        <x:v>Distributor</x:v>
      </x:c>
      <x:c r="J283" s="14" t="str">
        <x:v>West</x:v>
      </x:c>
    </x:row>
    <x:row r="284">
      <x:c r="A284" s="50" t="n">
        <x:v>46163</x:v>
      </x:c>
      <x:c r="B284" s="14" t="str">
        <x:v>SKU-0058</x:v>
      </x:c>
      <x:c r="C284" s="52" t="n">
        <x:v>4</x:v>
      </x:c>
      <x:c r="D284" s="40" t="n">
        <x:v>387.84</x:v>
      </x:c>
      <x:c r="E284" s="44" t="n">
        <x:f>C284*D284</x:f>
        <x:v>1551.36</x:v>
      </x:c>
      <x:c r="F284" s="40" t="n">
        <x:v>226.78</x:v>
      </x:c>
      <x:c r="G284" s="44" t="n">
        <x:f>C284*F284</x:f>
        <x:v>907.12</x:v>
      </x:c>
      <x:c r="H284" s="44" t="n">
        <x:f>E284-G284</x:f>
        <x:v>644.2399999999999</x:v>
      </x:c>
      <x:c r="I284" s="14" t="str">
        <x:v>Internal Use</x:v>
      </x:c>
      <x:c r="J284" s="14" t="str">
        <x:v>Midwest</x:v>
      </x:c>
    </x:row>
    <x:row r="285">
      <x:c r="A285" s="50" t="n">
        <x:v>45886</x:v>
      </x:c>
      <x:c r="B285" s="14" t="str">
        <x:v>SKU-0046</x:v>
      </x:c>
      <x:c r="C285" s="52" t="n">
        <x:v>3</x:v>
      </x:c>
      <x:c r="D285" s="40" t="n">
        <x:v>122.78</x:v>
      </x:c>
      <x:c r="E285" s="44" t="n">
        <x:f>C285*D285</x:f>
        <x:v>368.34000000000003</x:v>
      </x:c>
      <x:c r="F285" s="40" t="n">
        <x:v>66.68</x:v>
      </x:c>
      <x:c r="G285" s="44" t="n">
        <x:f>C285*F285</x:f>
        <x:v>200.04000000000002</x:v>
      </x:c>
      <x:c r="H285" s="44" t="n">
        <x:f>E285-G285</x:f>
        <x:v>168.3</x:v>
      </x:c>
      <x:c r="I285" s="14" t="str">
        <x:v>Enterprise</x:v>
      </x:c>
      <x:c r="J285" s="14" t="str">
        <x:v>Northeast</x:v>
      </x:c>
    </x:row>
    <x:row r="286">
      <x:c r="A286" s="50" t="n">
        <x:v>46082</x:v>
      </x:c>
      <x:c r="B286" s="14" t="str">
        <x:v>SKU-0037</x:v>
      </x:c>
      <x:c r="C286" s="52" t="n">
        <x:v>6</x:v>
      </x:c>
      <x:c r="D286" s="40" t="n">
        <x:v>160.87</x:v>
      </x:c>
      <x:c r="E286" s="44" t="n">
        <x:f>C286*D286</x:f>
        <x:v>965.22</x:v>
      </x:c>
      <x:c r="F286" s="40" t="n">
        <x:v>115.83</x:v>
      </x:c>
      <x:c r="G286" s="44" t="n">
        <x:f>C286*F286</x:f>
        <x:v>694.98</x:v>
      </x:c>
      <x:c r="H286" s="44" t="n">
        <x:f>E286-G286</x:f>
        <x:v>270.24</x:v>
      </x:c>
      <x:c r="I286" s="14" t="str">
        <x:v>SMB</x:v>
      </x:c>
      <x:c r="J286" s="14" t="str">
        <x:v>Northeast</x:v>
      </x:c>
    </x:row>
    <x:row r="287">
      <x:c r="A287" s="50" t="n">
        <x:v>45981</x:v>
      </x:c>
      <x:c r="B287" s="14" t="str">
        <x:v>SKU-0094</x:v>
      </x:c>
      <x:c r="C287" s="52" t="n">
        <x:v>5</x:v>
      </x:c>
      <x:c r="D287" s="40" t="n">
        <x:v>10.51</x:v>
      </x:c>
      <x:c r="E287" s="44" t="n">
        <x:f>C287*D287</x:f>
        <x:v>52.55</x:v>
      </x:c>
      <x:c r="F287" s="40" t="n">
        <x:v>4.75</x:v>
      </x:c>
      <x:c r="G287" s="44" t="n">
        <x:f>C287*F287</x:f>
        <x:v>23.75</x:v>
      </x:c>
      <x:c r="H287" s="44" t="n">
        <x:f>E287-G287</x:f>
        <x:v>28.799999999999997</x:v>
      </x:c>
      <x:c r="I287" s="14" t="str">
        <x:v>Enterprise</x:v>
      </x:c>
      <x:c r="J287" s="14" t="str">
        <x:v>Southeast</x:v>
      </x:c>
    </x:row>
    <x:row r="288">
      <x:c r="A288" s="50" t="n">
        <x:v>46135</x:v>
      </x:c>
      <x:c r="B288" s="14" t="str">
        <x:v>SKU-0109</x:v>
      </x:c>
      <x:c r="C288" s="52" t="n">
        <x:v>3</x:v>
      </x:c>
      <x:c r="D288" s="40" t="n">
        <x:v>152.09</x:v>
      </x:c>
      <x:c r="E288" s="44" t="n">
        <x:f>C288*D288</x:f>
        <x:v>456.27</x:v>
      </x:c>
      <x:c r="F288" s="40" t="n">
        <x:v>119.32</x:v>
      </x:c>
      <x:c r="G288" s="44" t="n">
        <x:f>C288*F288</x:f>
        <x:v>357.96</x:v>
      </x:c>
      <x:c r="H288" s="44" t="n">
        <x:f>E288-G288</x:f>
        <x:v>98.31</x:v>
      </x:c>
      <x:c r="I288" s="14" t="str">
        <x:v>Distributor</x:v>
      </x:c>
      <x:c r="J288" s="14" t="str">
        <x:v>West</x:v>
      </x:c>
    </x:row>
    <x:row r="289">
      <x:c r="A289" s="50" t="n">
        <x:v>46123</x:v>
      </x:c>
      <x:c r="B289" s="14" t="str">
        <x:v>SKU-0092</x:v>
      </x:c>
      <x:c r="C289" s="52" t="n">
        <x:v>3</x:v>
      </x:c>
      <x:c r="D289" s="40" t="n">
        <x:v>168.48</x:v>
      </x:c>
      <x:c r="E289" s="44" t="n">
        <x:f>C289*D289</x:f>
        <x:v>505.43999999999994</x:v>
      </x:c>
      <x:c r="F289" s="40" t="n">
        <x:v>125.08</x:v>
      </x:c>
      <x:c r="G289" s="44" t="n">
        <x:f>C289*F289</x:f>
        <x:v>375.24</x:v>
      </x:c>
      <x:c r="H289" s="44" t="n">
        <x:f>E289-G289</x:f>
        <x:v>130.19999999999993</x:v>
      </x:c>
      <x:c r="I289" s="14" t="str">
        <x:v>Internal Use</x:v>
      </x:c>
      <x:c r="J289" s="14" t="str">
        <x:v>West</x:v>
      </x:c>
    </x:row>
    <x:row r="290">
      <x:c r="A290" s="50" t="n">
        <x:v>46201</x:v>
      </x:c>
      <x:c r="B290" s="14" t="str">
        <x:v>SKU-0060</x:v>
      </x:c>
      <x:c r="C290" s="52" t="n">
        <x:v>61</x:v>
      </x:c>
      <x:c r="D290" s="40" t="n">
        <x:v>119.41</x:v>
      </x:c>
      <x:c r="E290" s="44" t="n">
        <x:f>C290*D290</x:f>
        <x:v>7284.01</x:v>
      </x:c>
      <x:c r="F290" s="40" t="n">
        <x:v>61.36</x:v>
      </x:c>
      <x:c r="G290" s="44" t="n">
        <x:f>C290*F290</x:f>
        <x:v>3742.96</x:v>
      </x:c>
      <x:c r="H290" s="44" t="n">
        <x:f>E290-G290</x:f>
        <x:v>3541.05</x:v>
      </x:c>
      <x:c r="I290" s="14" t="str">
        <x:v>Enterprise</x:v>
      </x:c>
      <x:c r="J290" s="14" t="str">
        <x:v>Southeast</x:v>
      </x:c>
    </x:row>
    <x:row r="291">
      <x:c r="A291" s="50" t="n">
        <x:v>46189</x:v>
      </x:c>
      <x:c r="B291" s="14" t="str">
        <x:v>SKU-0098</x:v>
      </x:c>
      <x:c r="C291" s="52" t="n">
        <x:v>12</x:v>
      </x:c>
      <x:c r="D291" s="40" t="n">
        <x:v>383.41</x:v>
      </x:c>
      <x:c r="E291" s="44" t="n">
        <x:f>C291*D291</x:f>
        <x:v>4600.92</x:v>
      </x:c>
      <x:c r="F291" s="40" t="n">
        <x:v>270.95</x:v>
      </x:c>
      <x:c r="G291" s="44" t="n">
        <x:f>C291*F291</x:f>
        <x:v>3251.3999999999996</x:v>
      </x:c>
      <x:c r="H291" s="44" t="n">
        <x:f>E291-G291</x:f>
        <x:v>1349.5200000000004</x:v>
      </x:c>
      <x:c r="I291" s="14" t="str">
        <x:v>Enterprise</x:v>
      </x:c>
      <x:c r="J291" s="14" t="str">
        <x:v>Northeast</x:v>
      </x:c>
    </x:row>
    <x:row r="292">
      <x:c r="A292" s="50" t="n">
        <x:v>46132</x:v>
      </x:c>
      <x:c r="B292" s="14" t="str">
        <x:v>SKU-0134</x:v>
      </x:c>
      <x:c r="C292" s="52" t="n">
        <x:v>14</x:v>
      </x:c>
      <x:c r="D292" s="40" t="n">
        <x:v>430.52</x:v>
      </x:c>
      <x:c r="E292" s="44" t="n">
        <x:f>C292*D292</x:f>
        <x:v>6027.28</x:v>
      </x:c>
      <x:c r="F292" s="40" t="n">
        <x:v>254.76</x:v>
      </x:c>
      <x:c r="G292" s="44" t="n">
        <x:f>C292*F292</x:f>
        <x:v>3566.64</x:v>
      </x:c>
      <x:c r="H292" s="44" t="n">
        <x:f>E292-G292</x:f>
        <x:v>2460.64</x:v>
      </x:c>
      <x:c r="I292" s="14" t="str">
        <x:v>Internal Use</x:v>
      </x:c>
      <x:c r="J292" s="14" t="str">
        <x:v>Midwest</x:v>
      </x:c>
    </x:row>
    <x:row r="293">
      <x:c r="A293" s="50" t="n">
        <x:v>46055</x:v>
      </x:c>
      <x:c r="B293" s="14" t="str">
        <x:v>SKU-0139</x:v>
      </x:c>
      <x:c r="C293" s="52" t="n">
        <x:v>22</x:v>
      </x:c>
      <x:c r="D293" s="40" t="n">
        <x:v>252.86</x:v>
      </x:c>
      <x:c r="E293" s="44" t="n">
        <x:f>C293*D293</x:f>
        <x:v>5562.92</x:v>
      </x:c>
      <x:c r="F293" s="40" t="n">
        <x:v>157.6</x:v>
      </x:c>
      <x:c r="G293" s="44" t="n">
        <x:f>C293*F293</x:f>
        <x:v>3467.2</x:v>
      </x:c>
      <x:c r="H293" s="44" t="n">
        <x:f>E293-G293</x:f>
        <x:v>2095.7200000000003</x:v>
      </x:c>
      <x:c r="I293" s="14" t="str">
        <x:v>Enterprise</x:v>
      </x:c>
      <x:c r="J293" s="14" t="str">
        <x:v>West</x:v>
      </x:c>
    </x:row>
    <x:row r="294">
      <x:c r="A294" s="50" t="n">
        <x:v>46076</x:v>
      </x:c>
      <x:c r="B294" s="14" t="str">
        <x:v>SKU-0031</x:v>
      </x:c>
      <x:c r="C294" s="52" t="n">
        <x:v>5</x:v>
      </x:c>
      <x:c r="D294" s="40" t="n">
        <x:v>294.77</x:v>
      </x:c>
      <x:c r="E294" s="44" t="n">
        <x:f>C294*D294</x:f>
        <x:v>1473.85</x:v>
      </x:c>
      <x:c r="F294" s="40" t="n">
        <x:v>247.09</x:v>
      </x:c>
      <x:c r="G294" s="44" t="n">
        <x:f>C294*F294</x:f>
        <x:v>1235.45</x:v>
      </x:c>
      <x:c r="H294" s="44" t="n">
        <x:f>E294-G294</x:f>
        <x:v>238.39999999999986</x:v>
      </x:c>
      <x:c r="I294" s="14" t="str">
        <x:v>Enterprise</x:v>
      </x:c>
      <x:c r="J294" s="14" t="str">
        <x:v>Northeast</x:v>
      </x:c>
    </x:row>
    <x:row r="295">
      <x:c r="A295" s="50" t="n">
        <x:v>46165</x:v>
      </x:c>
      <x:c r="B295" s="14" t="str">
        <x:v>SKU-0046</x:v>
      </x:c>
      <x:c r="C295" s="52" t="n">
        <x:v>24</x:v>
      </x:c>
      <x:c r="D295" s="40" t="n">
        <x:v>126.95</x:v>
      </x:c>
      <x:c r="E295" s="44" t="n">
        <x:f>C295*D295</x:f>
        <x:v>3046.8</x:v>
      </x:c>
      <x:c r="F295" s="40" t="n">
        <x:v>66.68</x:v>
      </x:c>
      <x:c r="G295" s="44" t="n">
        <x:f>C295*F295</x:f>
        <x:v>1600.3200000000002</x:v>
      </x:c>
      <x:c r="H295" s="44" t="n">
        <x:f>E295-G295</x:f>
        <x:v>1446.48</x:v>
      </x:c>
      <x:c r="I295" s="14" t="str">
        <x:v>SMB</x:v>
      </x:c>
      <x:c r="J295" s="14" t="str">
        <x:v>West</x:v>
      </x:c>
    </x:row>
    <x:row r="296">
      <x:c r="A296" s="50" t="n">
        <x:v>45948</x:v>
      </x:c>
      <x:c r="B296" s="14" t="str">
        <x:v>SKU-0111</x:v>
      </x:c>
      <x:c r="C296" s="52" t="n">
        <x:v>5</x:v>
      </x:c>
      <x:c r="D296" s="40" t="n">
        <x:v>157.76</x:v>
      </x:c>
      <x:c r="E296" s="44" t="n">
        <x:f>C296*D296</x:f>
        <x:v>788.8</x:v>
      </x:c>
      <x:c r="F296" s="40" t="n">
        <x:v>120.79</x:v>
      </x:c>
      <x:c r="G296" s="44" t="n">
        <x:f>C296*F296</x:f>
        <x:v>603.95</x:v>
      </x:c>
      <x:c r="H296" s="44" t="n">
        <x:f>E296-G296</x:f>
        <x:v>184.8499999999999</x:v>
      </x:c>
      <x:c r="I296" s="14" t="str">
        <x:v>Internal Use</x:v>
      </x:c>
      <x:c r="J296" s="14" t="str">
        <x:v>West</x:v>
      </x:c>
    </x:row>
    <x:row r="297">
      <x:c r="A297" s="50" t="n">
        <x:v>46167</x:v>
      </x:c>
      <x:c r="B297" s="14" t="str">
        <x:v>SKU-0122</x:v>
      </x:c>
      <x:c r="C297" s="52" t="n">
        <x:v>24</x:v>
      </x:c>
      <x:c r="D297" s="40" t="n">
        <x:v>37.5</x:v>
      </x:c>
      <x:c r="E297" s="44" t="n">
        <x:f>C297*D297</x:f>
        <x:v>900</x:v>
      </x:c>
      <x:c r="F297" s="40" t="n">
        <x:v>25.14</x:v>
      </x:c>
      <x:c r="G297" s="44" t="n">
        <x:f>C297*F297</x:f>
        <x:v>603.36</x:v>
      </x:c>
      <x:c r="H297" s="44" t="n">
        <x:f>E297-G297</x:f>
        <x:v>296.64</x:v>
      </x:c>
      <x:c r="I297" s="14" t="str">
        <x:v>Internal Use</x:v>
      </x:c>
      <x:c r="J297" s="14" t="str">
        <x:v>West</x:v>
      </x:c>
    </x:row>
    <x:row r="298">
      <x:c r="A298" s="50" t="n">
        <x:v>46025</x:v>
      </x:c>
      <x:c r="B298" s="14" t="str">
        <x:v>SKU-0091</x:v>
      </x:c>
      <x:c r="C298" s="52" t="n">
        <x:v>7</x:v>
      </x:c>
      <x:c r="D298" s="40" t="n">
        <x:v>60.24</x:v>
      </x:c>
      <x:c r="E298" s="44" t="n">
        <x:f>C298*D298</x:f>
        <x:v>421.68</x:v>
      </x:c>
      <x:c r="F298" s="40" t="n">
        <x:v>42.22</x:v>
      </x:c>
      <x:c r="G298" s="44" t="n">
        <x:f>C298*F298</x:f>
        <x:v>295.53999999999996</x:v>
      </x:c>
      <x:c r="H298" s="44" t="n">
        <x:f>E298-G298</x:f>
        <x:v>126.14000000000004</x:v>
      </x:c>
      <x:c r="I298" s="14" t="str">
        <x:v>Distributor</x:v>
      </x:c>
      <x:c r="J298" s="14" t="str">
        <x:v>Midwest</x:v>
      </x:c>
    </x:row>
    <x:row r="299">
      <x:c r="A299" s="50" t="n">
        <x:v>45893</x:v>
      </x:c>
      <x:c r="B299" s="14" t="str">
        <x:v>SKU-0150</x:v>
      </x:c>
      <x:c r="C299" s="52" t="n">
        <x:v>23</x:v>
      </x:c>
      <x:c r="D299" s="40" t="n">
        <x:v>78.49</x:v>
      </x:c>
      <x:c r="E299" s="44" t="n">
        <x:f>C299*D299</x:f>
        <x:v>1805.27</x:v>
      </x:c>
      <x:c r="F299" s="40" t="n">
        <x:v>62.34</x:v>
      </x:c>
      <x:c r="G299" s="44" t="n">
        <x:f>C299*F299</x:f>
        <x:v>1433.8200000000002</x:v>
      </x:c>
      <x:c r="H299" s="44" t="n">
        <x:f>E299-G299</x:f>
        <x:v>371.4499999999998</x:v>
      </x:c>
      <x:c r="I299" s="14" t="str">
        <x:v>Internal Use</x:v>
      </x:c>
      <x:c r="J299" s="14" t="str">
        <x:v>Midwest</x:v>
      </x:c>
    </x:row>
    <x:row r="300">
      <x:c r="A300" s="50" t="n">
        <x:v>46090</x:v>
      </x:c>
      <x:c r="B300" s="14" t="str">
        <x:v>SKU-0092</x:v>
      </x:c>
      <x:c r="C300" s="52" t="n">
        <x:v>4</x:v>
      </x:c>
      <x:c r="D300" s="40" t="n">
        <x:v>171.93</x:v>
      </x:c>
      <x:c r="E300" s="44" t="n">
        <x:f>C300*D300</x:f>
        <x:v>687.72</x:v>
      </x:c>
      <x:c r="F300" s="40" t="n">
        <x:v>125.08</x:v>
      </x:c>
      <x:c r="G300" s="44" t="n">
        <x:f>C300*F300</x:f>
        <x:v>500.32</x:v>
      </x:c>
      <x:c r="H300" s="44" t="n">
        <x:f>E300-G300</x:f>
        <x:v>187.40000000000003</x:v>
      </x:c>
      <x:c r="I300" s="14" t="str">
        <x:v>Distributor</x:v>
      </x:c>
      <x:c r="J300" s="14" t="str">
        <x:v>Northeast</x:v>
      </x:c>
    </x:row>
    <x:row r="301">
      <x:c r="A301" s="50" t="n">
        <x:v>46036</x:v>
      </x:c>
      <x:c r="B301" s="14" t="str">
        <x:v>SKU-0017</x:v>
      </x:c>
      <x:c r="C301" s="52" t="n">
        <x:v>4</x:v>
      </x:c>
      <x:c r="D301" s="40" t="n">
        <x:v>156.28</x:v>
      </x:c>
      <x:c r="E301" s="44" t="n">
        <x:f>C301*D301</x:f>
        <x:v>625.12</x:v>
      </x:c>
      <x:c r="F301" s="40" t="n">
        <x:v>71.82</x:v>
      </x:c>
      <x:c r="G301" s="44" t="n">
        <x:f>C301*F301</x:f>
        <x:v>287.28</x:v>
      </x:c>
      <x:c r="H301" s="44" t="n">
        <x:f>E301-G301</x:f>
        <x:v>337.84000000000003</x:v>
      </x:c>
      <x:c r="I301" s="14" t="str">
        <x:v>Enterprise</x:v>
      </x:c>
      <x:c r="J301" s="14" t="str">
        <x:v>West</x:v>
      </x:c>
    </x:row>
    <x:row r="302">
      <x:c r="A302" s="50" t="n">
        <x:v>46170</x:v>
      </x:c>
      <x:c r="B302" s="14" t="str">
        <x:v>SKU-0109</x:v>
      </x:c>
      <x:c r="C302" s="52" t="n">
        <x:v>9</x:v>
      </x:c>
      <x:c r="D302" s="40" t="n">
        <x:v>139.12</x:v>
      </x:c>
      <x:c r="E302" s="44" t="n">
        <x:f>C302*D302</x:f>
        <x:v>1252.08</x:v>
      </x:c>
      <x:c r="F302" s="40" t="n">
        <x:v>119.32</x:v>
      </x:c>
      <x:c r="G302" s="44" t="n">
        <x:f>C302*F302</x:f>
        <x:v>1073.8799999999999</x:v>
      </x:c>
      <x:c r="H302" s="44" t="n">
        <x:f>E302-G302</x:f>
        <x:v>178.20000000000005</x:v>
      </x:c>
      <x:c r="I302" s="14" t="str">
        <x:v>Internal Use</x:v>
      </x:c>
      <x:c r="J302" s="14" t="str">
        <x:v>Northeast</x:v>
      </x:c>
    </x:row>
    <x:row r="303">
      <x:c r="A303" s="50" t="n">
        <x:v>46073</x:v>
      </x:c>
      <x:c r="B303" s="14" t="str">
        <x:v>SKU-0082</x:v>
      </x:c>
      <x:c r="C303" s="52" t="n">
        <x:v>10</x:v>
      </x:c>
      <x:c r="D303" s="40" t="n">
        <x:v>143.66</x:v>
      </x:c>
      <x:c r="E303" s="44" t="n">
        <x:f>C303*D303</x:f>
        <x:v>1436.6</x:v>
      </x:c>
      <x:c r="F303" s="40" t="n">
        <x:v>79.16</x:v>
      </x:c>
      <x:c r="G303" s="44" t="n">
        <x:f>C303*F303</x:f>
        <x:v>791.5999999999999</x:v>
      </x:c>
      <x:c r="H303" s="44" t="n">
        <x:f>E303-G303</x:f>
        <x:v>645</x:v>
      </x:c>
      <x:c r="I303" s="14" t="str">
        <x:v>Internal Use</x:v>
      </x:c>
      <x:c r="J303" s="14" t="str">
        <x:v>Northeast</x:v>
      </x:c>
    </x:row>
    <x:row r="304">
      <x:c r="A304" s="50" t="n">
        <x:v>46052</x:v>
      </x:c>
      <x:c r="B304" s="14" t="str">
        <x:v>SKU-0053</x:v>
      </x:c>
      <x:c r="C304" s="52" t="n">
        <x:v>8</x:v>
      </x:c>
      <x:c r="D304" s="40" t="n">
        <x:v>411.95</x:v>
      </x:c>
      <x:c r="E304" s="44" t="n">
        <x:f>C304*D304</x:f>
        <x:v>3295.6</x:v>
      </x:c>
      <x:c r="F304" s="40" t="n">
        <x:v>235.39</x:v>
      </x:c>
      <x:c r="G304" s="44" t="n">
        <x:f>C304*F304</x:f>
        <x:v>1883.12</x:v>
      </x:c>
      <x:c r="H304" s="44" t="n">
        <x:f>E304-G304</x:f>
        <x:v>1412.48</x:v>
      </x:c>
      <x:c r="I304" s="14" t="str">
        <x:v>SMB</x:v>
      </x:c>
      <x:c r="J304" s="14" t="str">
        <x:v>Midwest</x:v>
      </x:c>
    </x:row>
    <x:row r="305">
      <x:c r="A305" s="50" t="n">
        <x:v>46103</x:v>
      </x:c>
      <x:c r="B305" s="14" t="str">
        <x:v>SKU-0094</x:v>
      </x:c>
      <x:c r="C305" s="52" t="n">
        <x:v>2</x:v>
      </x:c>
      <x:c r="D305" s="40" t="n">
        <x:v>10.48</x:v>
      </x:c>
      <x:c r="E305" s="44" t="n">
        <x:f>C305*D305</x:f>
        <x:v>20.96</x:v>
      </x:c>
      <x:c r="F305" s="40" t="n">
        <x:v>4.75</x:v>
      </x:c>
      <x:c r="G305" s="44" t="n">
        <x:f>C305*F305</x:f>
        <x:v>9.5</x:v>
      </x:c>
      <x:c r="H305" s="44" t="n">
        <x:f>E305-G305</x:f>
        <x:v>11.46</x:v>
      </x:c>
      <x:c r="I305" s="14" t="str">
        <x:v>Enterprise</x:v>
      </x:c>
      <x:c r="J305" s="14" t="str">
        <x:v>Southeast</x:v>
      </x:c>
    </x:row>
    <x:row r="306">
      <x:c r="A306" s="50" t="n">
        <x:v>46015</x:v>
      </x:c>
      <x:c r="B306" s="14" t="str">
        <x:v>SKU-0074</x:v>
      </x:c>
      <x:c r="C306" s="52" t="n">
        <x:v>7</x:v>
      </x:c>
      <x:c r="D306" s="40" t="n">
        <x:v>360.73</x:v>
      </x:c>
      <x:c r="E306" s="44" t="n">
        <x:f>C306*D306</x:f>
        <x:v>2525.11</x:v>
      </x:c>
      <x:c r="F306" s="40" t="n">
        <x:v>206.33</x:v>
      </x:c>
      <x:c r="G306" s="44" t="n">
        <x:f>C306*F306</x:f>
        <x:v>1444.3100000000002</x:v>
      </x:c>
      <x:c r="H306" s="44" t="n">
        <x:f>E306-G306</x:f>
        <x:v>1080.8</x:v>
      </x:c>
      <x:c r="I306" s="14" t="str">
        <x:v>Enterprise</x:v>
      </x:c>
      <x:c r="J306" s="14" t="str">
        <x:v>Northeast</x:v>
      </x:c>
    </x:row>
    <x:row r="307">
      <x:c r="A307" s="50" t="n">
        <x:v>46019</x:v>
      </x:c>
      <x:c r="B307" s="14" t="str">
        <x:v>SKU-0087</x:v>
      </x:c>
      <x:c r="C307" s="52" t="n">
        <x:v>8</x:v>
      </x:c>
      <x:c r="D307" s="40" t="n">
        <x:v>354.42</x:v>
      </x:c>
      <x:c r="E307" s="44" t="n">
        <x:f>C307*D307</x:f>
        <x:v>2835.36</x:v>
      </x:c>
      <x:c r="F307" s="40" t="n">
        <x:v>194.73</x:v>
      </x:c>
      <x:c r="G307" s="44" t="n">
        <x:f>C307*F307</x:f>
        <x:v>1557.84</x:v>
      </x:c>
      <x:c r="H307" s="44" t="n">
        <x:f>E307-G307</x:f>
        <x:v>1277.5200000000002</x:v>
      </x:c>
      <x:c r="I307" s="14" t="str">
        <x:v>Distributor</x:v>
      </x:c>
      <x:c r="J307" s="14" t="str">
        <x:v>Midwest</x:v>
      </x:c>
    </x:row>
    <x:row r="308">
      <x:c r="A308" s="50" t="n">
        <x:v>46219</x:v>
      </x:c>
      <x:c r="B308" s="14" t="str">
        <x:v>SKU-0111</x:v>
      </x:c>
      <x:c r="C308" s="52" t="n">
        <x:v>9</x:v>
      </x:c>
      <x:c r="D308" s="40" t="n">
        <x:v>149.32</x:v>
      </x:c>
      <x:c r="E308" s="44" t="n">
        <x:f>C308*D308</x:f>
        <x:v>1343.8799999999999</x:v>
      </x:c>
      <x:c r="F308" s="40" t="n">
        <x:v>120.79</x:v>
      </x:c>
      <x:c r="G308" s="44" t="n">
        <x:f>C308*F308</x:f>
        <x:v>1087.1100000000001</x:v>
      </x:c>
      <x:c r="H308" s="44" t="n">
        <x:f>E308-G308</x:f>
        <x:v>256.76999999999975</x:v>
      </x:c>
      <x:c r="I308" s="14" t="str">
        <x:v>Internal Use</x:v>
      </x:c>
      <x:c r="J308" s="14" t="str">
        <x:v>Southeast</x:v>
      </x:c>
    </x:row>
    <x:row r="309">
      <x:c r="A309" s="50" t="n">
        <x:v>46201</x:v>
      </x:c>
      <x:c r="B309" s="14" t="str">
        <x:v>SKU-0005</x:v>
      </x:c>
      <x:c r="C309" s="52" t="n">
        <x:v>68</x:v>
      </x:c>
      <x:c r="D309" s="40" t="n">
        <x:v>346.29</x:v>
      </x:c>
      <x:c r="E309" s="44" t="n">
        <x:f>C309*D309</x:f>
        <x:v>23547.72</x:v>
      </x:c>
      <x:c r="F309" s="40" t="n">
        <x:v>176.62</x:v>
      </x:c>
      <x:c r="G309" s="44" t="n">
        <x:f>C309*F309</x:f>
        <x:v>12010.16</x:v>
      </x:c>
      <x:c r="H309" s="44" t="n">
        <x:f>E309-G309</x:f>
        <x:v>11537.560000000001</x:v>
      </x:c>
      <x:c r="I309" s="14" t="str">
        <x:v>SMB</x:v>
      </x:c>
      <x:c r="J309" s="14" t="str">
        <x:v>West</x:v>
      </x:c>
    </x:row>
    <x:row r="310">
      <x:c r="A310" s="50" t="n">
        <x:v>46206</x:v>
      </x:c>
      <x:c r="B310" s="14" t="str">
        <x:v>SKU-0069</x:v>
      </x:c>
      <x:c r="C310" s="52" t="n">
        <x:v>10</x:v>
      </x:c>
      <x:c r="D310" s="40" t="n">
        <x:v>403.37</x:v>
      </x:c>
      <x:c r="E310" s="44" t="n">
        <x:f>C310*D310</x:f>
        <x:v>4033.7</x:v>
      </x:c>
      <x:c r="F310" s="40" t="n">
        <x:v>277.23</x:v>
      </x:c>
      <x:c r="G310" s="44" t="n">
        <x:f>C310*F310</x:f>
        <x:v>2772.3</x:v>
      </x:c>
      <x:c r="H310" s="44" t="n">
        <x:f>E310-G310</x:f>
        <x:v>1261.3999999999996</x:v>
      </x:c>
      <x:c r="I310" s="14" t="str">
        <x:v>Internal Use</x:v>
      </x:c>
      <x:c r="J310" s="14" t="str">
        <x:v>Northeast</x:v>
      </x:c>
    </x:row>
    <x:row r="311">
      <x:c r="A311" s="50" t="n">
        <x:v>45982</x:v>
      </x:c>
      <x:c r="B311" s="14" t="str">
        <x:v>SKU-0134</x:v>
      </x:c>
      <x:c r="C311" s="52" t="n">
        <x:v>7</x:v>
      </x:c>
      <x:c r="D311" s="40" t="n">
        <x:v>397.46</x:v>
      </x:c>
      <x:c r="E311" s="44" t="n">
        <x:f>C311*D311</x:f>
        <x:v>2782.22</x:v>
      </x:c>
      <x:c r="F311" s="40" t="n">
        <x:v>254.76</x:v>
      </x:c>
      <x:c r="G311" s="44" t="n">
        <x:f>C311*F311</x:f>
        <x:v>1783.32</x:v>
      </x:c>
      <x:c r="H311" s="44" t="n">
        <x:f>E311-G311</x:f>
        <x:v>998.8999999999999</x:v>
      </x:c>
      <x:c r="I311" s="14" t="str">
        <x:v>Distributor</x:v>
      </x:c>
      <x:c r="J311" s="14" t="str">
        <x:v>West</x:v>
      </x:c>
    </x:row>
    <x:row r="312">
      <x:c r="A312" s="50" t="n">
        <x:v>46043</x:v>
      </x:c>
      <x:c r="B312" s="14" t="str">
        <x:v>SKU-0106</x:v>
      </x:c>
      <x:c r="C312" s="52" t="n">
        <x:v>29</x:v>
      </x:c>
      <x:c r="D312" s="40" t="n">
        <x:v>287.3</x:v>
      </x:c>
      <x:c r="E312" s="44" t="n">
        <x:f>C312*D312</x:f>
        <x:v>8331.7</x:v>
      </x:c>
      <x:c r="F312" s="40" t="n">
        <x:v>220.84</x:v>
      </x:c>
      <x:c r="G312" s="44" t="n">
        <x:f>C312*F312</x:f>
        <x:v>6404.36</x:v>
      </x:c>
      <x:c r="H312" s="44" t="n">
        <x:f>E312-G312</x:f>
        <x:v>1927.340000000001</x:v>
      </x:c>
      <x:c r="I312" s="14" t="str">
        <x:v>Distributor</x:v>
      </x:c>
      <x:c r="J312" s="14" t="str">
        <x:v>Southeast</x:v>
      </x:c>
    </x:row>
    <x:row r="313">
      <x:c r="A313" s="50" t="n">
        <x:v>46231</x:v>
      </x:c>
      <x:c r="B313" s="14" t="str">
        <x:v>SKU-0066</x:v>
      </x:c>
      <x:c r="C313" s="52" t="n">
        <x:v>11</x:v>
      </x:c>
      <x:c r="D313" s="40" t="n">
        <x:v>380.06</x:v>
      </x:c>
      <x:c r="E313" s="44" t="n">
        <x:f>C313*D313</x:f>
        <x:v>4180.66</x:v>
      </x:c>
      <x:c r="F313" s="40" t="n">
        <x:v>244.68</x:v>
      </x:c>
      <x:c r="G313" s="44" t="n">
        <x:f>C313*F313</x:f>
        <x:v>2691.48</x:v>
      </x:c>
      <x:c r="H313" s="44" t="n">
        <x:f>E313-G313</x:f>
        <x:v>1489.1799999999998</x:v>
      </x:c>
      <x:c r="I313" s="14" t="str">
        <x:v>SMB</x:v>
      </x:c>
      <x:c r="J313" s="14" t="str">
        <x:v>Northeast</x:v>
      </x:c>
    </x:row>
    <x:row r="314">
      <x:c r="A314" s="50" t="n">
        <x:v>46038</x:v>
      </x:c>
      <x:c r="B314" s="14" t="str">
        <x:v>SKU-0063</x:v>
      </x:c>
      <x:c r="C314" s="52" t="n">
        <x:v>8</x:v>
      </x:c>
      <x:c r="D314" s="40" t="n">
        <x:v>267.99</x:v>
      </x:c>
      <x:c r="E314" s="44" t="n">
        <x:f>C314*D314</x:f>
        <x:v>2143.92</x:v>
      </x:c>
      <x:c r="F314" s="40" t="n">
        <x:v>197.54</x:v>
      </x:c>
      <x:c r="G314" s="44" t="n">
        <x:f>C314*F314</x:f>
        <x:v>1580.32</x:v>
      </x:c>
      <x:c r="H314" s="44" t="n">
        <x:f>E314-G314</x:f>
        <x:v>563.6000000000001</x:v>
      </x:c>
      <x:c r="I314" s="14" t="str">
        <x:v>Enterprise</x:v>
      </x:c>
      <x:c r="J314" s="14" t="str">
        <x:v>Southeast</x:v>
      </x:c>
    </x:row>
    <x:row r="315">
      <x:c r="A315" s="50" t="n">
        <x:v>46019</x:v>
      </x:c>
      <x:c r="B315" s="14" t="str">
        <x:v>SKU-0041</x:v>
      </x:c>
      <x:c r="C315" s="52" t="n">
        <x:v>4</x:v>
      </x:c>
      <x:c r="D315" s="40" t="n">
        <x:v>211.1</x:v>
      </x:c>
      <x:c r="E315" s="44" t="n">
        <x:f>C315*D315</x:f>
        <x:v>844.4</x:v>
      </x:c>
      <x:c r="F315" s="40" t="n">
        <x:v>117.51</x:v>
      </x:c>
      <x:c r="G315" s="44" t="n">
        <x:f>C315*F315</x:f>
        <x:v>470.04</x:v>
      </x:c>
      <x:c r="H315" s="44" t="n">
        <x:f>E315-G315</x:f>
        <x:v>374.35999999999996</x:v>
      </x:c>
      <x:c r="I315" s="14" t="str">
        <x:v>SMB</x:v>
      </x:c>
      <x:c r="J315" s="14" t="str">
        <x:v>Northeast</x:v>
      </x:c>
    </x:row>
    <x:row r="316">
      <x:c r="A316" s="50" t="n">
        <x:v>45890</x:v>
      </x:c>
      <x:c r="B316" s="14" t="str">
        <x:v>SKU-0125</x:v>
      </x:c>
      <x:c r="C316" s="52" t="n">
        <x:v>6</x:v>
      </x:c>
      <x:c r="D316" s="40" t="n">
        <x:v>57.46</x:v>
      </x:c>
      <x:c r="E316" s="44" t="n">
        <x:f>C316*D316</x:f>
        <x:v>344.76</x:v>
      </x:c>
      <x:c r="F316" s="40" t="n">
        <x:v>38.35</x:v>
      </x:c>
      <x:c r="G316" s="44" t="n">
        <x:f>C316*F316</x:f>
        <x:v>230.10000000000002</x:v>
      </x:c>
      <x:c r="H316" s="44" t="n">
        <x:f>E316-G316</x:f>
        <x:v>114.65999999999997</x:v>
      </x:c>
      <x:c r="I316" s="14" t="str">
        <x:v>Internal Use</x:v>
      </x:c>
      <x:c r="J316" s="14" t="str">
        <x:v>Midwest</x:v>
      </x:c>
    </x:row>
    <x:row r="317">
      <x:c r="A317" s="50" t="n">
        <x:v>46083</x:v>
      </x:c>
      <x:c r="B317" s="14" t="str">
        <x:v>SKU-0024</x:v>
      </x:c>
      <x:c r="C317" s="52" t="n">
        <x:v>10</x:v>
      </x:c>
      <x:c r="D317" s="40" t="n">
        <x:v>256.02</x:v>
      </x:c>
      <x:c r="E317" s="44" t="n">
        <x:f>C317*D317</x:f>
        <x:v>2560.2</x:v>
      </x:c>
      <x:c r="F317" s="40" t="n">
        <x:v>151.69</x:v>
      </x:c>
      <x:c r="G317" s="44" t="n">
        <x:f>C317*F317</x:f>
        <x:v>1516.9</x:v>
      </x:c>
      <x:c r="H317" s="44" t="n">
        <x:f>E317-G317</x:f>
        <x:v>1043.2999999999997</x:v>
      </x:c>
      <x:c r="I317" s="14" t="str">
        <x:v>Distributor</x:v>
      </x:c>
      <x:c r="J317" s="14" t="str">
        <x:v>West</x:v>
      </x:c>
    </x:row>
    <x:row r="318">
      <x:c r="A318" s="50" t="n">
        <x:v>46001</x:v>
      </x:c>
      <x:c r="B318" s="14" t="str">
        <x:v>SKU-0024</x:v>
      </x:c>
      <x:c r="C318" s="52" t="n">
        <x:v>16</x:v>
      </x:c>
      <x:c r="D318" s="40" t="n">
        <x:v>232.58</x:v>
      </x:c>
      <x:c r="E318" s="44" t="n">
        <x:f>C318*D318</x:f>
        <x:v>3721.28</x:v>
      </x:c>
      <x:c r="F318" s="40" t="n">
        <x:v>151.69</x:v>
      </x:c>
      <x:c r="G318" s="44" t="n">
        <x:f>C318*F318</x:f>
        <x:v>2427.04</x:v>
      </x:c>
      <x:c r="H318" s="44" t="n">
        <x:f>E318-G318</x:f>
        <x:v>1294.2400000000002</x:v>
      </x:c>
      <x:c r="I318" s="14" t="str">
        <x:v>Internal Use</x:v>
      </x:c>
      <x:c r="J318" s="14" t="str">
        <x:v>Southeast</x:v>
      </x:c>
    </x:row>
    <x:row r="319">
      <x:c r="A319" s="50" t="n">
        <x:v>45991</x:v>
      </x:c>
      <x:c r="B319" s="14" t="str">
        <x:v>SKU-0109</x:v>
      </x:c>
      <x:c r="C319" s="52" t="n">
        <x:v>4</x:v>
      </x:c>
      <x:c r="D319" s="40" t="n">
        <x:v>161.06</x:v>
      </x:c>
      <x:c r="E319" s="44" t="n">
        <x:f>C319*D319</x:f>
        <x:v>644.24</x:v>
      </x:c>
      <x:c r="F319" s="40" t="n">
        <x:v>119.32</x:v>
      </x:c>
      <x:c r="G319" s="44" t="n">
        <x:f>C319*F319</x:f>
        <x:v>477.28</x:v>
      </x:c>
      <x:c r="H319" s="44" t="n">
        <x:f>E319-G319</x:f>
        <x:v>166.96000000000004</x:v>
      </x:c>
      <x:c r="I319" s="14" t="str">
        <x:v>Internal Use</x:v>
      </x:c>
      <x:c r="J319" s="14" t="str">
        <x:v>West</x:v>
      </x:c>
    </x:row>
    <x:row r="320">
      <x:c r="A320" s="50" t="n">
        <x:v>46181</x:v>
      </x:c>
      <x:c r="B320" s="14" t="str">
        <x:v>SKU-0066</x:v>
      </x:c>
      <x:c r="C320" s="52" t="n">
        <x:v>2</x:v>
      </x:c>
      <x:c r="D320" s="40" t="n">
        <x:v>416.5</x:v>
      </x:c>
      <x:c r="E320" s="44" t="n">
        <x:f>C320*D320</x:f>
        <x:v>833</x:v>
      </x:c>
      <x:c r="F320" s="40" t="n">
        <x:v>244.68</x:v>
      </x:c>
      <x:c r="G320" s="44" t="n">
        <x:f>C320*F320</x:f>
        <x:v>489.36</x:v>
      </x:c>
      <x:c r="H320" s="44" t="n">
        <x:f>E320-G320</x:f>
        <x:v>343.64</x:v>
      </x:c>
      <x:c r="I320" s="14" t="str">
        <x:v>Enterprise</x:v>
      </x:c>
      <x:c r="J320" s="14" t="str">
        <x:v>Midwest</x:v>
      </x:c>
    </x:row>
    <x:row r="321">
      <x:c r="A321" s="50" t="n">
        <x:v>46096</x:v>
      </x:c>
      <x:c r="B321" s="14" t="str">
        <x:v>SKU-0140</x:v>
      </x:c>
      <x:c r="C321" s="52" t="n">
        <x:v>8</x:v>
      </x:c>
      <x:c r="D321" s="40" t="n">
        <x:v>287.95</x:v>
      </x:c>
      <x:c r="E321" s="44" t="n">
        <x:f>C321*D321</x:f>
        <x:v>2303.6</x:v>
      </x:c>
      <x:c r="F321" s="40" t="n">
        <x:v>188.55</x:v>
      </x:c>
      <x:c r="G321" s="44" t="n">
        <x:f>C321*F321</x:f>
        <x:v>1508.4</x:v>
      </x:c>
      <x:c r="H321" s="44" t="n">
        <x:f>E321-G321</x:f>
        <x:v>795.1999999999998</x:v>
      </x:c>
      <x:c r="I321" s="14" t="str">
        <x:v>SMB</x:v>
      </x:c>
      <x:c r="J321" s="14" t="str">
        <x:v>Midwest</x:v>
      </x:c>
    </x:row>
    <x:row r="322">
      <x:c r="A322" s="50" t="n">
        <x:v>46068</x:v>
      </x:c>
      <x:c r="B322" s="14" t="str">
        <x:v>SKU-0122</x:v>
      </x:c>
      <x:c r="C322" s="52" t="n">
        <x:v>36</x:v>
      </x:c>
      <x:c r="D322" s="40" t="n">
        <x:v>40.72</x:v>
      </x:c>
      <x:c r="E322" s="44" t="n">
        <x:f>C322*D322</x:f>
        <x:v>1465.92</x:v>
      </x:c>
      <x:c r="F322" s="40" t="n">
        <x:v>25.14</x:v>
      </x:c>
      <x:c r="G322" s="44" t="n">
        <x:f>C322*F322</x:f>
        <x:v>905.04</x:v>
      </x:c>
      <x:c r="H322" s="44" t="n">
        <x:f>E322-G322</x:f>
        <x:v>560.8800000000001</x:v>
      </x:c>
      <x:c r="I322" s="14" t="str">
        <x:v>SMB</x:v>
      </x:c>
      <x:c r="J322" s="14" t="str">
        <x:v>Midwest</x:v>
      </x:c>
    </x:row>
    <x:row r="323">
      <x:c r="A323" s="50" t="n">
        <x:v>46076</x:v>
      </x:c>
      <x:c r="B323" s="14" t="str">
        <x:v>SKU-0142</x:v>
      </x:c>
      <x:c r="C323" s="52" t="n">
        <x:v>3</x:v>
      </x:c>
      <x:c r="D323" s="40" t="n">
        <x:v>171.6</x:v>
      </x:c>
      <x:c r="E323" s="44" t="n">
        <x:f>C323*D323</x:f>
        <x:v>514.8</x:v>
      </x:c>
      <x:c r="F323" s="40" t="n">
        <x:v>95.95</x:v>
      </x:c>
      <x:c r="G323" s="44" t="n">
        <x:f>C323*F323</x:f>
        <x:v>287.85</x:v>
      </x:c>
      <x:c r="H323" s="44" t="n">
        <x:f>E323-G323</x:f>
        <x:v>226.94999999999993</x:v>
      </x:c>
      <x:c r="I323" s="14" t="str">
        <x:v>SMB</x:v>
      </x:c>
      <x:c r="J323" s="14" t="str">
        <x:v>West</x:v>
      </x:c>
    </x:row>
    <x:row r="324">
      <x:c r="A324" s="50" t="n">
        <x:v>45884</x:v>
      </x:c>
      <x:c r="B324" s="14" t="str">
        <x:v>SKU-0100</x:v>
      </x:c>
      <x:c r="C324" s="52" t="n">
        <x:v>22</x:v>
      </x:c>
      <x:c r="D324" s="40" t="n">
        <x:v>200.65</x:v>
      </x:c>
      <x:c r="E324" s="44" t="n">
        <x:f>C324*D324</x:f>
        <x:v>4414.3</x:v>
      </x:c>
      <x:c r="F324" s="40" t="n">
        <x:v>108.23</x:v>
      </x:c>
      <x:c r="G324" s="44" t="n">
        <x:f>C324*F324</x:f>
        <x:v>2381.06</x:v>
      </x:c>
      <x:c r="H324" s="44" t="n">
        <x:f>E324-G324</x:f>
        <x:v>2033.2400000000002</x:v>
      </x:c>
      <x:c r="I324" s="14" t="str">
        <x:v>Distributor</x:v>
      </x:c>
      <x:c r="J324" s="14" t="str">
        <x:v>Midwest</x:v>
      </x:c>
    </x:row>
    <x:row r="325">
      <x:c r="A325" s="50" t="n">
        <x:v>46000</x:v>
      </x:c>
      <x:c r="B325" s="14" t="str">
        <x:v>SKU-0024</x:v>
      </x:c>
      <x:c r="C325" s="52" t="n">
        <x:v>1</x:v>
      </x:c>
      <x:c r="D325" s="40" t="n">
        <x:v>226.93</x:v>
      </x:c>
      <x:c r="E325" s="44" t="n">
        <x:f>C325*D325</x:f>
        <x:v>226.93</x:v>
      </x:c>
      <x:c r="F325" s="40" t="n">
        <x:v>151.69</x:v>
      </x:c>
      <x:c r="G325" s="44" t="n">
        <x:f>C325*F325</x:f>
        <x:v>151.69</x:v>
      </x:c>
      <x:c r="H325" s="44" t="n">
        <x:f>E325-G325</x:f>
        <x:v>75.24000000000001</x:v>
      </x:c>
      <x:c r="I325" s="14" t="str">
        <x:v>Internal Use</x:v>
      </x:c>
      <x:c r="J325" s="14" t="str">
        <x:v>Midwest</x:v>
      </x:c>
    </x:row>
    <x:row r="326">
      <x:c r="A326" s="50" t="n">
        <x:v>45897</x:v>
      </x:c>
      <x:c r="B326" s="14" t="str">
        <x:v>SKU-0105</x:v>
      </x:c>
      <x:c r="C326" s="52" t="n">
        <x:v>6</x:v>
      </x:c>
      <x:c r="D326" s="40" t="n">
        <x:v>154.41</x:v>
      </x:c>
      <x:c r="E326" s="44" t="n">
        <x:f>C326*D326</x:f>
        <x:v>926.46</x:v>
      </x:c>
      <x:c r="F326" s="40" t="n">
        <x:v>112.98</x:v>
      </x:c>
      <x:c r="G326" s="44" t="n">
        <x:f>C326*F326</x:f>
        <x:v>677.88</x:v>
      </x:c>
      <x:c r="H326" s="44" t="n">
        <x:f>E326-G326</x:f>
        <x:v>248.58000000000004</x:v>
      </x:c>
      <x:c r="I326" s="14" t="str">
        <x:v>Internal Use</x:v>
      </x:c>
      <x:c r="J326" s="14" t="str">
        <x:v>West</x:v>
      </x:c>
    </x:row>
    <x:row r="327">
      <x:c r="A327" s="50" t="n">
        <x:v>46050</x:v>
      </x:c>
      <x:c r="B327" s="14" t="str">
        <x:v>SKU-0106</x:v>
      </x:c>
      <x:c r="C327" s="52" t="n">
        <x:v>15</x:v>
      </x:c>
      <x:c r="D327" s="40" t="n">
        <x:v>291.2</x:v>
      </x:c>
      <x:c r="E327" s="44" t="n">
        <x:f>C327*D327</x:f>
        <x:v>4368</x:v>
      </x:c>
      <x:c r="F327" s="40" t="n">
        <x:v>220.84</x:v>
      </x:c>
      <x:c r="G327" s="44" t="n">
        <x:f>C327*F327</x:f>
        <x:v>3312.6</x:v>
      </x:c>
      <x:c r="H327" s="44" t="n">
        <x:f>E327-G327</x:f>
        <x:v>1055.4</x:v>
      </x:c>
      <x:c r="I327" s="14" t="str">
        <x:v>Distributor</x:v>
      </x:c>
      <x:c r="J327" s="14" t="str">
        <x:v>West</x:v>
      </x:c>
    </x:row>
    <x:row r="328">
      <x:c r="A328" s="50" t="n">
        <x:v>45906</x:v>
      </x:c>
      <x:c r="B328" s="14" t="str">
        <x:v>SKU-0008</x:v>
      </x:c>
      <x:c r="C328" s="52" t="n">
        <x:v>11</x:v>
      </x:c>
      <x:c r="D328" s="40" t="n">
        <x:v>187.16</x:v>
      </x:c>
      <x:c r="E328" s="44" t="n">
        <x:f>C328*D328</x:f>
        <x:v>2058.7599999999998</x:v>
      </x:c>
      <x:c r="F328" s="40" t="n">
        <x:v>143.38</x:v>
      </x:c>
      <x:c r="G328" s="44" t="n">
        <x:f>C328*F328</x:f>
        <x:v>1577.1799999999998</x:v>
      </x:c>
      <x:c r="H328" s="44" t="n">
        <x:f>E328-G328</x:f>
        <x:v>481.5799999999999</x:v>
      </x:c>
      <x:c r="I328" s="14" t="str">
        <x:v>SMB</x:v>
      </x:c>
      <x:c r="J328" s="14" t="str">
        <x:v>Northeast</x:v>
      </x:c>
    </x:row>
    <x:row r="329">
      <x:c r="A329" s="50" t="n">
        <x:v>45982</x:v>
      </x:c>
      <x:c r="B329" s="14" t="str">
        <x:v>SKU-0103</x:v>
      </x:c>
      <x:c r="C329" s="52" t="n">
        <x:v>11</x:v>
      </x:c>
      <x:c r="D329" s="40" t="n">
        <x:v>250.86</x:v>
      </x:c>
      <x:c r="E329" s="44" t="n">
        <x:f>C329*D329</x:f>
        <x:v>2759.46</x:v>
      </x:c>
      <x:c r="F329" s="40" t="n">
        <x:v>208.48</x:v>
      </x:c>
      <x:c r="G329" s="44" t="n">
        <x:f>C329*F329</x:f>
        <x:v>2293.2799999999997</x:v>
      </x:c>
      <x:c r="H329" s="44" t="n">
        <x:f>E329-G329</x:f>
        <x:v>466.1800000000003</x:v>
      </x:c>
      <x:c r="I329" s="14" t="str">
        <x:v>SMB</x:v>
      </x:c>
      <x:c r="J329" s="14" t="str">
        <x:v>Southeast</x:v>
      </x:c>
    </x:row>
    <x:row r="330">
      <x:c r="A330" s="50" t="n">
        <x:v>46245</x:v>
      </x:c>
      <x:c r="B330" s="14" t="str">
        <x:v>SKU-0133</x:v>
      </x:c>
      <x:c r="C330" s="52" t="n">
        <x:v>30</x:v>
      </x:c>
      <x:c r="D330" s="40" t="n">
        <x:v>280.18</x:v>
      </x:c>
      <x:c r="E330" s="44" t="n">
        <x:f>C330*D330</x:f>
        <x:v>8405.4</x:v>
      </x:c>
      <x:c r="F330" s="40" t="n">
        <x:v>233.3</x:v>
      </x:c>
      <x:c r="G330" s="44" t="n">
        <x:f>C330*F330</x:f>
        <x:v>6999</x:v>
      </x:c>
      <x:c r="H330" s="44" t="n">
        <x:f>E330-G330</x:f>
        <x:v>1406.3999999999996</x:v>
      </x:c>
      <x:c r="I330" s="14" t="str">
        <x:v>Internal Use</x:v>
      </x:c>
      <x:c r="J330" s="14" t="str">
        <x:v>Southeast</x:v>
      </x:c>
    </x:row>
    <x:row r="331">
      <x:c r="A331" s="50" t="n">
        <x:v>45968</x:v>
      </x:c>
      <x:c r="B331" s="14" t="str">
        <x:v>SKU-0067</x:v>
      </x:c>
      <x:c r="C331" s="52" t="n">
        <x:v>39</x:v>
      </x:c>
      <x:c r="D331" s="40" t="n">
        <x:v>146.73</x:v>
      </x:c>
      <x:c r="E331" s="44" t="n">
        <x:f>C331*D331</x:f>
        <x:v>5722.469999999999</x:v>
      </x:c>
      <x:c r="F331" s="40" t="n">
        <x:v>113.7</x:v>
      </x:c>
      <x:c r="G331" s="44" t="n">
        <x:f>C331*F331</x:f>
        <x:v>4434.3</x:v>
      </x:c>
      <x:c r="H331" s="44" t="n">
        <x:f>E331-G331</x:f>
        <x:v>1288.1699999999992</x:v>
      </x:c>
      <x:c r="I331" s="14" t="str">
        <x:v>SMB</x:v>
      </x:c>
      <x:c r="J331" s="14" t="str">
        <x:v>Northeast</x:v>
      </x:c>
    </x:row>
    <x:row r="332">
      <x:c r="A332" s="50" t="n">
        <x:v>46068</x:v>
      </x:c>
      <x:c r="B332" s="14" t="str">
        <x:v>SKU-0107</x:v>
      </x:c>
      <x:c r="C332" s="52" t="n">
        <x:v>58</x:v>
      </x:c>
      <x:c r="D332" s="40" t="n">
        <x:v>450.74</x:v>
      </x:c>
      <x:c r="E332" s="44" t="n">
        <x:f>C332*D332</x:f>
        <x:v>26142.920000000002</x:v>
      </x:c>
      <x:c r="F332" s="40" t="n">
        <x:v>217.39</x:v>
      </x:c>
      <x:c r="G332" s="44" t="n">
        <x:f>C332*F332</x:f>
        <x:v>12608.619999999999</x:v>
      </x:c>
      <x:c r="H332" s="44" t="n">
        <x:f>E332-G332</x:f>
        <x:v>13534.300000000003</x:v>
      </x:c>
      <x:c r="I332" s="14" t="str">
        <x:v>SMB</x:v>
      </x:c>
      <x:c r="J332" s="14" t="str">
        <x:v>Midwest</x:v>
      </x:c>
    </x:row>
    <x:row r="333">
      <x:c r="A333" s="50" t="n">
        <x:v>45905</x:v>
      </x:c>
      <x:c r="B333" s="14" t="str">
        <x:v>SKU-0044</x:v>
      </x:c>
      <x:c r="C333" s="52" t="n">
        <x:v>7</x:v>
      </x:c>
      <x:c r="D333" s="40" t="n">
        <x:v>156.73</x:v>
      </x:c>
      <x:c r="E333" s="44" t="n">
        <x:f>C333*D333</x:f>
        <x:v>1097.11</x:v>
      </x:c>
      <x:c r="F333" s="40" t="n">
        <x:v>126.24</x:v>
      </x:c>
      <x:c r="G333" s="44" t="n">
        <x:f>C333*F333</x:f>
        <x:v>883.68</x:v>
      </x:c>
      <x:c r="H333" s="44" t="n">
        <x:f>E333-G333</x:f>
        <x:v>213.42999999999995</x:v>
      </x:c>
      <x:c r="I333" s="14" t="str">
        <x:v>Enterprise</x:v>
      </x:c>
      <x:c r="J333" s="14" t="str">
        <x:v>Midwest</x:v>
      </x:c>
    </x:row>
    <x:row r="334">
      <x:c r="A334" s="50" t="n">
        <x:v>46170</x:v>
      </x:c>
      <x:c r="B334" s="14" t="str">
        <x:v>SKU-0044</x:v>
      </x:c>
      <x:c r="C334" s="52" t="n">
        <x:v>2</x:v>
      </x:c>
      <x:c r="D334" s="40" t="n">
        <x:v>161.58</x:v>
      </x:c>
      <x:c r="E334" s="44" t="n">
        <x:f>C334*D334</x:f>
        <x:v>323.16</x:v>
      </x:c>
      <x:c r="F334" s="40" t="n">
        <x:v>126.24</x:v>
      </x:c>
      <x:c r="G334" s="44" t="n">
        <x:f>C334*F334</x:f>
        <x:v>252.48</x:v>
      </x:c>
      <x:c r="H334" s="44" t="n">
        <x:f>E334-G334</x:f>
        <x:v>70.68000000000004</x:v>
      </x:c>
      <x:c r="I334" s="14" t="str">
        <x:v>Internal Use</x:v>
      </x:c>
      <x:c r="J334" s="14" t="str">
        <x:v>Northeast</x:v>
      </x:c>
    </x:row>
    <x:row r="335">
      <x:c r="A335" s="50" t="n">
        <x:v>46245</x:v>
      </x:c>
      <x:c r="B335" s="14" t="str">
        <x:v>SKU-0058</x:v>
      </x:c>
      <x:c r="C335" s="52" t="n">
        <x:v>16</x:v>
      </x:c>
      <x:c r="D335" s="40" t="n">
        <x:v>379.5</x:v>
      </x:c>
      <x:c r="E335" s="44" t="n">
        <x:f>C335*D335</x:f>
        <x:v>6072</x:v>
      </x:c>
      <x:c r="F335" s="40" t="n">
        <x:v>226.78</x:v>
      </x:c>
      <x:c r="G335" s="44" t="n">
        <x:f>C335*F335</x:f>
        <x:v>3628.48</x:v>
      </x:c>
      <x:c r="H335" s="44" t="n">
        <x:f>E335-G335</x:f>
        <x:v>2443.52</x:v>
      </x:c>
      <x:c r="I335" s="14" t="str">
        <x:v>Internal Use</x:v>
      </x:c>
      <x:c r="J335" s="14" t="str">
        <x:v>Southeast</x:v>
      </x:c>
    </x:row>
    <x:row r="336">
      <x:c r="A336" s="50" t="n">
        <x:v>45985</x:v>
      </x:c>
      <x:c r="B336" s="14" t="str">
        <x:v>SKU-0111</x:v>
      </x:c>
      <x:c r="C336" s="52" t="n">
        <x:v>3</x:v>
      </x:c>
      <x:c r="D336" s="40" t="n">
        <x:v>149.7</x:v>
      </x:c>
      <x:c r="E336" s="44" t="n">
        <x:f>C336*D336</x:f>
        <x:v>449.09999999999997</x:v>
      </x:c>
      <x:c r="F336" s="40" t="n">
        <x:v>120.79</x:v>
      </x:c>
      <x:c r="G336" s="44" t="n">
        <x:f>C336*F336</x:f>
        <x:v>362.37</x:v>
      </x:c>
      <x:c r="H336" s="44" t="n">
        <x:f>E336-G336</x:f>
        <x:v>86.72999999999996</x:v>
      </x:c>
      <x:c r="I336" s="14" t="str">
        <x:v>Internal Use</x:v>
      </x:c>
      <x:c r="J336" s="14" t="str">
        <x:v>Southeast</x:v>
      </x:c>
    </x:row>
    <x:row r="337">
      <x:c r="A337" s="50" t="n">
        <x:v>46028</x:v>
      </x:c>
      <x:c r="B337" s="14" t="str">
        <x:v>SKU-0008</x:v>
      </x:c>
      <x:c r="C337" s="52" t="n">
        <x:v>8</x:v>
      </x:c>
      <x:c r="D337" s="40" t="n">
        <x:v>191.21</x:v>
      </x:c>
      <x:c r="E337" s="44" t="n">
        <x:f>C337*D337</x:f>
        <x:v>1529.68</x:v>
      </x:c>
      <x:c r="F337" s="40" t="n">
        <x:v>143.38</x:v>
      </x:c>
      <x:c r="G337" s="44" t="n">
        <x:f>C337*F337</x:f>
        <x:v>1147.04</x:v>
      </x:c>
      <x:c r="H337" s="44" t="n">
        <x:f>E337-G337</x:f>
        <x:v>382.6400000000001</x:v>
      </x:c>
      <x:c r="I337" s="14" t="str">
        <x:v>Internal Use</x:v>
      </x:c>
      <x:c r="J337" s="14" t="str">
        <x:v>Northeast</x:v>
      </x:c>
    </x:row>
    <x:row r="338">
      <x:c r="A338" s="50" t="n">
        <x:v>46120</x:v>
      </x:c>
      <x:c r="B338" s="14" t="str">
        <x:v>SKU-0003</x:v>
      </x:c>
      <x:c r="C338" s="52" t="n">
        <x:v>4</x:v>
      </x:c>
      <x:c r="D338" s="40" t="n">
        <x:v>303.78</x:v>
      </x:c>
      <x:c r="E338" s="44" t="n">
        <x:f>C338*D338</x:f>
        <x:v>1215.12</x:v>
      </x:c>
      <x:c r="F338" s="40" t="n">
        <x:v>141.04</x:v>
      </x:c>
      <x:c r="G338" s="44" t="n">
        <x:f>C338*F338</x:f>
        <x:v>564.16</x:v>
      </x:c>
      <x:c r="H338" s="44" t="n">
        <x:f>E338-G338</x:f>
        <x:v>650.9599999999999</x:v>
      </x:c>
      <x:c r="I338" s="14" t="str">
        <x:v>SMB</x:v>
      </x:c>
      <x:c r="J338" s="14" t="str">
        <x:v>West</x:v>
      </x:c>
    </x:row>
    <x:row r="339">
      <x:c r="A339" s="50" t="n">
        <x:v>46185</x:v>
      </x:c>
      <x:c r="B339" s="14" t="str">
        <x:v>SKU-0109</x:v>
      </x:c>
      <x:c r="C339" s="52" t="n">
        <x:v>6</x:v>
      </x:c>
      <x:c r="D339" s="40" t="n">
        <x:v>140</x:v>
      </x:c>
      <x:c r="E339" s="44" t="n">
        <x:f>C339*D339</x:f>
        <x:v>840</x:v>
      </x:c>
      <x:c r="F339" s="40" t="n">
        <x:v>119.32</x:v>
      </x:c>
      <x:c r="G339" s="44" t="n">
        <x:f>C339*F339</x:f>
        <x:v>715.92</x:v>
      </x:c>
      <x:c r="H339" s="44" t="n">
        <x:f>E339-G339</x:f>
        <x:v>124.08000000000004</x:v>
      </x:c>
      <x:c r="I339" s="14" t="str">
        <x:v>Distributor</x:v>
      </x:c>
      <x:c r="J339" s="14" t="str">
        <x:v>Southeast</x:v>
      </x:c>
    </x:row>
    <x:row r="340">
      <x:c r="A340" s="50" t="n">
        <x:v>46061</x:v>
      </x:c>
      <x:c r="B340" s="14" t="str">
        <x:v>SKU-0121</x:v>
      </x:c>
      <x:c r="C340" s="52" t="n">
        <x:v>3</x:v>
      </x:c>
      <x:c r="D340" s="40" t="n">
        <x:v>121.87</x:v>
      </x:c>
      <x:c r="E340" s="44" t="n">
        <x:f>C340*D340</x:f>
        <x:v>365.61</x:v>
      </x:c>
      <x:c r="F340" s="40" t="n">
        <x:v>88.98</x:v>
      </x:c>
      <x:c r="G340" s="44" t="n">
        <x:f>C340*F340</x:f>
        <x:v>266.94</x:v>
      </x:c>
      <x:c r="H340" s="44" t="n">
        <x:f>E340-G340</x:f>
        <x:v>98.67000000000002</x:v>
      </x:c>
      <x:c r="I340" s="14" t="str">
        <x:v>Internal Use</x:v>
      </x:c>
      <x:c r="J340" s="14" t="str">
        <x:v>Midwest</x:v>
      </x:c>
    </x:row>
    <x:row r="341">
      <x:c r="A341" s="50" t="n">
        <x:v>46166</x:v>
      </x:c>
      <x:c r="B341" s="14" t="str">
        <x:v>SKU-0034</x:v>
      </x:c>
      <x:c r="C341" s="52" t="n">
        <x:v>3</x:v>
      </x:c>
      <x:c r="D341" s="40" t="n">
        <x:v>75.98</x:v>
      </x:c>
      <x:c r="E341" s="44" t="n">
        <x:f>C341*D341</x:f>
        <x:v>227.94</x:v>
      </x:c>
      <x:c r="F341" s="40" t="n">
        <x:v>34.51</x:v>
      </x:c>
      <x:c r="G341" s="44" t="n">
        <x:f>C341*F341</x:f>
        <x:v>103.53</x:v>
      </x:c>
      <x:c r="H341" s="44" t="n">
        <x:f>E341-G341</x:f>
        <x:v>124.41</x:v>
      </x:c>
      <x:c r="I341" s="14" t="str">
        <x:v>Internal Use</x:v>
      </x:c>
      <x:c r="J341" s="14" t="str">
        <x:v>Southeast</x:v>
      </x:c>
    </x:row>
    <x:row r="342">
      <x:c r="A342" s="50" t="n">
        <x:v>46042</x:v>
      </x:c>
      <x:c r="B342" s="14" t="str">
        <x:v>SKU-0023</x:v>
      </x:c>
      <x:c r="C342" s="52" t="n">
        <x:v>15</x:v>
      </x:c>
      <x:c r="D342" s="40" t="n">
        <x:v>93.23</x:v>
      </x:c>
      <x:c r="E342" s="44" t="n">
        <x:f>C342*D342</x:f>
        <x:v>1398.45</x:v>
      </x:c>
      <x:c r="F342" s="40" t="n">
        <x:v>76.21</x:v>
      </x:c>
      <x:c r="G342" s="44" t="n">
        <x:f>C342*F342</x:f>
        <x:v>1143.1499999999999</x:v>
      </x:c>
      <x:c r="H342" s="44" t="n">
        <x:f>E342-G342</x:f>
        <x:v>255.30000000000018</x:v>
      </x:c>
      <x:c r="I342" s="14" t="str">
        <x:v>Distributor</x:v>
      </x:c>
      <x:c r="J342" s="14" t="str">
        <x:v>Northeast</x:v>
      </x:c>
    </x:row>
    <x:row r="343">
      <x:c r="A343" s="50" t="n">
        <x:v>46135</x:v>
      </x:c>
      <x:c r="B343" s="14" t="str">
        <x:v>SKU-0033</x:v>
      </x:c>
      <x:c r="C343" s="52" t="n">
        <x:v>17</x:v>
      </x:c>
      <x:c r="D343" s="40" t="n">
        <x:v>264.05</x:v>
      </x:c>
      <x:c r="E343" s="44" t="n">
        <x:f>C343*D343</x:f>
        <x:v>4488.85</x:v>
      </x:c>
      <x:c r="F343" s="40" t="n">
        <x:v>185.66</x:v>
      </x:c>
      <x:c r="G343" s="44" t="n">
        <x:f>C343*F343</x:f>
        <x:v>3156.22</x:v>
      </x:c>
      <x:c r="H343" s="44" t="n">
        <x:f>E343-G343</x:f>
        <x:v>1332.6300000000006</x:v>
      </x:c>
      <x:c r="I343" s="14" t="str">
        <x:v>Distributor</x:v>
      </x:c>
      <x:c r="J343" s="14" t="str">
        <x:v>West</x:v>
      </x:c>
    </x:row>
    <x:row r="344">
      <x:c r="A344" s="50" t="n">
        <x:v>46041</x:v>
      </x:c>
      <x:c r="B344" s="14" t="str">
        <x:v>SKU-0043</x:v>
      </x:c>
      <x:c r="C344" s="52" t="n">
        <x:v>17</x:v>
      </x:c>
      <x:c r="D344" s="40" t="n">
        <x:v>423.99</x:v>
      </x:c>
      <x:c r="E344" s="44" t="n">
        <x:f>C344*D344</x:f>
        <x:v>7207.83</x:v>
      </x:c>
      <x:c r="F344" s="40" t="n">
        <x:v>224.89</x:v>
      </x:c>
      <x:c r="G344" s="44" t="n">
        <x:f>C344*F344</x:f>
        <x:v>3823.1299999999997</x:v>
      </x:c>
      <x:c r="H344" s="44" t="n">
        <x:f>E344-G344</x:f>
        <x:v>3384.7000000000003</x:v>
      </x:c>
      <x:c r="I344" s="14" t="str">
        <x:v>Internal Use</x:v>
      </x:c>
      <x:c r="J344" s="14" t="str">
        <x:v>Northeast</x:v>
      </x:c>
    </x:row>
    <x:row r="345">
      <x:c r="A345" s="50" t="n">
        <x:v>45956</x:v>
      </x:c>
      <x:c r="B345" s="14" t="str">
        <x:v>SKU-0049</x:v>
      </x:c>
      <x:c r="C345" s="52" t="n">
        <x:v>8</x:v>
      </x:c>
      <x:c r="D345" s="40" t="n">
        <x:v>95.24</x:v>
      </x:c>
      <x:c r="E345" s="44" t="n">
        <x:f>C345*D345</x:f>
        <x:v>761.92</x:v>
      </x:c>
      <x:c r="F345" s="40" t="n">
        <x:v>63.39</x:v>
      </x:c>
      <x:c r="G345" s="44" t="n">
        <x:f>C345*F345</x:f>
        <x:v>507.12</x:v>
      </x:c>
      <x:c r="H345" s="44" t="n">
        <x:f>E345-G345</x:f>
        <x:v>254.79999999999995</x:v>
      </x:c>
      <x:c r="I345" s="14" t="str">
        <x:v>Enterprise</x:v>
      </x:c>
      <x:c r="J345" s="14" t="str">
        <x:v>West</x:v>
      </x:c>
    </x:row>
    <x:row r="346">
      <x:c r="A346" s="50" t="n">
        <x:v>46106</x:v>
      </x:c>
      <x:c r="B346" s="14" t="str">
        <x:v>SKU-0011</x:v>
      </x:c>
      <x:c r="C346" s="52" t="n">
        <x:v>4</x:v>
      </x:c>
      <x:c r="D346" s="40" t="n">
        <x:v>365.65</x:v>
      </x:c>
      <x:c r="E346" s="44" t="n">
        <x:f>C346*D346</x:f>
        <x:v>1462.6</x:v>
      </x:c>
      <x:c r="F346" s="40" t="n">
        <x:v>244.6</x:v>
      </x:c>
      <x:c r="G346" s="44" t="n">
        <x:f>C346*F346</x:f>
        <x:v>978.4</x:v>
      </x:c>
      <x:c r="H346" s="44" t="n">
        <x:f>E346-G346</x:f>
        <x:v>484.19999999999993</x:v>
      </x:c>
      <x:c r="I346" s="14" t="str">
        <x:v>Internal Use</x:v>
      </x:c>
      <x:c r="J346" s="14" t="str">
        <x:v>Northeast</x:v>
      </x:c>
    </x:row>
    <x:row r="347">
      <x:c r="A347" s="50" t="n">
        <x:v>45943</x:v>
      </x:c>
      <x:c r="B347" s="14" t="str">
        <x:v>SKU-0038</x:v>
      </x:c>
      <x:c r="C347" s="52" t="n">
        <x:v>6</x:v>
      </x:c>
      <x:c r="D347" s="40" t="n">
        <x:v>229.97</x:v>
      </x:c>
      <x:c r="E347" s="44" t="n">
        <x:f>C347*D347</x:f>
        <x:v>1379.82</x:v>
      </x:c>
      <x:c r="F347" s="40" t="n">
        <x:v>160.43</x:v>
      </x:c>
      <x:c r="G347" s="44" t="n">
        <x:f>C347*F347</x:f>
        <x:v>962.58</x:v>
      </x:c>
      <x:c r="H347" s="44" t="n">
        <x:f>E347-G347</x:f>
        <x:v>417.2399999999999</x:v>
      </x:c>
      <x:c r="I347" s="14" t="str">
        <x:v>SMB</x:v>
      </x:c>
      <x:c r="J347" s="14" t="str">
        <x:v>Midwest</x:v>
      </x:c>
    </x:row>
    <x:row r="348">
      <x:c r="A348" s="50" t="n">
        <x:v>46219</x:v>
      </x:c>
      <x:c r="B348" s="14" t="str">
        <x:v>SKU-0145</x:v>
      </x:c>
      <x:c r="C348" s="52" t="n">
        <x:v>11</x:v>
      </x:c>
      <x:c r="D348" s="40" t="n">
        <x:v>227.66</x:v>
      </x:c>
      <x:c r="E348" s="44" t="n">
        <x:f>C348*D348</x:f>
        <x:v>2504.2599999999998</x:v>
      </x:c>
      <x:c r="F348" s="40" t="n">
        <x:v>142.06</x:v>
      </x:c>
      <x:c r="G348" s="44" t="n">
        <x:f>C348*F348</x:f>
        <x:v>1562.66</x:v>
      </x:c>
      <x:c r="H348" s="44" t="n">
        <x:f>E348-G348</x:f>
        <x:v>941.5999999999997</x:v>
      </x:c>
      <x:c r="I348" s="14" t="str">
        <x:v>SMB</x:v>
      </x:c>
      <x:c r="J348" s="14" t="str">
        <x:v>West</x:v>
      </x:c>
    </x:row>
    <x:row r="349">
      <x:c r="A349" s="50" t="n">
        <x:v>46006</x:v>
      </x:c>
      <x:c r="B349" s="14" t="str">
        <x:v>SKU-0020</x:v>
      </x:c>
      <x:c r="C349" s="52" t="n">
        <x:v>28</x:v>
      </x:c>
      <x:c r="D349" s="40" t="n">
        <x:v>279.59</x:v>
      </x:c>
      <x:c r="E349" s="44" t="n">
        <x:f>C349*D349</x:f>
        <x:v>7828.5199999999995</x:v>
      </x:c>
      <x:c r="F349" s="40" t="n">
        <x:v>163.22</x:v>
      </x:c>
      <x:c r="G349" s="44" t="n">
        <x:f>C349*F349</x:f>
        <x:v>4570.16</x:v>
      </x:c>
      <x:c r="H349" s="44" t="n">
        <x:f>E349-G349</x:f>
        <x:v>3258.3599999999997</x:v>
      </x:c>
      <x:c r="I349" s="14" t="str">
        <x:v>Enterprise</x:v>
      </x:c>
      <x:c r="J349" s="14" t="str">
        <x:v>Midwest</x:v>
      </x:c>
    </x:row>
    <x:row r="350">
      <x:c r="A350" s="50" t="n">
        <x:v>46081</x:v>
      </x:c>
      <x:c r="B350" s="14" t="str">
        <x:v>SKU-0032</x:v>
      </x:c>
      <x:c r="C350" s="52" t="n">
        <x:v>1</x:v>
      </x:c>
      <x:c r="D350" s="40" t="n">
        <x:v>260.59</x:v>
      </x:c>
      <x:c r="E350" s="44" t="n">
        <x:f>C350*D350</x:f>
        <x:v>260.59</x:v>
      </x:c>
      <x:c r="F350" s="40" t="n">
        <x:v>221</x:v>
      </x:c>
      <x:c r="G350" s="44" t="n">
        <x:f>C350*F350</x:f>
        <x:v>221</x:v>
      </x:c>
      <x:c r="H350" s="44" t="n">
        <x:f>E350-G350</x:f>
        <x:v>39.589999999999975</x:v>
      </x:c>
      <x:c r="I350" s="14" t="str">
        <x:v>Distributor</x:v>
      </x:c>
      <x:c r="J350" s="14" t="str">
        <x:v>Southeast</x:v>
      </x:c>
    </x:row>
    <x:row r="351">
      <x:c r="A351" s="50" t="n">
        <x:v>45921</x:v>
      </x:c>
      <x:c r="B351" s="14" t="str">
        <x:v>SKU-0008</x:v>
      </x:c>
      <x:c r="C351" s="52" t="n">
        <x:v>7</x:v>
      </x:c>
      <x:c r="D351" s="40" t="n">
        <x:v>188.21</x:v>
      </x:c>
      <x:c r="E351" s="44" t="n">
        <x:f>C351*D351</x:f>
        <x:v>1317.47</x:v>
      </x:c>
      <x:c r="F351" s="40" t="n">
        <x:v>143.38</x:v>
      </x:c>
      <x:c r="G351" s="44" t="n">
        <x:f>C351*F351</x:f>
        <x:v>1003.66</x:v>
      </x:c>
      <x:c r="H351" s="44" t="n">
        <x:f>E351-G351</x:f>
        <x:v>313.81000000000006</x:v>
      </x:c>
      <x:c r="I351" s="14" t="str">
        <x:v>Distributor</x:v>
      </x:c>
      <x:c r="J351" s="14" t="str">
        <x:v>Northeast</x:v>
      </x:c>
    </x:row>
    <x:row r="352">
      <x:c r="A352" s="50" t="n">
        <x:v>45902</x:v>
      </x:c>
      <x:c r="B352" s="14" t="str">
        <x:v>SKU-0085</x:v>
      </x:c>
      <x:c r="C352" s="52" t="n">
        <x:v>3</x:v>
      </x:c>
      <x:c r="D352" s="40" t="n">
        <x:v>401.74</x:v>
      </x:c>
      <x:c r="E352" s="44" t="n">
        <x:f>C352*D352</x:f>
        <x:v>1205.22</x:v>
      </x:c>
      <x:c r="F352" s="40" t="n">
        <x:v>222.39</x:v>
      </x:c>
      <x:c r="G352" s="44" t="n">
        <x:f>C352*F352</x:f>
        <x:v>667.17</x:v>
      </x:c>
      <x:c r="H352" s="44" t="n">
        <x:f>E352-G352</x:f>
        <x:v>538.0500000000001</x:v>
      </x:c>
      <x:c r="I352" s="14" t="str">
        <x:v>SMB</x:v>
      </x:c>
      <x:c r="J352" s="14" t="str">
        <x:v>Southeast</x:v>
      </x:c>
    </x:row>
    <x:row r="353">
      <x:c r="A353" s="50" t="n">
        <x:v>46209</x:v>
      </x:c>
      <x:c r="B353" s="14" t="str">
        <x:v>SKU-0013</x:v>
      </x:c>
      <x:c r="C353" s="52" t="n">
        <x:v>2</x:v>
      </x:c>
      <x:c r="D353" s="40" t="n">
        <x:v>39.56</x:v>
      </x:c>
      <x:c r="E353" s="44" t="n">
        <x:f>C353*D353</x:f>
        <x:v>79.12</x:v>
      </x:c>
      <x:c r="F353" s="40" t="n">
        <x:v>22.2</x:v>
      </x:c>
      <x:c r="G353" s="44" t="n">
        <x:f>C353*F353</x:f>
        <x:v>44.4</x:v>
      </x:c>
      <x:c r="H353" s="44" t="n">
        <x:f>E353-G353</x:f>
        <x:v>34.720000000000006</x:v>
      </x:c>
      <x:c r="I353" s="14" t="str">
        <x:v>Internal Use</x:v>
      </x:c>
      <x:c r="J353" s="14" t="str">
        <x:v>Northeast</x:v>
      </x:c>
    </x:row>
    <x:row r="354">
      <x:c r="A354" s="50" t="n">
        <x:v>46010</x:v>
      </x:c>
      <x:c r="B354" s="14" t="str">
        <x:v>SKU-0103</x:v>
      </x:c>
      <x:c r="C354" s="52" t="n">
        <x:v>16</x:v>
      </x:c>
      <x:c r="D354" s="40" t="n">
        <x:v>279.62</x:v>
      </x:c>
      <x:c r="E354" s="44" t="n">
        <x:f>C354*D354</x:f>
        <x:v>4473.92</x:v>
      </x:c>
      <x:c r="F354" s="40" t="n">
        <x:v>208.48</x:v>
      </x:c>
      <x:c r="G354" s="44" t="n">
        <x:f>C354*F354</x:f>
        <x:v>3335.68</x:v>
      </x:c>
      <x:c r="H354" s="44" t="n">
        <x:f>E354-G354</x:f>
        <x:v>1138.2400000000002</x:v>
      </x:c>
      <x:c r="I354" s="14" t="str">
        <x:v>Distributor</x:v>
      </x:c>
      <x:c r="J354" s="14" t="str">
        <x:v>Southeast</x:v>
      </x:c>
    </x:row>
    <x:row r="355">
      <x:c r="A355" s="50" t="n">
        <x:v>46032</x:v>
      </x:c>
      <x:c r="B355" s="14" t="str">
        <x:v>SKU-0031</x:v>
      </x:c>
      <x:c r="C355" s="52" t="n">
        <x:v>8</x:v>
      </x:c>
      <x:c r="D355" s="40" t="n">
        <x:v>311.41</x:v>
      </x:c>
      <x:c r="E355" s="44" t="n">
        <x:f>C355*D355</x:f>
        <x:v>2491.28</x:v>
      </x:c>
      <x:c r="F355" s="40" t="n">
        <x:v>247.09</x:v>
      </x:c>
      <x:c r="G355" s="44" t="n">
        <x:f>C355*F355</x:f>
        <x:v>1976.72</x:v>
      </x:c>
      <x:c r="H355" s="44" t="n">
        <x:f>E355-G355</x:f>
        <x:v>514.5600000000002</x:v>
      </x:c>
      <x:c r="I355" s="14" t="str">
        <x:v>Distributor</x:v>
      </x:c>
      <x:c r="J355" s="14" t="str">
        <x:v>Southeast</x:v>
      </x:c>
    </x:row>
    <x:row r="356">
      <x:c r="A356" s="50" t="n">
        <x:v>46220</x:v>
      </x:c>
      <x:c r="B356" s="14" t="str">
        <x:v>SKU-0092</x:v>
      </x:c>
      <x:c r="C356" s="52" t="n">
        <x:v>3</x:v>
      </x:c>
      <x:c r="D356" s="40" t="n">
        <x:v>170.61</x:v>
      </x:c>
      <x:c r="E356" s="44" t="n">
        <x:f>C356*D356</x:f>
        <x:v>511.83000000000004</x:v>
      </x:c>
      <x:c r="F356" s="40" t="n">
        <x:v>125.08</x:v>
      </x:c>
      <x:c r="G356" s="44" t="n">
        <x:f>C356*F356</x:f>
        <x:v>375.24</x:v>
      </x:c>
      <x:c r="H356" s="44" t="n">
        <x:f>E356-G356</x:f>
        <x:v>136.59000000000003</x:v>
      </x:c>
      <x:c r="I356" s="14" t="str">
        <x:v>Internal Use</x:v>
      </x:c>
      <x:c r="J356" s="14" t="str">
        <x:v>West</x:v>
      </x:c>
    </x:row>
    <x:row r="357">
      <x:c r="A357" s="50" t="n">
        <x:v>46017</x:v>
      </x:c>
      <x:c r="B357" s="14" t="str">
        <x:v>SKU-0122</x:v>
      </x:c>
      <x:c r="C357" s="52" t="n">
        <x:v>10</x:v>
      </x:c>
      <x:c r="D357" s="40" t="n">
        <x:v>39.64</x:v>
      </x:c>
      <x:c r="E357" s="44" t="n">
        <x:f>C357*D357</x:f>
        <x:v>396.4</x:v>
      </x:c>
      <x:c r="F357" s="40" t="n">
        <x:v>25.14</x:v>
      </x:c>
      <x:c r="G357" s="44" t="n">
        <x:f>C357*F357</x:f>
        <x:v>251.4</x:v>
      </x:c>
      <x:c r="H357" s="44" t="n">
        <x:f>E357-G357</x:f>
        <x:v>144.99999999999997</x:v>
      </x:c>
      <x:c r="I357" s="14" t="str">
        <x:v>Distributor</x:v>
      </x:c>
      <x:c r="J357" s="14" t="str">
        <x:v>Southeast</x:v>
      </x:c>
    </x:row>
    <x:row r="358">
      <x:c r="A358" s="50" t="n">
        <x:v>46202</x:v>
      </x:c>
      <x:c r="B358" s="14" t="str">
        <x:v>SKU-0112</x:v>
      </x:c>
      <x:c r="C358" s="52" t="n">
        <x:v>8</x:v>
      </x:c>
      <x:c r="D358" s="40" t="n">
        <x:v>285.37</x:v>
      </x:c>
      <x:c r="E358" s="44" t="n">
        <x:f>C358*D358</x:f>
        <x:v>2282.96</x:v>
      </x:c>
      <x:c r="F358" s="40" t="n">
        <x:v>175.75</x:v>
      </x:c>
      <x:c r="G358" s="44" t="n">
        <x:f>C358*F358</x:f>
        <x:v>1406</x:v>
      </x:c>
      <x:c r="H358" s="44" t="n">
        <x:f>E358-G358</x:f>
        <x:v>876.96</x:v>
      </x:c>
      <x:c r="I358" s="14" t="str">
        <x:v>Internal Use</x:v>
      </x:c>
      <x:c r="J358" s="14" t="str">
        <x:v>Southeast</x:v>
      </x:c>
    </x:row>
    <x:row r="359">
      <x:c r="A359" s="50" t="n">
        <x:v>46133</x:v>
      </x:c>
      <x:c r="B359" s="14" t="str">
        <x:v>SKU-0040</x:v>
      </x:c>
      <x:c r="C359" s="52" t="n">
        <x:v>10</x:v>
      </x:c>
      <x:c r="D359" s="40" t="n">
        <x:v>403.31</x:v>
      </x:c>
      <x:c r="E359" s="44" t="n">
        <x:f>C359*D359</x:f>
        <x:v>4033.1</x:v>
      </x:c>
      <x:c r="F359" s="40" t="n">
        <x:v>229.61</x:v>
      </x:c>
      <x:c r="G359" s="44" t="n">
        <x:f>C359*F359</x:f>
        <x:v>2296.1000000000004</x:v>
      </x:c>
      <x:c r="H359" s="44" t="n">
        <x:f>E359-G359</x:f>
        <x:v>1736.9999999999995</x:v>
      </x:c>
      <x:c r="I359" s="14" t="str">
        <x:v>Internal Use</x:v>
      </x:c>
      <x:c r="J359" s="14" t="str">
        <x:v>West</x:v>
      </x:c>
    </x:row>
    <x:row r="360">
      <x:c r="A360" s="50" t="n">
        <x:v>46124</x:v>
      </x:c>
      <x:c r="B360" s="14" t="str">
        <x:v>SKU-0021</x:v>
      </x:c>
      <x:c r="C360" s="52" t="n">
        <x:v>12</x:v>
      </x:c>
      <x:c r="D360" s="40" t="n">
        <x:v>320.12</x:v>
      </x:c>
      <x:c r="E360" s="44" t="n">
        <x:f>C360*D360</x:f>
        <x:v>3841.44</x:v>
      </x:c>
      <x:c r="F360" s="40" t="n">
        <x:v>269.12</x:v>
      </x:c>
      <x:c r="G360" s="44" t="n">
        <x:f>C360*F360</x:f>
        <x:v>3229.44</x:v>
      </x:c>
      <x:c r="H360" s="44" t="n">
        <x:f>E360-G360</x:f>
        <x:v>612</x:v>
      </x:c>
      <x:c r="I360" s="14" t="str">
        <x:v>Internal Use</x:v>
      </x:c>
      <x:c r="J360" s="14" t="str">
        <x:v>Midwest</x:v>
      </x:c>
    </x:row>
    <x:row r="361">
      <x:c r="A361" s="50" t="n">
        <x:v>45904</x:v>
      </x:c>
      <x:c r="B361" s="14" t="str">
        <x:v>SKU-0146</x:v>
      </x:c>
      <x:c r="C361" s="52" t="n">
        <x:v>21</x:v>
      </x:c>
      <x:c r="D361" s="40" t="n">
        <x:v>477.65</x:v>
      </x:c>
      <x:c r="E361" s="44" t="n">
        <x:f>C361*D361</x:f>
        <x:v>10030.65</x:v>
      </x:c>
      <x:c r="F361" s="40" t="n">
        <x:v>261.77</x:v>
      </x:c>
      <x:c r="G361" s="44" t="n">
        <x:f>C361*F361</x:f>
        <x:v>5497.17</x:v>
      </x:c>
      <x:c r="H361" s="44" t="n">
        <x:f>E361-G361</x:f>
        <x:v>4533.48</x:v>
      </x:c>
      <x:c r="I361" s="14" t="str">
        <x:v>Internal Use</x:v>
      </x:c>
      <x:c r="J361" s="14" t="str">
        <x:v>West</x:v>
      </x:c>
    </x:row>
    <x:row r="362">
      <x:c r="A362" s="50" t="n">
        <x:v>46117</x:v>
      </x:c>
      <x:c r="B362" s="14" t="str">
        <x:v>SKU-0025</x:v>
      </x:c>
      <x:c r="C362" s="52" t="n">
        <x:v>15</x:v>
      </x:c>
      <x:c r="D362" s="40" t="n">
        <x:v>519.83</x:v>
      </x:c>
      <x:c r="E362" s="44" t="n">
        <x:f>C362*D362</x:f>
        <x:v>7797.450000000001</x:v>
      </x:c>
      <x:c r="F362" s="40" t="n">
        <x:v>275.52</x:v>
      </x:c>
      <x:c r="G362" s="44" t="n">
        <x:f>C362*F362</x:f>
        <x:v>4132.799999999999</x:v>
      </x:c>
      <x:c r="H362" s="44" t="n">
        <x:f>E362-G362</x:f>
        <x:v>3664.6500000000015</x:v>
      </x:c>
      <x:c r="I362" s="14" t="str">
        <x:v>Distributor</x:v>
      </x:c>
      <x:c r="J362" s="14" t="str">
        <x:v>Northeast</x:v>
      </x:c>
    </x:row>
    <x:row r="363">
      <x:c r="A363" s="50" t="n">
        <x:v>45888</x:v>
      </x:c>
      <x:c r="B363" s="14" t="str">
        <x:v>SKU-0129</x:v>
      </x:c>
      <x:c r="C363" s="52" t="n">
        <x:v>1</x:v>
      </x:c>
      <x:c r="D363" s="40" t="n">
        <x:v>271.81</x:v>
      </x:c>
      <x:c r="E363" s="44" t="n">
        <x:f>C363*D363</x:f>
        <x:v>271.81</x:v>
      </x:c>
      <x:c r="F363" s="40" t="n">
        <x:v>178.22</x:v>
      </x:c>
      <x:c r="G363" s="44" t="n">
        <x:f>C363*F363</x:f>
        <x:v>178.22</x:v>
      </x:c>
      <x:c r="H363" s="44" t="n">
        <x:f>E363-G363</x:f>
        <x:v>93.59</x:v>
      </x:c>
      <x:c r="I363" s="14" t="str">
        <x:v>SMB</x:v>
      </x:c>
      <x:c r="J363" s="14" t="str">
        <x:v>West</x:v>
      </x:c>
    </x:row>
    <x:row r="364">
      <x:c r="A364" s="50" t="n">
        <x:v>45922</x:v>
      </x:c>
      <x:c r="B364" s="14" t="str">
        <x:v>SKU-0012</x:v>
      </x:c>
      <x:c r="C364" s="52" t="n">
        <x:v>6</x:v>
      </x:c>
      <x:c r="D364" s="40" t="n">
        <x:v>373.48</x:v>
      </x:c>
      <x:c r="E364" s="44" t="n">
        <x:f>C364*D364</x:f>
        <x:v>2240.88</x:v>
      </x:c>
      <x:c r="F364" s="40" t="n">
        <x:v>252.14</x:v>
      </x:c>
      <x:c r="G364" s="44" t="n">
        <x:f>C364*F364</x:f>
        <x:v>1512.84</x:v>
      </x:c>
      <x:c r="H364" s="44" t="n">
        <x:f>E364-G364</x:f>
        <x:v>728.0400000000002</x:v>
      </x:c>
      <x:c r="I364" s="14" t="str">
        <x:v>Internal Use</x:v>
      </x:c>
      <x:c r="J364" s="14" t="str">
        <x:v>West</x:v>
      </x:c>
    </x:row>
    <x:row r="365">
      <x:c r="A365" s="50" t="n">
        <x:v>46054</x:v>
      </x:c>
      <x:c r="B365" s="14" t="str">
        <x:v>SKU-0068</x:v>
      </x:c>
      <x:c r="C365" s="52" t="n">
        <x:v>5</x:v>
      </x:c>
      <x:c r="D365" s="40" t="n">
        <x:v>243.7</x:v>
      </x:c>
      <x:c r="E365" s="44" t="n">
        <x:f>C365*D365</x:f>
        <x:v>1218.5</x:v>
      </x:c>
      <x:c r="F365" s="40" t="n">
        <x:v>157.37</x:v>
      </x:c>
      <x:c r="G365" s="44" t="n">
        <x:f>C365*F365</x:f>
        <x:v>786.85</x:v>
      </x:c>
      <x:c r="H365" s="44" t="n">
        <x:f>E365-G365</x:f>
        <x:v>431.65</x:v>
      </x:c>
      <x:c r="I365" s="14" t="str">
        <x:v>Distributor</x:v>
      </x:c>
      <x:c r="J365" s="14" t="str">
        <x:v>Northeast</x:v>
      </x:c>
    </x:row>
    <x:row r="366">
      <x:c r="A366" s="50" t="n">
        <x:v>46153</x:v>
      </x:c>
      <x:c r="B366" s="14" t="str">
        <x:v>SKU-0112</x:v>
      </x:c>
      <x:c r="C366" s="52" t="n">
        <x:v>3</x:v>
      </x:c>
      <x:c r="D366" s="40" t="n">
        <x:v>270.59</x:v>
      </x:c>
      <x:c r="E366" s="44" t="n">
        <x:f>C366*D366</x:f>
        <x:v>811.77</x:v>
      </x:c>
      <x:c r="F366" s="40" t="n">
        <x:v>175.75</x:v>
      </x:c>
      <x:c r="G366" s="44" t="n">
        <x:f>C366*F366</x:f>
        <x:v>527.25</x:v>
      </x:c>
      <x:c r="H366" s="44" t="n">
        <x:f>E366-G366</x:f>
        <x:v>284.52</x:v>
      </x:c>
      <x:c r="I366" s="14" t="str">
        <x:v>Internal Use</x:v>
      </x:c>
      <x:c r="J366" s="14" t="str">
        <x:v>West</x:v>
      </x:c>
    </x:row>
    <x:row r="367">
      <x:c r="A367" s="50" t="n">
        <x:v>46216</x:v>
      </x:c>
      <x:c r="B367" s="14" t="str">
        <x:v>SKU-0104</x:v>
      </x:c>
      <x:c r="C367" s="52" t="n">
        <x:v>8</x:v>
      </x:c>
      <x:c r="D367" s="40" t="n">
        <x:v>171.43</x:v>
      </x:c>
      <x:c r="E367" s="44" t="n">
        <x:f>C367*D367</x:f>
        <x:v>1371.44</x:v>
      </x:c>
      <x:c r="F367" s="40" t="n">
        <x:v>105.32</x:v>
      </x:c>
      <x:c r="G367" s="44" t="n">
        <x:f>C367*F367</x:f>
        <x:v>842.56</x:v>
      </x:c>
      <x:c r="H367" s="44" t="n">
        <x:f>E367-G367</x:f>
        <x:v>528.8800000000001</x:v>
      </x:c>
      <x:c r="I367" s="14" t="str">
        <x:v>Distributor</x:v>
      </x:c>
      <x:c r="J367" s="14" t="str">
        <x:v>West</x:v>
      </x:c>
    </x:row>
    <x:row r="368">
      <x:c r="A368" s="50" t="n">
        <x:v>45924</x:v>
      </x:c>
      <x:c r="B368" s="14" t="str">
        <x:v>SKU-0078</x:v>
      </x:c>
      <x:c r="C368" s="52" t="n">
        <x:v>2</x:v>
      </x:c>
      <x:c r="D368" s="40" t="n">
        <x:v>28.56</x:v>
      </x:c>
      <x:c r="E368" s="44" t="n">
        <x:f>C368*D368</x:f>
        <x:v>57.12</x:v>
      </x:c>
      <x:c r="F368" s="40" t="n">
        <x:v>17.54</x:v>
      </x:c>
      <x:c r="G368" s="44" t="n">
        <x:f>C368*F368</x:f>
        <x:v>35.08</x:v>
      </x:c>
      <x:c r="H368" s="44" t="n">
        <x:f>E368-G368</x:f>
        <x:v>22.04</x:v>
      </x:c>
      <x:c r="I368" s="14" t="str">
        <x:v>Internal Use</x:v>
      </x:c>
      <x:c r="J368" s="14" t="str">
        <x:v>Southeast</x:v>
      </x:c>
    </x:row>
    <x:row r="369">
      <x:c r="A369" s="50" t="n">
        <x:v>46034</x:v>
      </x:c>
      <x:c r="B369" s="14" t="str">
        <x:v>SKU-0023</x:v>
      </x:c>
      <x:c r="C369" s="52" t="n">
        <x:v>13</x:v>
      </x:c>
      <x:c r="D369" s="40" t="n">
        <x:v>95.63</x:v>
      </x:c>
      <x:c r="E369" s="44" t="n">
        <x:f>C369*D369</x:f>
        <x:v>1243.19</x:v>
      </x:c>
      <x:c r="F369" s="40" t="n">
        <x:v>76.21</x:v>
      </x:c>
      <x:c r="G369" s="44" t="n">
        <x:f>C369*F369</x:f>
        <x:v>990.7299999999999</x:v>
      </x:c>
      <x:c r="H369" s="44" t="n">
        <x:f>E369-G369</x:f>
        <x:v>252.46000000000015</x:v>
      </x:c>
      <x:c r="I369" s="14" t="str">
        <x:v>Enterprise</x:v>
      </x:c>
      <x:c r="J369" s="14" t="str">
        <x:v>Southeast</x:v>
      </x:c>
    </x:row>
    <x:row r="370">
      <x:c r="A370" s="50" t="n">
        <x:v>46239</x:v>
      </x:c>
      <x:c r="B370" s="14" t="str">
        <x:v>SKU-0040</x:v>
      </x:c>
      <x:c r="C370" s="52" t="n">
        <x:v>7</x:v>
      </x:c>
      <x:c r="D370" s="40" t="n">
        <x:v>399.05</x:v>
      </x:c>
      <x:c r="E370" s="44" t="n">
        <x:f>C370*D370</x:f>
        <x:v>2793.35</x:v>
      </x:c>
      <x:c r="F370" s="40" t="n">
        <x:v>229.61</x:v>
      </x:c>
      <x:c r="G370" s="44" t="n">
        <x:f>C370*F370</x:f>
        <x:v>1607.27</x:v>
      </x:c>
      <x:c r="H370" s="44" t="n">
        <x:f>E370-G370</x:f>
        <x:v>1186.08</x:v>
      </x:c>
      <x:c r="I370" s="14" t="str">
        <x:v>Internal Use</x:v>
      </x:c>
      <x:c r="J370" s="14" t="str">
        <x:v>Southeast</x:v>
      </x:c>
    </x:row>
    <x:row r="371">
      <x:c r="A371" s="50" t="n">
        <x:v>46030</x:v>
      </x:c>
      <x:c r="B371" s="14" t="str">
        <x:v>SKU-0052</x:v>
      </x:c>
      <x:c r="C371" s="52" t="n">
        <x:v>16</x:v>
      </x:c>
      <x:c r="D371" s="40" t="n">
        <x:v>238.9</x:v>
      </x:c>
      <x:c r="E371" s="44" t="n">
        <x:f>C371*D371</x:f>
        <x:v>3822.4</x:v>
      </x:c>
      <x:c r="F371" s="40" t="n">
        <x:v>210.35</x:v>
      </x:c>
      <x:c r="G371" s="44" t="n">
        <x:f>C371*F371</x:f>
        <x:v>3365.6</x:v>
      </x:c>
      <x:c r="H371" s="44" t="n">
        <x:f>E371-G371</x:f>
        <x:v>456.8000000000002</x:v>
      </x:c>
      <x:c r="I371" s="14" t="str">
        <x:v>Enterprise</x:v>
      </x:c>
      <x:c r="J371" s="14" t="str">
        <x:v>Northeast</x:v>
      </x:c>
    </x:row>
    <x:row r="372">
      <x:c r="A372" s="50" t="n">
        <x:v>46092</x:v>
      </x:c>
      <x:c r="B372" s="14" t="str">
        <x:v>SKU-0111</x:v>
      </x:c>
      <x:c r="C372" s="52" t="n">
        <x:v>55</x:v>
      </x:c>
      <x:c r="D372" s="40" t="n">
        <x:v>153.84</x:v>
      </x:c>
      <x:c r="E372" s="44" t="n">
        <x:f>C372*D372</x:f>
        <x:v>8461.2</x:v>
      </x:c>
      <x:c r="F372" s="40" t="n">
        <x:v>120.79</x:v>
      </x:c>
      <x:c r="G372" s="44" t="n">
        <x:f>C372*F372</x:f>
        <x:v>6643.450000000001</x:v>
      </x:c>
      <x:c r="H372" s="44" t="n">
        <x:f>E372-G372</x:f>
        <x:v>1817.75</x:v>
      </x:c>
      <x:c r="I372" s="14" t="str">
        <x:v>Distributor</x:v>
      </x:c>
      <x:c r="J372" s="14" t="str">
        <x:v>Northeast</x:v>
      </x:c>
    </x:row>
    <x:row r="373">
      <x:c r="A373" s="50" t="n">
        <x:v>46084</x:v>
      </x:c>
      <x:c r="B373" s="14" t="str">
        <x:v>SKU-0125</x:v>
      </x:c>
      <x:c r="C373" s="52" t="n">
        <x:v>8</x:v>
      </x:c>
      <x:c r="D373" s="40" t="n">
        <x:v>62.66</x:v>
      </x:c>
      <x:c r="E373" s="44" t="n">
        <x:f>C373*D373</x:f>
        <x:v>501.28</x:v>
      </x:c>
      <x:c r="F373" s="40" t="n">
        <x:v>38.35</x:v>
      </x:c>
      <x:c r="G373" s="44" t="n">
        <x:f>C373*F373</x:f>
        <x:v>306.8</x:v>
      </x:c>
      <x:c r="H373" s="44" t="n">
        <x:f>E373-G373</x:f>
        <x:v>194.47999999999996</x:v>
      </x:c>
      <x:c r="I373" s="14" t="str">
        <x:v>Internal Use</x:v>
      </x:c>
      <x:c r="J373" s="14" t="str">
        <x:v>Southeast</x:v>
      </x:c>
    </x:row>
    <x:row r="374">
      <x:c r="A374" s="50" t="n">
        <x:v>46150</x:v>
      </x:c>
      <x:c r="B374" s="14" t="str">
        <x:v>SKU-0016</x:v>
      </x:c>
      <x:c r="C374" s="52" t="n">
        <x:v>9</x:v>
      </x:c>
      <x:c r="D374" s="40" t="n">
        <x:v>408.22</x:v>
      </x:c>
      <x:c r="E374" s="44" t="n">
        <x:f>C374*D374</x:f>
        <x:v>3673.9800000000005</x:v>
      </x:c>
      <x:c r="F374" s="40" t="n">
        <x:v>204.58</x:v>
      </x:c>
      <x:c r="G374" s="44" t="n">
        <x:f>C374*F374</x:f>
        <x:v>1841.22</x:v>
      </x:c>
      <x:c r="H374" s="44" t="n">
        <x:f>E374-G374</x:f>
        <x:v>1832.7600000000004</x:v>
      </x:c>
      <x:c r="I374" s="14" t="str">
        <x:v>Internal Use</x:v>
      </x:c>
      <x:c r="J374" s="14" t="str">
        <x:v>Northeast</x:v>
      </x:c>
    </x:row>
    <x:row r="375">
      <x:c r="A375" s="50" t="n">
        <x:v>46198</x:v>
      </x:c>
      <x:c r="B375" s="14" t="str">
        <x:v>SKU-0127</x:v>
      </x:c>
      <x:c r="C375" s="52" t="n">
        <x:v>22</x:v>
      </x:c>
      <x:c r="D375" s="40" t="n">
        <x:v>266.27</x:v>
      </x:c>
      <x:c r="E375" s="44" t="n">
        <x:f>C375*D375</x:f>
        <x:v>5857.94</x:v>
      </x:c>
      <x:c r="F375" s="40" t="n">
        <x:v>114.9</x:v>
      </x:c>
      <x:c r="G375" s="44" t="n">
        <x:f>C375*F375</x:f>
        <x:v>2527.8</x:v>
      </x:c>
      <x:c r="H375" s="44" t="n">
        <x:f>E375-G375</x:f>
        <x:v>3330.1399999999994</x:v>
      </x:c>
      <x:c r="I375" s="14" t="str">
        <x:v>Enterprise</x:v>
      </x:c>
      <x:c r="J375" s="14" t="str">
        <x:v>Southeast</x:v>
      </x:c>
    </x:row>
    <x:row r="376">
      <x:c r="A376" s="50" t="n">
        <x:v>45978</x:v>
      </x:c>
      <x:c r="B376" s="14" t="str">
        <x:v>SKU-0074</x:v>
      </x:c>
      <x:c r="C376" s="52" t="n">
        <x:v>8</x:v>
      </x:c>
      <x:c r="D376" s="40" t="n">
        <x:v>348.14</x:v>
      </x:c>
      <x:c r="E376" s="44" t="n">
        <x:f>C376*D376</x:f>
        <x:v>2785.12</x:v>
      </x:c>
      <x:c r="F376" s="40" t="n">
        <x:v>206.33</x:v>
      </x:c>
      <x:c r="G376" s="44" t="n">
        <x:f>C376*F376</x:f>
        <x:v>1650.64</x:v>
      </x:c>
      <x:c r="H376" s="44" t="n">
        <x:f>E376-G376</x:f>
        <x:v>1134.4799999999998</x:v>
      </x:c>
      <x:c r="I376" s="14" t="str">
        <x:v>Distributor</x:v>
      </x:c>
      <x:c r="J376" s="14" t="str">
        <x:v>West</x:v>
      </x:c>
    </x:row>
    <x:row r="377">
      <x:c r="A377" s="50" t="n">
        <x:v>46030</x:v>
      </x:c>
      <x:c r="B377" s="14" t="str">
        <x:v>SKU-0034</x:v>
      </x:c>
      <x:c r="C377" s="52" t="n">
        <x:v>14</x:v>
      </x:c>
      <x:c r="D377" s="40" t="n">
        <x:v>76.92</x:v>
      </x:c>
      <x:c r="E377" s="44" t="n">
        <x:f>C377*D377</x:f>
        <x:v>1076.88</x:v>
      </x:c>
      <x:c r="F377" s="40" t="n">
        <x:v>34.51</x:v>
      </x:c>
      <x:c r="G377" s="44" t="n">
        <x:f>C377*F377</x:f>
        <x:v>483.14</x:v>
      </x:c>
      <x:c r="H377" s="44" t="n">
        <x:f>E377-G377</x:f>
        <x:v>593.7400000000001</x:v>
      </x:c>
      <x:c r="I377" s="14" t="str">
        <x:v>Distributor</x:v>
      </x:c>
      <x:c r="J377" s="14" t="str">
        <x:v>West</x:v>
      </x:c>
    </x:row>
    <x:row r="378">
      <x:c r="A378" s="50" t="n">
        <x:v>46198</x:v>
      </x:c>
      <x:c r="B378" s="14" t="str">
        <x:v>SKU-0042</x:v>
      </x:c>
      <x:c r="C378" s="52" t="n">
        <x:v>2</x:v>
      </x:c>
      <x:c r="D378" s="40" t="n">
        <x:v>272.34</x:v>
      </x:c>
      <x:c r="E378" s="44" t="n">
        <x:f>C378*D378</x:f>
        <x:v>544.68</x:v>
      </x:c>
      <x:c r="F378" s="40" t="n">
        <x:v>218.51</x:v>
      </x:c>
      <x:c r="G378" s="44" t="n">
        <x:f>C378*F378</x:f>
        <x:v>437.02</x:v>
      </x:c>
      <x:c r="H378" s="44" t="n">
        <x:f>E378-G378</x:f>
        <x:v>107.65999999999997</x:v>
      </x:c>
      <x:c r="I378" s="14" t="str">
        <x:v>Internal Use</x:v>
      </x:c>
      <x:c r="J378" s="14" t="str">
        <x:v>Southeast</x:v>
      </x:c>
    </x:row>
    <x:row r="379">
      <x:c r="A379" s="50" t="n">
        <x:v>45982</x:v>
      </x:c>
      <x:c r="B379" s="14" t="str">
        <x:v>SKU-0045</x:v>
      </x:c>
      <x:c r="C379" s="52" t="n">
        <x:v>3</x:v>
      </x:c>
      <x:c r="D379" s="40" t="n">
        <x:v>108.99</x:v>
      </x:c>
      <x:c r="E379" s="44" t="n">
        <x:f>C379*D379</x:f>
        <x:v>326.96999999999997</x:v>
      </x:c>
      <x:c r="F379" s="40" t="n">
        <x:v>68.89</x:v>
      </x:c>
      <x:c r="G379" s="44" t="n">
        <x:f>C379*F379</x:f>
        <x:v>206.67000000000002</x:v>
      </x:c>
      <x:c r="H379" s="44" t="n">
        <x:f>E379-G379</x:f>
        <x:v>120.29999999999995</x:v>
      </x:c>
      <x:c r="I379" s="14" t="str">
        <x:v>Internal Use</x:v>
      </x:c>
      <x:c r="J379" s="14" t="str">
        <x:v>Midwest</x:v>
      </x:c>
    </x:row>
    <x:row r="380">
      <x:c r="A380" s="50" t="n">
        <x:v>45987</x:v>
      </x:c>
      <x:c r="B380" s="14" t="str">
        <x:v>SKU-0061</x:v>
      </x:c>
      <x:c r="C380" s="52" t="n">
        <x:v>6</x:v>
      </x:c>
      <x:c r="D380" s="40" t="n">
        <x:v>324.44</x:v>
      </x:c>
      <x:c r="E380" s="44" t="n">
        <x:f>C380*D380</x:f>
        <x:v>1946.6399999999999</x:v>
      </x:c>
      <x:c r="F380" s="40" t="n">
        <x:v>202.32</x:v>
      </x:c>
      <x:c r="G380" s="44" t="n">
        <x:f>C380*F380</x:f>
        <x:v>1213.92</x:v>
      </x:c>
      <x:c r="H380" s="44" t="n">
        <x:f>E380-G380</x:f>
        <x:v>732.7199999999998</x:v>
      </x:c>
      <x:c r="I380" s="14" t="str">
        <x:v>SMB</x:v>
      </x:c>
      <x:c r="J380" s="14" t="str">
        <x:v>Northeast</x:v>
      </x:c>
    </x:row>
    <x:row r="381">
      <x:c r="A381" s="50" t="n">
        <x:v>46052</x:v>
      </x:c>
      <x:c r="B381" s="14" t="str">
        <x:v>SKU-0017</x:v>
      </x:c>
      <x:c r="C381" s="52" t="n">
        <x:v>7</x:v>
      </x:c>
      <x:c r="D381" s="40" t="n">
        <x:v>146.3</x:v>
      </x:c>
      <x:c r="E381" s="44" t="n">
        <x:f>C381*D381</x:f>
        <x:v>1024.1000000000001</x:v>
      </x:c>
      <x:c r="F381" s="40" t="n">
        <x:v>71.82</x:v>
      </x:c>
      <x:c r="G381" s="44" t="n">
        <x:f>C381*F381</x:f>
        <x:v>502.73999999999995</x:v>
      </x:c>
      <x:c r="H381" s="44" t="n">
        <x:f>E381-G381</x:f>
        <x:v>521.3600000000001</x:v>
      </x:c>
      <x:c r="I381" s="14" t="str">
        <x:v>SMB</x:v>
      </x:c>
      <x:c r="J381" s="14" t="str">
        <x:v>West</x:v>
      </x:c>
    </x:row>
    <x:row r="382">
      <x:c r="A382" s="50" t="n">
        <x:v>46054</x:v>
      </x:c>
      <x:c r="B382" s="14" t="str">
        <x:v>SKU-0067</x:v>
      </x:c>
      <x:c r="C382" s="52" t="n">
        <x:v>49</x:v>
      </x:c>
      <x:c r="D382" s="40" t="n">
        <x:v>146.09</x:v>
      </x:c>
      <x:c r="E382" s="44" t="n">
        <x:f>C382*D382</x:f>
        <x:v>7158.41</x:v>
      </x:c>
      <x:c r="F382" s="40" t="n">
        <x:v>113.7</x:v>
      </x:c>
      <x:c r="G382" s="44" t="n">
        <x:f>C382*F382</x:f>
        <x:v>5571.3</x:v>
      </x:c>
      <x:c r="H382" s="44" t="n">
        <x:f>E382-G382</x:f>
        <x:v>1587.1099999999997</x:v>
      </x:c>
      <x:c r="I382" s="14" t="str">
        <x:v>Distributor</x:v>
      </x:c>
      <x:c r="J382" s="14" t="str">
        <x:v>Southeast</x:v>
      </x:c>
    </x:row>
    <x:row r="383">
      <x:c r="A383" s="50" t="n">
        <x:v>46189</x:v>
      </x:c>
      <x:c r="B383" s="14" t="str">
        <x:v>SKU-0132</x:v>
      </x:c>
      <x:c r="C383" s="52" t="n">
        <x:v>19</x:v>
      </x:c>
      <x:c r="D383" s="40" t="n">
        <x:v>368.2</x:v>
      </x:c>
      <x:c r="E383" s="44" t="n">
        <x:f>C383*D383</x:f>
        <x:v>6995.8</x:v>
      </x:c>
      <x:c r="F383" s="40" t="n">
        <x:v>177.71</x:v>
      </x:c>
      <x:c r="G383" s="44" t="n">
        <x:f>C383*F383</x:f>
        <x:v>3376.4900000000002</x:v>
      </x:c>
      <x:c r="H383" s="44" t="n">
        <x:f>E383-G383</x:f>
        <x:v>3619.31</x:v>
      </x:c>
      <x:c r="I383" s="14" t="str">
        <x:v>Internal Use</x:v>
      </x:c>
      <x:c r="J383" s="14" t="str">
        <x:v>West</x:v>
      </x:c>
    </x:row>
    <x:row r="384">
      <x:c r="A384" s="50" t="n">
        <x:v>45934</x:v>
      </x:c>
      <x:c r="B384" s="14" t="str">
        <x:v>SKU-0029</x:v>
      </x:c>
      <x:c r="C384" s="52" t="n">
        <x:v>24</x:v>
      </x:c>
      <x:c r="D384" s="40" t="n">
        <x:v>19.12</x:v>
      </x:c>
      <x:c r="E384" s="44" t="n">
        <x:f>C384*D384</x:f>
        <x:v>458.88</x:v>
      </x:c>
      <x:c r="F384" s="40" t="n">
        <x:v>12.5</x:v>
      </x:c>
      <x:c r="G384" s="44" t="n">
        <x:f>C384*F384</x:f>
        <x:v>300</x:v>
      </x:c>
      <x:c r="H384" s="44" t="n">
        <x:f>E384-G384</x:f>
        <x:v>158.88</x:v>
      </x:c>
      <x:c r="I384" s="14" t="str">
        <x:v>Enterprise</x:v>
      </x:c>
      <x:c r="J384" s="14" t="str">
        <x:v>Northeast</x:v>
      </x:c>
    </x:row>
    <x:row r="385">
      <x:c r="A385" s="50" t="n">
        <x:v>45933</x:v>
      </x:c>
      <x:c r="B385" s="14" t="str">
        <x:v>SKU-0130</x:v>
      </x:c>
      <x:c r="C385" s="52" t="n">
        <x:v>5</x:v>
      </x:c>
      <x:c r="D385" s="40" t="n">
        <x:v>91.18</x:v>
      </x:c>
      <x:c r="E385" s="44" t="n">
        <x:f>C385*D385</x:f>
        <x:v>455.90000000000003</x:v>
      </x:c>
      <x:c r="F385" s="40" t="n">
        <x:v>73.53</x:v>
      </x:c>
      <x:c r="G385" s="44" t="n">
        <x:f>C385*F385</x:f>
        <x:v>367.65</x:v>
      </x:c>
      <x:c r="H385" s="44" t="n">
        <x:f>E385-G385</x:f>
        <x:v>88.25000000000006</x:v>
      </x:c>
      <x:c r="I385" s="14" t="str">
        <x:v>Distributor</x:v>
      </x:c>
      <x:c r="J385" s="14" t="str">
        <x:v>Southeast</x:v>
      </x:c>
    </x:row>
    <x:row r="386">
      <x:c r="A386" s="50" t="n">
        <x:v>46242</x:v>
      </x:c>
      <x:c r="B386" s="14" t="str">
        <x:v>SKU-0075</x:v>
      </x:c>
      <x:c r="C386" s="52" t="n">
        <x:v>7</x:v>
      </x:c>
      <x:c r="D386" s="40" t="n">
        <x:v>26.66</x:v>
      </x:c>
      <x:c r="E386" s="44" t="n">
        <x:f>C386*D386</x:f>
        <x:v>186.62</x:v>
      </x:c>
      <x:c r="F386" s="40" t="n">
        <x:v>13.66</x:v>
      </x:c>
      <x:c r="G386" s="44" t="n">
        <x:f>C386*F386</x:f>
        <x:v>95.62</x:v>
      </x:c>
      <x:c r="H386" s="44" t="n">
        <x:f>E386-G386</x:f>
        <x:v>91</x:v>
      </x:c>
      <x:c r="I386" s="14" t="str">
        <x:v>Enterprise</x:v>
      </x:c>
      <x:c r="J386" s="14" t="str">
        <x:v>Southeast</x:v>
      </x:c>
    </x:row>
    <x:row r="387">
      <x:c r="A387" s="50" t="n">
        <x:v>46051</x:v>
      </x:c>
      <x:c r="B387" s="14" t="str">
        <x:v>SKU-0094</x:v>
      </x:c>
      <x:c r="C387" s="52" t="n">
        <x:v>14</x:v>
      </x:c>
      <x:c r="D387" s="40" t="n">
        <x:v>9.32</x:v>
      </x:c>
      <x:c r="E387" s="44" t="n">
        <x:f>C387*D387</x:f>
        <x:v>130.48000000000002</x:v>
      </x:c>
      <x:c r="F387" s="40" t="n">
        <x:v>4.75</x:v>
      </x:c>
      <x:c r="G387" s="44" t="n">
        <x:f>C387*F387</x:f>
        <x:v>66.5</x:v>
      </x:c>
      <x:c r="H387" s="44" t="n">
        <x:f>E387-G387</x:f>
        <x:v>63.98000000000002</x:v>
      </x:c>
      <x:c r="I387" s="14" t="str">
        <x:v>Internal Use</x:v>
      </x:c>
      <x:c r="J387" s="14" t="str">
        <x:v>Northeast</x:v>
      </x:c>
    </x:row>
    <x:row r="388">
      <x:c r="A388" s="50" t="n">
        <x:v>46122</x:v>
      </x:c>
      <x:c r="B388" s="14" t="str">
        <x:v>SKU-0063</x:v>
      </x:c>
      <x:c r="C388" s="52" t="n">
        <x:v>5</x:v>
      </x:c>
      <x:c r="D388" s="40" t="n">
        <x:v>253.38</x:v>
      </x:c>
      <x:c r="E388" s="44" t="n">
        <x:f>C388*D388</x:f>
        <x:v>1266.9</x:v>
      </x:c>
      <x:c r="F388" s="40" t="n">
        <x:v>197.54</x:v>
      </x:c>
      <x:c r="G388" s="44" t="n">
        <x:f>C388*F388</x:f>
        <x:v>987.6999999999999</x:v>
      </x:c>
      <x:c r="H388" s="44" t="n">
        <x:f>E388-G388</x:f>
        <x:v>279.20000000000016</x:v>
      </x:c>
      <x:c r="I388" s="14" t="str">
        <x:v>Distributor</x:v>
      </x:c>
      <x:c r="J388" s="14" t="str">
        <x:v>West</x:v>
      </x:c>
    </x:row>
    <x:row r="389">
      <x:c r="A389" s="50" t="n">
        <x:v>46202</x:v>
      </x:c>
      <x:c r="B389" s="14" t="str">
        <x:v>SKU-0093</x:v>
      </x:c>
      <x:c r="C389" s="52" t="n">
        <x:v>11</x:v>
      </x:c>
      <x:c r="D389" s="40" t="n">
        <x:v>311.86</x:v>
      </x:c>
      <x:c r="E389" s="44" t="n">
        <x:f>C389*D389</x:f>
        <x:v>3430.46</x:v>
      </x:c>
      <x:c r="F389" s="40" t="n">
        <x:v>239.3</x:v>
      </x:c>
      <x:c r="G389" s="44" t="n">
        <x:f>C389*F389</x:f>
        <x:v>2632.3</x:v>
      </x:c>
      <x:c r="H389" s="44" t="n">
        <x:f>E389-G389</x:f>
        <x:v>798.1599999999999</x:v>
      </x:c>
      <x:c r="I389" s="14" t="str">
        <x:v>Internal Use</x:v>
      </x:c>
      <x:c r="J389" s="14" t="str">
        <x:v>Southeast</x:v>
      </x:c>
    </x:row>
    <x:row r="390">
      <x:c r="A390" s="50" t="n">
        <x:v>46099</x:v>
      </x:c>
      <x:c r="B390" s="14" t="str">
        <x:v>SKU-0036</x:v>
      </x:c>
      <x:c r="C390" s="52" t="n">
        <x:v>7</x:v>
      </x:c>
      <x:c r="D390" s="40" t="n">
        <x:v>268.77</x:v>
      </x:c>
      <x:c r="E390" s="44" t="n">
        <x:f>C390*D390</x:f>
        <x:v>1881.3899999999999</x:v>
      </x:c>
      <x:c r="F390" s="40" t="n">
        <x:v>122.19</x:v>
      </x:c>
      <x:c r="G390" s="44" t="n">
        <x:f>C390*F390</x:f>
        <x:v>855.3299999999999</x:v>
      </x:c>
      <x:c r="H390" s="44" t="n">
        <x:f>E390-G390</x:f>
        <x:v>1026.06</x:v>
      </x:c>
      <x:c r="I390" s="14" t="str">
        <x:v>Distributor</x:v>
      </x:c>
      <x:c r="J390" s="14" t="str">
        <x:v>Northeast</x:v>
      </x:c>
    </x:row>
    <x:row r="391">
      <x:c r="A391" s="50" t="n">
        <x:v>45954</x:v>
      </x:c>
      <x:c r="B391" s="14" t="str">
        <x:v>SKU-0114</x:v>
      </x:c>
      <x:c r="C391" s="52" t="n">
        <x:v>33</x:v>
      </x:c>
      <x:c r="D391" s="40" t="n">
        <x:v>343.54</x:v>
      </x:c>
      <x:c r="E391" s="44" t="n">
        <x:f>C391*D391</x:f>
        <x:v>11336.820000000002</x:v>
      </x:c>
      <x:c r="F391" s="40" t="n">
        <x:v>232.11</x:v>
      </x:c>
      <x:c r="G391" s="44" t="n">
        <x:f>C391*F391</x:f>
        <x:v>7659.63</x:v>
      </x:c>
      <x:c r="H391" s="44" t="n">
        <x:f>E391-G391</x:f>
        <x:v>3677.1900000000014</x:v>
      </x:c>
      <x:c r="I391" s="14" t="str">
        <x:v>Enterprise</x:v>
      </x:c>
      <x:c r="J391" s="14" t="str">
        <x:v>Northeast</x:v>
      </x:c>
    </x:row>
    <x:row r="392">
      <x:c r="A392" s="50" t="n">
        <x:v>46041</x:v>
      </x:c>
      <x:c r="B392" s="14" t="str">
        <x:v>SKU-0087</x:v>
      </x:c>
      <x:c r="C392" s="52" t="n">
        <x:v>4</x:v>
      </x:c>
      <x:c r="D392" s="40" t="n">
        <x:v>335.56</x:v>
      </x:c>
      <x:c r="E392" s="44" t="n">
        <x:f>C392*D392</x:f>
        <x:v>1342.24</x:v>
      </x:c>
      <x:c r="F392" s="40" t="n">
        <x:v>194.73</x:v>
      </x:c>
      <x:c r="G392" s="44" t="n">
        <x:f>C392*F392</x:f>
        <x:v>778.92</x:v>
      </x:c>
      <x:c r="H392" s="44" t="n">
        <x:f>E392-G392</x:f>
        <x:v>563.32</x:v>
      </x:c>
      <x:c r="I392" s="14" t="str">
        <x:v>Internal Use</x:v>
      </x:c>
      <x:c r="J392" s="14" t="str">
        <x:v>Northeast</x:v>
      </x:c>
    </x:row>
    <x:row r="393">
      <x:c r="A393" s="50" t="n">
        <x:v>46174</x:v>
      </x:c>
      <x:c r="B393" s="14" t="str">
        <x:v>SKU-0039</x:v>
      </x:c>
      <x:c r="C393" s="52" t="n">
        <x:v>21</x:v>
      </x:c>
      <x:c r="D393" s="40" t="n">
        <x:v>222.55</x:v>
      </x:c>
      <x:c r="E393" s="44" t="n">
        <x:f>C393*D393</x:f>
        <x:v>4673.55</x:v>
      </x:c>
      <x:c r="F393" s="40" t="n">
        <x:v>125.1</x:v>
      </x:c>
      <x:c r="G393" s="44" t="n">
        <x:f>C393*F393</x:f>
        <x:v>2627.1</x:v>
      </x:c>
      <x:c r="H393" s="44" t="n">
        <x:f>E393-G393</x:f>
        <x:v>2046.4500000000003</x:v>
      </x:c>
      <x:c r="I393" s="14" t="str">
        <x:v>Distributor</x:v>
      </x:c>
      <x:c r="J393" s="14" t="str">
        <x:v>West</x:v>
      </x:c>
    </x:row>
    <x:row r="394">
      <x:c r="A394" s="50" t="n">
        <x:v>46228</x:v>
      </x:c>
      <x:c r="B394" s="14" t="str">
        <x:v>SKU-0103</x:v>
      </x:c>
      <x:c r="C394" s="52" t="n">
        <x:v>79</x:v>
      </x:c>
      <x:c r="D394" s="40" t="n">
        <x:v>277.23</x:v>
      </x:c>
      <x:c r="E394" s="44" t="n">
        <x:f>C394*D394</x:f>
        <x:v>21901.170000000002</x:v>
      </x:c>
      <x:c r="F394" s="40" t="n">
        <x:v>208.48</x:v>
      </x:c>
      <x:c r="G394" s="44" t="n">
        <x:f>C394*F394</x:f>
        <x:v>16469.92</x:v>
      </x:c>
      <x:c r="H394" s="44" t="n">
        <x:f>E394-G394</x:f>
        <x:v>5431.250000000004</x:v>
      </x:c>
      <x:c r="I394" s="14" t="str">
        <x:v>Distributor</x:v>
      </x:c>
      <x:c r="J394" s="14" t="str">
        <x:v>Midwest</x:v>
      </x:c>
    </x:row>
    <x:row r="395">
      <x:c r="A395" s="50" t="n">
        <x:v>46023</x:v>
      </x:c>
      <x:c r="B395" s="14" t="str">
        <x:v>SKU-0003</x:v>
      </x:c>
      <x:c r="C395" s="52" t="n">
        <x:v>36</x:v>
      </x:c>
      <x:c r="D395" s="40" t="n">
        <x:v>278.99</x:v>
      </x:c>
      <x:c r="E395" s="44" t="n">
        <x:f>C395*D395</x:f>
        <x:v>10043.64</x:v>
      </x:c>
      <x:c r="F395" s="40" t="n">
        <x:v>141.04</x:v>
      </x:c>
      <x:c r="G395" s="44" t="n">
        <x:f>C395*F395</x:f>
        <x:v>5077.44</x:v>
      </x:c>
      <x:c r="H395" s="44" t="n">
        <x:f>E395-G395</x:f>
        <x:v>4966.2</x:v>
      </x:c>
      <x:c r="I395" s="14" t="str">
        <x:v>Internal Use</x:v>
      </x:c>
      <x:c r="J395" s="14" t="str">
        <x:v>West</x:v>
      </x:c>
    </x:row>
    <x:row r="396">
      <x:c r="A396" s="50" t="n">
        <x:v>46158</x:v>
      </x:c>
      <x:c r="B396" s="14" t="str">
        <x:v>SKU-0053</x:v>
      </x:c>
      <x:c r="C396" s="52" t="n">
        <x:v>14</x:v>
      </x:c>
      <x:c r="D396" s="40" t="n">
        <x:v>398.04</x:v>
      </x:c>
      <x:c r="E396" s="44" t="n">
        <x:f>C396*D396</x:f>
        <x:v>5572.56</x:v>
      </x:c>
      <x:c r="F396" s="40" t="n">
        <x:v>235.39</x:v>
      </x:c>
      <x:c r="G396" s="44" t="n">
        <x:f>C396*F396</x:f>
        <x:v>3295.46</x:v>
      </x:c>
      <x:c r="H396" s="44" t="n">
        <x:f>E396-G396</x:f>
        <x:v>2277.1000000000004</x:v>
      </x:c>
      <x:c r="I396" s="14" t="str">
        <x:v>Distributor</x:v>
      </x:c>
      <x:c r="J396" s="14" t="str">
        <x:v>West</x:v>
      </x:c>
    </x:row>
    <x:row r="397">
      <x:c r="A397" s="50" t="n">
        <x:v>46034</x:v>
      </x:c>
      <x:c r="B397" s="14" t="str">
        <x:v>SKU-0051</x:v>
      </x:c>
      <x:c r="C397" s="52" t="n">
        <x:v>2</x:v>
      </x:c>
      <x:c r="D397" s="40" t="n">
        <x:v>103.89</x:v>
      </x:c>
      <x:c r="E397" s="44" t="n">
        <x:f>C397*D397</x:f>
        <x:v>207.78</x:v>
      </x:c>
      <x:c r="F397" s="40" t="n">
        <x:v>74.69</x:v>
      </x:c>
      <x:c r="G397" s="44" t="n">
        <x:f>C397*F397</x:f>
        <x:v>149.38</x:v>
      </x:c>
      <x:c r="H397" s="44" t="n">
        <x:f>E397-G397</x:f>
        <x:v>58.400000000000006</x:v>
      </x:c>
      <x:c r="I397" s="14" t="str">
        <x:v>SMB</x:v>
      </x:c>
      <x:c r="J397" s="14" t="str">
        <x:v>Midwest</x:v>
      </x:c>
    </x:row>
    <x:row r="398">
      <x:c r="A398" s="50" t="n">
        <x:v>45927</x:v>
      </x:c>
      <x:c r="B398" s="14" t="str">
        <x:v>SKU-0055</x:v>
      </x:c>
      <x:c r="C398" s="52" t="n">
        <x:v>9</x:v>
      </x:c>
      <x:c r="D398" s="40" t="n">
        <x:v>338.7</x:v>
      </x:c>
      <x:c r="E398" s="44" t="n">
        <x:f>C398*D398</x:f>
        <x:v>3048.2999999999997</x:v>
      </x:c>
      <x:c r="F398" s="40" t="n">
        <x:v>263.76</x:v>
      </x:c>
      <x:c r="G398" s="44" t="n">
        <x:f>C398*F398</x:f>
        <x:v>2373.84</x:v>
      </x:c>
      <x:c r="H398" s="44" t="n">
        <x:f>E398-G398</x:f>
        <x:v>674.4599999999996</x:v>
      </x:c>
      <x:c r="I398" s="14" t="str">
        <x:v>SMB</x:v>
      </x:c>
      <x:c r="J398" s="14" t="str">
        <x:v>Northeast</x:v>
      </x:c>
    </x:row>
    <x:row r="399">
      <x:c r="A399" s="50" t="n">
        <x:v>46156</x:v>
      </x:c>
      <x:c r="B399" s="14" t="str">
        <x:v>SKU-0008</x:v>
      </x:c>
      <x:c r="C399" s="52" t="n">
        <x:v>10</x:v>
      </x:c>
      <x:c r="D399" s="40" t="n">
        <x:v>196.76</x:v>
      </x:c>
      <x:c r="E399" s="44" t="n">
        <x:f>C399*D399</x:f>
        <x:v>1967.6</x:v>
      </x:c>
      <x:c r="F399" s="40" t="n">
        <x:v>143.38</x:v>
      </x:c>
      <x:c r="G399" s="44" t="n">
        <x:f>C399*F399</x:f>
        <x:v>1433.8</x:v>
      </x:c>
      <x:c r="H399" s="44" t="n">
        <x:f>E399-G399</x:f>
        <x:v>533.8</x:v>
      </x:c>
      <x:c r="I399" s="14" t="str">
        <x:v>Internal Use</x:v>
      </x:c>
      <x:c r="J399" s="14" t="str">
        <x:v>Northeast</x:v>
      </x:c>
    </x:row>
    <x:row r="400">
      <x:c r="A400" s="50" t="n">
        <x:v>46070</x:v>
      </x:c>
      <x:c r="B400" s="14" t="str">
        <x:v>SKU-0016</x:v>
      </x:c>
      <x:c r="C400" s="52" t="n">
        <x:v>4</x:v>
      </x:c>
      <x:c r="D400" s="40" t="n">
        <x:v>376.02</x:v>
      </x:c>
      <x:c r="E400" s="44" t="n">
        <x:f>C400*D400</x:f>
        <x:v>1504.08</x:v>
      </x:c>
      <x:c r="F400" s="40" t="n">
        <x:v>204.58</x:v>
      </x:c>
      <x:c r="G400" s="44" t="n">
        <x:f>C400*F400</x:f>
        <x:v>818.32</x:v>
      </x:c>
      <x:c r="H400" s="44" t="n">
        <x:f>E400-G400</x:f>
        <x:v>685.7599999999999</x:v>
      </x:c>
      <x:c r="I400" s="14" t="str">
        <x:v>Enterprise</x:v>
      </x:c>
      <x:c r="J400" s="14" t="str">
        <x:v>West</x:v>
      </x:c>
    </x:row>
    <x:row r="401">
      <x:c r="A401" s="50" t="n">
        <x:v>46173</x:v>
      </x:c>
      <x:c r="B401" s="14" t="str">
        <x:v>SKU-0077</x:v>
      </x:c>
      <x:c r="C401" s="52" t="n">
        <x:v>16</x:v>
      </x:c>
      <x:c r="D401" s="40" t="n">
        <x:v>16.93</x:v>
      </x:c>
      <x:c r="E401" s="44" t="n">
        <x:f>C401*D401</x:f>
        <x:v>270.88</x:v>
      </x:c>
      <x:c r="F401" s="40" t="n">
        <x:v>12.68</x:v>
      </x:c>
      <x:c r="G401" s="44" t="n">
        <x:f>C401*F401</x:f>
        <x:v>202.88</x:v>
      </x:c>
      <x:c r="H401" s="44" t="n">
        <x:f>E401-G401</x:f>
        <x:v>68</x:v>
      </x:c>
      <x:c r="I401" s="14" t="str">
        <x:v>SMB</x:v>
      </x:c>
      <x:c r="J401" s="14" t="str">
        <x:v>Midwest</x:v>
      </x:c>
    </x:row>
    <x:row r="402">
      <x:c r="A402" s="50" t="n">
        <x:v>46025</x:v>
      </x:c>
      <x:c r="B402" s="14" t="str">
        <x:v>SKU-0077</x:v>
      </x:c>
      <x:c r="C402" s="52" t="n">
        <x:v>31</x:v>
      </x:c>
      <x:c r="D402" s="40" t="n">
        <x:v>15.93</x:v>
      </x:c>
      <x:c r="E402" s="44" t="n">
        <x:f>C402*D402</x:f>
        <x:v>493.83</x:v>
      </x:c>
      <x:c r="F402" s="40" t="n">
        <x:v>12.68</x:v>
      </x:c>
      <x:c r="G402" s="44" t="n">
        <x:f>C402*F402</x:f>
        <x:v>393.08</x:v>
      </x:c>
      <x:c r="H402" s="44" t="n">
        <x:f>E402-G402</x:f>
        <x:v>100.75</x:v>
      </x:c>
      <x:c r="I402" s="14" t="str">
        <x:v>SMB</x:v>
      </x:c>
      <x:c r="J402" s="14" t="str">
        <x:v>West</x:v>
      </x:c>
    </x:row>
    <x:row r="403">
      <x:c r="A403" s="50" t="n">
        <x:v>46006</x:v>
      </x:c>
      <x:c r="B403" s="14" t="str">
        <x:v>SKU-0134</x:v>
      </x:c>
      <x:c r="C403" s="52" t="n">
        <x:v>2</x:v>
      </x:c>
      <x:c r="D403" s="40" t="n">
        <x:v>400.18</x:v>
      </x:c>
      <x:c r="E403" s="44" t="n">
        <x:f>C403*D403</x:f>
        <x:v>800.36</x:v>
      </x:c>
      <x:c r="F403" s="40" t="n">
        <x:v>254.76</x:v>
      </x:c>
      <x:c r="G403" s="44" t="n">
        <x:f>C403*F403</x:f>
        <x:v>509.52</x:v>
      </x:c>
      <x:c r="H403" s="44" t="n">
        <x:f>E403-G403</x:f>
        <x:v>290.84000000000003</x:v>
      </x:c>
      <x:c r="I403" s="14" t="str">
        <x:v>Distributor</x:v>
      </x:c>
      <x:c r="J403" s="14" t="str">
        <x:v>West</x:v>
      </x:c>
    </x:row>
    <x:row r="404">
      <x:c r="A404" s="50" t="n">
        <x:v>45955</x:v>
      </x:c>
      <x:c r="B404" s="14" t="str">
        <x:v>SKU-0026</x:v>
      </x:c>
      <x:c r="C404" s="52" t="n">
        <x:v>49</x:v>
      </x:c>
      <x:c r="D404" s="40" t="n">
        <x:v>435.01</x:v>
      </x:c>
      <x:c r="E404" s="44" t="n">
        <x:f>C404*D404</x:f>
        <x:v>21315.489999999998</x:v>
      </x:c>
      <x:c r="F404" s="40" t="n">
        <x:v>249.4</x:v>
      </x:c>
      <x:c r="G404" s="44" t="n">
        <x:f>C404*F404</x:f>
        <x:v>12220.6</x:v>
      </x:c>
      <x:c r="H404" s="44" t="n">
        <x:f>E404-G404</x:f>
        <x:v>9094.889999999998</x:v>
      </x:c>
      <x:c r="I404" s="14" t="str">
        <x:v>Enterprise</x:v>
      </x:c>
      <x:c r="J404" s="14" t="str">
        <x:v>West</x:v>
      </x:c>
    </x:row>
    <x:row r="405">
      <x:c r="A405" s="50" t="n">
        <x:v>46123</x:v>
      </x:c>
      <x:c r="B405" s="14" t="str">
        <x:v>SKU-0034</x:v>
      </x:c>
      <x:c r="C405" s="52" t="n">
        <x:v>5</x:v>
      </x:c>
      <x:c r="D405" s="40" t="n">
        <x:v>80.03</x:v>
      </x:c>
      <x:c r="E405" s="44" t="n">
        <x:f>C405*D405</x:f>
        <x:v>400.15</x:v>
      </x:c>
      <x:c r="F405" s="40" t="n">
        <x:v>34.51</x:v>
      </x:c>
      <x:c r="G405" s="44" t="n">
        <x:f>C405*F405</x:f>
        <x:v>172.54999999999998</x:v>
      </x:c>
      <x:c r="H405" s="44" t="n">
        <x:f>E405-G405</x:f>
        <x:v>227.6</x:v>
      </x:c>
      <x:c r="I405" s="14" t="str">
        <x:v>Internal Use</x:v>
      </x:c>
      <x:c r="J405" s="14" t="str">
        <x:v>West</x:v>
      </x:c>
    </x:row>
    <x:row r="406">
      <x:c r="A406" s="50" t="n">
        <x:v>46179</x:v>
      </x:c>
      <x:c r="B406" s="14" t="str">
        <x:v>SKU-0068</x:v>
      </x:c>
      <x:c r="C406" s="52" t="n">
        <x:v>8</x:v>
      </x:c>
      <x:c r="D406" s="40" t="n">
        <x:v>232.62</x:v>
      </x:c>
      <x:c r="E406" s="44" t="n">
        <x:f>C406*D406</x:f>
        <x:v>1860.96</x:v>
      </x:c>
      <x:c r="F406" s="40" t="n">
        <x:v>157.37</x:v>
      </x:c>
      <x:c r="G406" s="44" t="n">
        <x:f>C406*F406</x:f>
        <x:v>1258.96</x:v>
      </x:c>
      <x:c r="H406" s="44" t="n">
        <x:f>E406-G406</x:f>
        <x:v>602</x:v>
      </x:c>
      <x:c r="I406" s="14" t="str">
        <x:v>Internal Use</x:v>
      </x:c>
      <x:c r="J406" s="14" t="str">
        <x:v>West</x:v>
      </x:c>
    </x:row>
    <x:row r="407">
      <x:c r="A407" s="50" t="n">
        <x:v>45953</x:v>
      </x:c>
      <x:c r="B407" s="14" t="str">
        <x:v>SKU-0042</x:v>
      </x:c>
      <x:c r="C407" s="52" t="n">
        <x:v>9</x:v>
      </x:c>
      <x:c r="D407" s="40" t="n">
        <x:v>288.97</x:v>
      </x:c>
      <x:c r="E407" s="44" t="n">
        <x:f>C407*D407</x:f>
        <x:v>2600.7300000000005</x:v>
      </x:c>
      <x:c r="F407" s="40" t="n">
        <x:v>218.51</x:v>
      </x:c>
      <x:c r="G407" s="44" t="n">
        <x:f>C407*F407</x:f>
        <x:v>1966.59</x:v>
      </x:c>
      <x:c r="H407" s="44" t="n">
        <x:f>E407-G407</x:f>
        <x:v>634.1400000000006</x:v>
      </x:c>
      <x:c r="I407" s="14" t="str">
        <x:v>Enterprise</x:v>
      </x:c>
      <x:c r="J407" s="14" t="str">
        <x:v>Southeast</x:v>
      </x:c>
    </x:row>
    <x:row r="408">
      <x:c r="A408" s="50" t="n">
        <x:v>46122</x:v>
      </x:c>
      <x:c r="B408" s="14" t="str">
        <x:v>SKU-0117</x:v>
      </x:c>
      <x:c r="C408" s="52" t="n">
        <x:v>25</x:v>
      </x:c>
      <x:c r="D408" s="40" t="n">
        <x:v>173.5</x:v>
      </x:c>
      <x:c r="E408" s="44" t="n">
        <x:f>C408*D408</x:f>
        <x:v>4337.5</x:v>
      </x:c>
      <x:c r="F408" s="40" t="n">
        <x:v>143.31</x:v>
      </x:c>
      <x:c r="G408" s="44" t="n">
        <x:f>C408*F408</x:f>
        <x:v>3582.75</x:v>
      </x:c>
      <x:c r="H408" s="44" t="n">
        <x:f>E408-G408</x:f>
        <x:v>754.75</x:v>
      </x:c>
      <x:c r="I408" s="14" t="str">
        <x:v>Internal Use</x:v>
      </x:c>
      <x:c r="J408" s="14" t="str">
        <x:v>Northeast</x:v>
      </x:c>
    </x:row>
    <x:row r="409">
      <x:c r="A409" s="50" t="n">
        <x:v>46069</x:v>
      </x:c>
      <x:c r="B409" s="14" t="str">
        <x:v>SKU-0031</x:v>
      </x:c>
      <x:c r="C409" s="52" t="n">
        <x:v>10</x:v>
      </x:c>
      <x:c r="D409" s="40" t="n">
        <x:v>281.53</x:v>
      </x:c>
      <x:c r="E409" s="44" t="n">
        <x:f>C409*D409</x:f>
        <x:v>2815.2999999999997</x:v>
      </x:c>
      <x:c r="F409" s="40" t="n">
        <x:v>247.09</x:v>
      </x:c>
      <x:c r="G409" s="44" t="n">
        <x:f>C409*F409</x:f>
        <x:v>2470.9</x:v>
      </x:c>
      <x:c r="H409" s="44" t="n">
        <x:f>E409-G409</x:f>
        <x:v>344.39999999999964</x:v>
      </x:c>
      <x:c r="I409" s="14" t="str">
        <x:v>Distributor</x:v>
      </x:c>
      <x:c r="J409" s="14" t="str">
        <x:v>Midwest</x:v>
      </x:c>
    </x:row>
    <x:row r="410">
      <x:c r="A410" s="50" t="n">
        <x:v>46035</x:v>
      </x:c>
      <x:c r="B410" s="14" t="str">
        <x:v>SKU-0096</x:v>
      </x:c>
      <x:c r="C410" s="52" t="n">
        <x:v>1</x:v>
      </x:c>
      <x:c r="D410" s="40" t="n">
        <x:v>48.96</x:v>
      </x:c>
      <x:c r="E410" s="44" t="n">
        <x:f>C410*D410</x:f>
        <x:v>48.96</x:v>
      </x:c>
      <x:c r="F410" s="40" t="n">
        <x:v>29.46</x:v>
      </x:c>
      <x:c r="G410" s="44" t="n">
        <x:f>C410*F410</x:f>
        <x:v>29.46</x:v>
      </x:c>
      <x:c r="H410" s="44" t="n">
        <x:f>E410-G410</x:f>
        <x:v>19.5</x:v>
      </x:c>
      <x:c r="I410" s="14" t="str">
        <x:v>Distributor</x:v>
      </x:c>
      <x:c r="J410" s="14" t="str">
        <x:v>Southeast</x:v>
      </x:c>
    </x:row>
    <x:row r="411">
      <x:c r="A411" s="50" t="n">
        <x:v>46130</x:v>
      </x:c>
      <x:c r="B411" s="14" t="str">
        <x:v>SKU-0047</x:v>
      </x:c>
      <x:c r="C411" s="52" t="n">
        <x:v>8</x:v>
      </x:c>
      <x:c r="D411" s="40" t="n">
        <x:v>340.43</x:v>
      </x:c>
      <x:c r="E411" s="44" t="n">
        <x:f>C411*D411</x:f>
        <x:v>2723.44</x:v>
      </x:c>
      <x:c r="F411" s="40" t="n">
        <x:v>233.63</x:v>
      </x:c>
      <x:c r="G411" s="44" t="n">
        <x:f>C411*F411</x:f>
        <x:v>1869.04</x:v>
      </x:c>
      <x:c r="H411" s="44" t="n">
        <x:f>E411-G411</x:f>
        <x:v>854.4000000000001</x:v>
      </x:c>
      <x:c r="I411" s="14" t="str">
        <x:v>Distributor</x:v>
      </x:c>
      <x:c r="J411" s="14" t="str">
        <x:v>West</x:v>
      </x:c>
    </x:row>
    <x:row r="412">
      <x:c r="A412" s="50" t="n">
        <x:v>46190</x:v>
      </x:c>
      <x:c r="B412" s="14" t="str">
        <x:v>SKU-0122</x:v>
      </x:c>
      <x:c r="C412" s="52" t="n">
        <x:v>5</x:v>
      </x:c>
      <x:c r="D412" s="40" t="n">
        <x:v>38.93</x:v>
      </x:c>
      <x:c r="E412" s="44" t="n">
        <x:f>C412*D412</x:f>
        <x:v>194.65</x:v>
      </x:c>
      <x:c r="F412" s="40" t="n">
        <x:v>25.14</x:v>
      </x:c>
      <x:c r="G412" s="44" t="n">
        <x:f>C412*F412</x:f>
        <x:v>125.7</x:v>
      </x:c>
      <x:c r="H412" s="44" t="n">
        <x:f>E412-G412</x:f>
        <x:v>68.95</x:v>
      </x:c>
      <x:c r="I412" s="14" t="str">
        <x:v>Internal Use</x:v>
      </x:c>
      <x:c r="J412" s="14" t="str">
        <x:v>West</x:v>
      </x:c>
    </x:row>
    <x:row r="413">
      <x:c r="A413" s="50" t="n">
        <x:v>46046</x:v>
      </x:c>
      <x:c r="B413" s="14" t="str">
        <x:v>SKU-0039</x:v>
      </x:c>
      <x:c r="C413" s="52" t="n">
        <x:v>2</x:v>
      </x:c>
      <x:c r="D413" s="40" t="n">
        <x:v>226.09</x:v>
      </x:c>
      <x:c r="E413" s="44" t="n">
        <x:f>C413*D413</x:f>
        <x:v>452.18</x:v>
      </x:c>
      <x:c r="F413" s="40" t="n">
        <x:v>125.1</x:v>
      </x:c>
      <x:c r="G413" s="44" t="n">
        <x:f>C413*F413</x:f>
        <x:v>250.2</x:v>
      </x:c>
      <x:c r="H413" s="44" t="n">
        <x:f>E413-G413</x:f>
        <x:v>201.98000000000002</x:v>
      </x:c>
      <x:c r="I413" s="14" t="str">
        <x:v>Internal Use</x:v>
      </x:c>
      <x:c r="J413" s="14" t="str">
        <x:v>Southeast</x:v>
      </x:c>
    </x:row>
    <x:row r="414">
      <x:c r="A414" s="50" t="n">
        <x:v>46053</x:v>
      </x:c>
      <x:c r="B414" s="14" t="str">
        <x:v>SKU-0102</x:v>
      </x:c>
      <x:c r="C414" s="52" t="n">
        <x:v>34</x:v>
      </x:c>
      <x:c r="D414" s="40" t="n">
        <x:v>372.59</x:v>
      </x:c>
      <x:c r="E414" s="44" t="n">
        <x:f>C414*D414</x:f>
        <x:v>12668.06</x:v>
      </x:c>
      <x:c r="F414" s="40" t="n">
        <x:v>278.87</x:v>
      </x:c>
      <x:c r="G414" s="44" t="n">
        <x:f>C414*F414</x:f>
        <x:v>9481.58</x:v>
      </x:c>
      <x:c r="H414" s="44" t="n">
        <x:f>E414-G414</x:f>
        <x:v>3186.4799999999996</x:v>
      </x:c>
      <x:c r="I414" s="14" t="str">
        <x:v>Distributor</x:v>
      </x:c>
      <x:c r="J414" s="14" t="str">
        <x:v>Northeast</x:v>
      </x:c>
    </x:row>
    <x:row r="415">
      <x:c r="A415" s="50" t="n">
        <x:v>46242</x:v>
      </x:c>
      <x:c r="B415" s="14" t="str">
        <x:v>SKU-0043</x:v>
      </x:c>
      <x:c r="C415" s="52" t="n">
        <x:v>15</x:v>
      </x:c>
      <x:c r="D415" s="40" t="n">
        <x:v>405.39</x:v>
      </x:c>
      <x:c r="E415" s="44" t="n">
        <x:f>C415*D415</x:f>
        <x:v>6080.849999999999</x:v>
      </x:c>
      <x:c r="F415" s="40" t="n">
        <x:v>224.89</x:v>
      </x:c>
      <x:c r="G415" s="44" t="n">
        <x:f>C415*F415</x:f>
        <x:v>3373.35</x:v>
      </x:c>
      <x:c r="H415" s="44" t="n">
        <x:f>E415-G415</x:f>
        <x:v>2707.4999999999995</x:v>
      </x:c>
      <x:c r="I415" s="14" t="str">
        <x:v>Enterprise</x:v>
      </x:c>
      <x:c r="J415" s="14" t="str">
        <x:v>Southeast</x:v>
      </x:c>
    </x:row>
    <x:row r="416">
      <x:c r="A416" s="50" t="n">
        <x:v>46175</x:v>
      </x:c>
      <x:c r="B416" s="14" t="str">
        <x:v>SKU-0139</x:v>
      </x:c>
      <x:c r="C416" s="52" t="n">
        <x:v>10</x:v>
      </x:c>
      <x:c r="D416" s="40" t="n">
        <x:v>273.24</x:v>
      </x:c>
      <x:c r="E416" s="44" t="n">
        <x:f>C416*D416</x:f>
        <x:v>2732.4</x:v>
      </x:c>
      <x:c r="F416" s="40" t="n">
        <x:v>157.6</x:v>
      </x:c>
      <x:c r="G416" s="44" t="n">
        <x:f>C416*F416</x:f>
        <x:v>1576</x:v>
      </x:c>
      <x:c r="H416" s="44" t="n">
        <x:f>E416-G416</x:f>
        <x:v>1156.4</x:v>
      </x:c>
      <x:c r="I416" s="14" t="str">
        <x:v>Enterprise</x:v>
      </x:c>
      <x:c r="J416" s="14" t="str">
        <x:v>Northeast</x:v>
      </x:c>
    </x:row>
    <x:row r="417">
      <x:c r="A417" s="50" t="n">
        <x:v>45972</x:v>
      </x:c>
      <x:c r="B417" s="14" t="str">
        <x:v>SKU-0137</x:v>
      </x:c>
      <x:c r="C417" s="52" t="n">
        <x:v>21</x:v>
      </x:c>
      <x:c r="D417" s="40" t="n">
        <x:v>146.6</x:v>
      </x:c>
      <x:c r="E417" s="44" t="n">
        <x:f>C417*D417</x:f>
        <x:v>3078.6</x:v>
      </x:c>
      <x:c r="F417" s="40" t="n">
        <x:v>93.99</x:v>
      </x:c>
      <x:c r="G417" s="44" t="n">
        <x:f>C417*F417</x:f>
        <x:v>1973.79</x:v>
      </x:c>
      <x:c r="H417" s="44" t="n">
        <x:f>E417-G417</x:f>
        <x:v>1104.81</x:v>
      </x:c>
      <x:c r="I417" s="14" t="str">
        <x:v>Internal Use</x:v>
      </x:c>
      <x:c r="J417" s="14" t="str">
        <x:v>Northeast</x:v>
      </x:c>
    </x:row>
    <x:row r="418">
      <x:c r="A418" s="50" t="n">
        <x:v>46190</x:v>
      </x:c>
      <x:c r="B418" s="14" t="str">
        <x:v>SKU-0137</x:v>
      </x:c>
      <x:c r="C418" s="52" t="n">
        <x:v>4</x:v>
      </x:c>
      <x:c r="D418" s="40" t="n">
        <x:v>153.35</x:v>
      </x:c>
      <x:c r="E418" s="44" t="n">
        <x:f>C418*D418</x:f>
        <x:v>613.4</x:v>
      </x:c>
      <x:c r="F418" s="40" t="n">
        <x:v>93.99</x:v>
      </x:c>
      <x:c r="G418" s="44" t="n">
        <x:f>C418*F418</x:f>
        <x:v>375.96</x:v>
      </x:c>
      <x:c r="H418" s="44" t="n">
        <x:f>E418-G418</x:f>
        <x:v>237.44</x:v>
      </x:c>
      <x:c r="I418" s="14" t="str">
        <x:v>Enterprise</x:v>
      </x:c>
      <x:c r="J418" s="14" t="str">
        <x:v>Midwest</x:v>
      </x:c>
    </x:row>
    <x:row r="419">
      <x:c r="A419" s="50" t="n">
        <x:v>45972</x:v>
      </x:c>
      <x:c r="B419" s="14" t="str">
        <x:v>SKU-0112</x:v>
      </x:c>
      <x:c r="C419" s="52" t="n">
        <x:v>3</x:v>
      </x:c>
      <x:c r="D419" s="40" t="n">
        <x:v>284.27</x:v>
      </x:c>
      <x:c r="E419" s="44" t="n">
        <x:f>C419*D419</x:f>
        <x:v>852.81</x:v>
      </x:c>
      <x:c r="F419" s="40" t="n">
        <x:v>175.75</x:v>
      </x:c>
      <x:c r="G419" s="44" t="n">
        <x:f>C419*F419</x:f>
        <x:v>527.25</x:v>
      </x:c>
      <x:c r="H419" s="44" t="n">
        <x:f>E419-G419</x:f>
        <x:v>325.55999999999995</x:v>
      </x:c>
      <x:c r="I419" s="14" t="str">
        <x:v>Distributor</x:v>
      </x:c>
      <x:c r="J419" s="14" t="str">
        <x:v>Northeast</x:v>
      </x:c>
    </x:row>
    <x:row r="420">
      <x:c r="A420" s="50" t="n">
        <x:v>45930</x:v>
      </x:c>
      <x:c r="B420" s="14" t="str">
        <x:v>SKU-0030</x:v>
      </x:c>
      <x:c r="C420" s="52" t="n">
        <x:v>9</x:v>
      </x:c>
      <x:c r="D420" s="40" t="n">
        <x:v>321.47</x:v>
      </x:c>
      <x:c r="E420" s="44" t="n">
        <x:f>C420*D420</x:f>
        <x:v>2893.2300000000005</x:v>
      </x:c>
      <x:c r="F420" s="40" t="n">
        <x:v>191.77</x:v>
      </x:c>
      <x:c r="G420" s="44" t="n">
        <x:f>C420*F420</x:f>
        <x:v>1725.93</x:v>
      </x:c>
      <x:c r="H420" s="44" t="n">
        <x:f>E420-G420</x:f>
        <x:v>1167.3000000000004</x:v>
      </x:c>
      <x:c r="I420" s="14" t="str">
        <x:v>Enterprise</x:v>
      </x:c>
      <x:c r="J420" s="14" t="str">
        <x:v>Southeast</x:v>
      </x:c>
    </x:row>
    <x:row r="421">
      <x:c r="A421" s="50" t="n">
        <x:v>46088</x:v>
      </x:c>
      <x:c r="B421" s="14" t="str">
        <x:v>SKU-0079</x:v>
      </x:c>
      <x:c r="C421" s="52" t="n">
        <x:v>11</x:v>
      </x:c>
      <x:c r="D421" s="40" t="n">
        <x:v>239.62</x:v>
      </x:c>
      <x:c r="E421" s="44" t="n">
        <x:f>C421*D421</x:f>
        <x:v>2635.82</x:v>
      </x:c>
      <x:c r="F421" s="40" t="n">
        <x:v>124.08</x:v>
      </x:c>
      <x:c r="G421" s="44" t="n">
        <x:f>C421*F421</x:f>
        <x:v>1364.8799999999999</x:v>
      </x:c>
      <x:c r="H421" s="44" t="n">
        <x:f>E421-G421</x:f>
        <x:v>1270.9400000000003</x:v>
      </x:c>
      <x:c r="I421" s="14" t="str">
        <x:v>SMB</x:v>
      </x:c>
      <x:c r="J421" s="14" t="str">
        <x:v>Northeast</x:v>
      </x:c>
    </x:row>
    <x:row r="422">
      <x:c r="A422" s="50" t="n">
        <x:v>46032</x:v>
      </x:c>
      <x:c r="B422" s="14" t="str">
        <x:v>SKU-0015</x:v>
      </x:c>
      <x:c r="C422" s="52" t="n">
        <x:v>7</x:v>
      </x:c>
      <x:c r="D422" s="40" t="n">
        <x:v>262.88</x:v>
      </x:c>
      <x:c r="E422" s="44" t="n">
        <x:f>C422*D422</x:f>
        <x:v>1840.1599999999999</x:v>
      </x:c>
      <x:c r="F422" s="40" t="n">
        <x:v>185.37</x:v>
      </x:c>
      <x:c r="G422" s="44" t="n">
        <x:f>C422*F422</x:f>
        <x:v>1297.5900000000001</x:v>
      </x:c>
      <x:c r="H422" s="44" t="n">
        <x:f>E422-G422</x:f>
        <x:v>542.5699999999997</x:v>
      </x:c>
      <x:c r="I422" s="14" t="str">
        <x:v>Distributor</x:v>
      </x:c>
      <x:c r="J422" s="14" t="str">
        <x:v>Midwest</x:v>
      </x:c>
    </x:row>
    <x:row r="423">
      <x:c r="A423" s="50" t="n">
        <x:v>45941</x:v>
      </x:c>
      <x:c r="B423" s="14" t="str">
        <x:v>SKU-0097</x:v>
      </x:c>
      <x:c r="C423" s="52" t="n">
        <x:v>4</x:v>
      </x:c>
      <x:c r="D423" s="40" t="n">
        <x:v>277.07</x:v>
      </x:c>
      <x:c r="E423" s="44" t="n">
        <x:f>C423*D423</x:f>
        <x:v>1108.28</x:v>
      </x:c>
      <x:c r="F423" s="40" t="n">
        <x:v>209.93</x:v>
      </x:c>
      <x:c r="G423" s="44" t="n">
        <x:f>C423*F423</x:f>
        <x:v>839.72</x:v>
      </x:c>
      <x:c r="H423" s="44" t="n">
        <x:f>E423-G423</x:f>
        <x:v>268.55999999999995</x:v>
      </x:c>
      <x:c r="I423" s="14" t="str">
        <x:v>SMB</x:v>
      </x:c>
      <x:c r="J423" s="14" t="str">
        <x:v>West</x:v>
      </x:c>
    </x:row>
    <x:row r="424">
      <x:c r="A424" s="50" t="n">
        <x:v>46138</x:v>
      </x:c>
      <x:c r="B424" s="14" t="str">
        <x:v>SKU-0131</x:v>
      </x:c>
      <x:c r="C424" s="52" t="n">
        <x:v>7</x:v>
      </x:c>
      <x:c r="D424" s="40" t="n">
        <x:v>396.17</x:v>
      </x:c>
      <x:c r="E424" s="44" t="n">
        <x:f>C424*D424</x:f>
        <x:v>2773.19</x:v>
      </x:c>
      <x:c r="F424" s="40" t="n">
        <x:v>258.95</x:v>
      </x:c>
      <x:c r="G424" s="44" t="n">
        <x:f>C424*F424</x:f>
        <x:v>1812.6499999999999</x:v>
      </x:c>
      <x:c r="H424" s="44" t="n">
        <x:f>E424-G424</x:f>
        <x:v>960.5400000000002</x:v>
      </x:c>
      <x:c r="I424" s="14" t="str">
        <x:v>Internal Use</x:v>
      </x:c>
      <x:c r="J424" s="14" t="str">
        <x:v>West</x:v>
      </x:c>
    </x:row>
    <x:row r="425">
      <x:c r="A425" s="50" t="n">
        <x:v>46127</x:v>
      </x:c>
      <x:c r="B425" s="14" t="str">
        <x:v>SKU-0017</x:v>
      </x:c>
      <x:c r="C425" s="52" t="n">
        <x:v>10</x:v>
      </x:c>
      <x:c r="D425" s="40" t="n">
        <x:v>145.84</x:v>
      </x:c>
      <x:c r="E425" s="44" t="n">
        <x:f>C425*D425</x:f>
        <x:v>1458.4</x:v>
      </x:c>
      <x:c r="F425" s="40" t="n">
        <x:v>71.82</x:v>
      </x:c>
      <x:c r="G425" s="44" t="n">
        <x:f>C425*F425</x:f>
        <x:v>718.1999999999999</x:v>
      </x:c>
      <x:c r="H425" s="44" t="n">
        <x:f>E425-G425</x:f>
        <x:v>740.2000000000002</x:v>
      </x:c>
      <x:c r="I425" s="14" t="str">
        <x:v>SMB</x:v>
      </x:c>
      <x:c r="J425" s="14" t="str">
        <x:v>Midwest</x:v>
      </x:c>
    </x:row>
    <x:row r="426">
      <x:c r="A426" s="50" t="n">
        <x:v>46088</x:v>
      </x:c>
      <x:c r="B426" s="14" t="str">
        <x:v>SKU-0146</x:v>
      </x:c>
      <x:c r="C426" s="52" t="n">
        <x:v>5</x:v>
      </x:c>
      <x:c r="D426" s="40" t="n">
        <x:v>476.7</x:v>
      </x:c>
      <x:c r="E426" s="44" t="n">
        <x:f>C426*D426</x:f>
        <x:v>2383.5</x:v>
      </x:c>
      <x:c r="F426" s="40" t="n">
        <x:v>261.77</x:v>
      </x:c>
      <x:c r="G426" s="44" t="n">
        <x:f>C426*F426</x:f>
        <x:v>1308.85</x:v>
      </x:c>
      <x:c r="H426" s="44" t="n">
        <x:f>E426-G426</x:f>
        <x:v>1074.65</x:v>
      </x:c>
      <x:c r="I426" s="14" t="str">
        <x:v>SMB</x:v>
      </x:c>
      <x:c r="J426" s="14" t="str">
        <x:v>Midwest</x:v>
      </x:c>
    </x:row>
    <x:row r="427">
      <x:c r="A427" s="50" t="n">
        <x:v>45966</x:v>
      </x:c>
      <x:c r="B427" s="14" t="str">
        <x:v>SKU-0139</x:v>
      </x:c>
      <x:c r="C427" s="52" t="n">
        <x:v>20</x:v>
      </x:c>
      <x:c r="D427" s="40" t="n">
        <x:v>269.92</x:v>
      </x:c>
      <x:c r="E427" s="44" t="n">
        <x:f>C427*D427</x:f>
        <x:v>5398.400000000001</x:v>
      </x:c>
      <x:c r="F427" s="40" t="n">
        <x:v>157.6</x:v>
      </x:c>
      <x:c r="G427" s="44" t="n">
        <x:f>C427*F427</x:f>
        <x:v>3152</x:v>
      </x:c>
      <x:c r="H427" s="44" t="n">
        <x:f>E427-G427</x:f>
        <x:v>2246.4000000000005</x:v>
      </x:c>
      <x:c r="I427" s="14" t="str">
        <x:v>Internal Use</x:v>
      </x:c>
      <x:c r="J427" s="14" t="str">
        <x:v>Northeast</x:v>
      </x:c>
    </x:row>
    <x:row r="428">
      <x:c r="A428" s="50" t="n">
        <x:v>46117</x:v>
      </x:c>
      <x:c r="B428" s="14" t="str">
        <x:v>SKU-0001</x:v>
      </x:c>
      <x:c r="C428" s="52" t="n">
        <x:v>11</x:v>
      </x:c>
      <x:c r="D428" s="40" t="n">
        <x:v>267.92</x:v>
      </x:c>
      <x:c r="E428" s="44" t="n">
        <x:f>C428*D428</x:f>
        <x:v>2947.1200000000003</x:v>
      </x:c>
      <x:c r="F428" s="40" t="n">
        <x:v>178.71</x:v>
      </x:c>
      <x:c r="G428" s="44" t="n">
        <x:f>C428*F428</x:f>
        <x:v>1965.8100000000002</x:v>
      </x:c>
      <x:c r="H428" s="44" t="n">
        <x:f>E428-G428</x:f>
        <x:v>981.3100000000002</x:v>
      </x:c>
      <x:c r="I428" s="14" t="str">
        <x:v>Internal Use</x:v>
      </x:c>
      <x:c r="J428" s="14" t="str">
        <x:v>Midwest</x:v>
      </x:c>
    </x:row>
    <x:row r="429">
      <x:c r="A429" s="50" t="n">
        <x:v>46228</x:v>
      </x:c>
      <x:c r="B429" s="14" t="str">
        <x:v>SKU-0065</x:v>
      </x:c>
      <x:c r="C429" s="52" t="n">
        <x:v>7</x:v>
      </x:c>
      <x:c r="D429" s="40" t="n">
        <x:v>63.89</x:v>
      </x:c>
      <x:c r="E429" s="44" t="n">
        <x:f>C429*D429</x:f>
        <x:v>447.23</x:v>
      </x:c>
      <x:c r="F429" s="40" t="n">
        <x:v>52.3</x:v>
      </x:c>
      <x:c r="G429" s="44" t="n">
        <x:f>C429*F429</x:f>
        <x:v>366.09999999999997</x:v>
      </x:c>
      <x:c r="H429" s="44" t="n">
        <x:f>E429-G429</x:f>
        <x:v>81.13000000000005</x:v>
      </x:c>
      <x:c r="I429" s="14" t="str">
        <x:v>Distributor</x:v>
      </x:c>
      <x:c r="J429" s="14" t="str">
        <x:v>Northeast</x:v>
      </x:c>
    </x:row>
    <x:row r="430">
      <x:c r="A430" s="50" t="n">
        <x:v>46153</x:v>
      </x:c>
      <x:c r="B430" s="14" t="str">
        <x:v>SKU-0042</x:v>
      </x:c>
      <x:c r="C430" s="52" t="n">
        <x:v>10</x:v>
      </x:c>
      <x:c r="D430" s="40" t="n">
        <x:v>286.18</x:v>
      </x:c>
      <x:c r="E430" s="44" t="n">
        <x:f>C430*D430</x:f>
        <x:v>2861.8</x:v>
      </x:c>
      <x:c r="F430" s="40" t="n">
        <x:v>218.51</x:v>
      </x:c>
      <x:c r="G430" s="44" t="n">
        <x:f>C430*F430</x:f>
        <x:v>2185.1</x:v>
      </x:c>
      <x:c r="H430" s="44" t="n">
        <x:f>E430-G430</x:f>
        <x:v>676.7000000000003</x:v>
      </x:c>
      <x:c r="I430" s="14" t="str">
        <x:v>Enterprise</x:v>
      </x:c>
      <x:c r="J430" s="14" t="str">
        <x:v>Southeast</x:v>
      </x:c>
    </x:row>
    <x:row r="431">
      <x:c r="A431" s="50" t="n">
        <x:v>46023</x:v>
      </x:c>
      <x:c r="B431" s="14" t="str">
        <x:v>SKU-0143</x:v>
      </x:c>
      <x:c r="C431" s="52" t="n">
        <x:v>17</x:v>
      </x:c>
      <x:c r="D431" s="40" t="n">
        <x:v>184.46</x:v>
      </x:c>
      <x:c r="E431" s="44" t="n">
        <x:f>C431*D431</x:f>
        <x:v>3135.82</x:v>
      </x:c>
      <x:c r="F431" s="40" t="n">
        <x:v>123.95</x:v>
      </x:c>
      <x:c r="G431" s="44" t="n">
        <x:f>C431*F431</x:f>
        <x:v>2107.15</x:v>
      </x:c>
      <x:c r="H431" s="44" t="n">
        <x:f>E431-G431</x:f>
        <x:v>1028.67</x:v>
      </x:c>
      <x:c r="I431" s="14" t="str">
        <x:v>Distributor</x:v>
      </x:c>
      <x:c r="J431" s="14" t="str">
        <x:v>Midwest</x:v>
      </x:c>
    </x:row>
    <x:row r="432">
      <x:c r="A432" s="50" t="n">
        <x:v>46242</x:v>
      </x:c>
      <x:c r="B432" s="14" t="str">
        <x:v>SKU-0067</x:v>
      </x:c>
      <x:c r="C432" s="52" t="n">
        <x:v>8</x:v>
      </x:c>
      <x:c r="D432" s="40" t="n">
        <x:v>150.69</x:v>
      </x:c>
      <x:c r="E432" s="44" t="n">
        <x:f>C432*D432</x:f>
        <x:v>1205.52</x:v>
      </x:c>
      <x:c r="F432" s="40" t="n">
        <x:v>113.7</x:v>
      </x:c>
      <x:c r="G432" s="44" t="n">
        <x:f>C432*F432</x:f>
        <x:v>909.6</x:v>
      </x:c>
      <x:c r="H432" s="44" t="n">
        <x:f>E432-G432</x:f>
        <x:v>295.91999999999996</x:v>
      </x:c>
      <x:c r="I432" s="14" t="str">
        <x:v>Distributor</x:v>
      </x:c>
      <x:c r="J432" s="14" t="str">
        <x:v>Southeast</x:v>
      </x:c>
    </x:row>
    <x:row r="433">
      <x:c r="A433" s="50" t="n">
        <x:v>46186</x:v>
      </x:c>
      <x:c r="B433" s="14" t="str">
        <x:v>SKU-0118</x:v>
      </x:c>
      <x:c r="C433" s="52" t="n">
        <x:v>11</x:v>
      </x:c>
      <x:c r="D433" s="40" t="n">
        <x:v>536.31</x:v>
      </x:c>
      <x:c r="E433" s="44" t="n">
        <x:f>C433*D433</x:f>
        <x:v>5899.41</x:v>
      </x:c>
      <x:c r="F433" s="40" t="n">
        <x:v>237.03</x:v>
      </x:c>
      <x:c r="G433" s="44" t="n">
        <x:f>C433*F433</x:f>
        <x:v>2607.33</x:v>
      </x:c>
      <x:c r="H433" s="44" t="n">
        <x:f>E433-G433</x:f>
        <x:v>3292.08</x:v>
      </x:c>
      <x:c r="I433" s="14" t="str">
        <x:v>Internal Use</x:v>
      </x:c>
      <x:c r="J433" s="14" t="str">
        <x:v>Northeast</x:v>
      </x:c>
    </x:row>
    <x:row r="434">
      <x:c r="A434" s="50" t="n">
        <x:v>46155</x:v>
      </x:c>
      <x:c r="B434" s="14" t="str">
        <x:v>SKU-0020</x:v>
      </x:c>
      <x:c r="C434" s="52" t="n">
        <x:v>18</x:v>
      </x:c>
      <x:c r="D434" s="40" t="n">
        <x:v>257.9</x:v>
      </x:c>
      <x:c r="E434" s="44" t="n">
        <x:f>C434*D434</x:f>
        <x:v>4642.2</x:v>
      </x:c>
      <x:c r="F434" s="40" t="n">
        <x:v>163.22</x:v>
      </x:c>
      <x:c r="G434" s="44" t="n">
        <x:f>C434*F434</x:f>
        <x:v>2937.96</x:v>
      </x:c>
      <x:c r="H434" s="44" t="n">
        <x:f>E434-G434</x:f>
        <x:v>1704.2399999999998</x:v>
      </x:c>
      <x:c r="I434" s="14" t="str">
        <x:v>Internal Use</x:v>
      </x:c>
      <x:c r="J434" s="14" t="str">
        <x:v>Midwest</x:v>
      </x:c>
    </x:row>
    <x:row r="435">
      <x:c r="A435" s="50" t="n">
        <x:v>45970</x:v>
      </x:c>
      <x:c r="B435" s="14" t="str">
        <x:v>SKU-0100</x:v>
      </x:c>
      <x:c r="C435" s="52" t="n">
        <x:v>7</x:v>
      </x:c>
      <x:c r="D435" s="40" t="n">
        <x:v>172.8</x:v>
      </x:c>
      <x:c r="E435" s="44" t="n">
        <x:f>C435*D435</x:f>
        <x:v>1209.6000000000001</x:v>
      </x:c>
      <x:c r="F435" s="40" t="n">
        <x:v>108.23</x:v>
      </x:c>
      <x:c r="G435" s="44" t="n">
        <x:f>C435*F435</x:f>
        <x:v>757.61</x:v>
      </x:c>
      <x:c r="H435" s="44" t="n">
        <x:f>E435-G435</x:f>
        <x:v>451.9900000000001</x:v>
      </x:c>
      <x:c r="I435" s="14" t="str">
        <x:v>Enterprise</x:v>
      </x:c>
      <x:c r="J435" s="14" t="str">
        <x:v>Midwest</x:v>
      </x:c>
    </x:row>
    <x:row r="436">
      <x:c r="A436" s="50" t="n">
        <x:v>45978</x:v>
      </x:c>
      <x:c r="B436" s="14" t="str">
        <x:v>SKU-0092</x:v>
      </x:c>
      <x:c r="C436" s="52" t="n">
        <x:v>2</x:v>
      </x:c>
      <x:c r="D436" s="40" t="n">
        <x:v>173.46</x:v>
      </x:c>
      <x:c r="E436" s="44" t="n">
        <x:f>C436*D436</x:f>
        <x:v>346.92</x:v>
      </x:c>
      <x:c r="F436" s="40" t="n">
        <x:v>125.08</x:v>
      </x:c>
      <x:c r="G436" s="44" t="n">
        <x:f>C436*F436</x:f>
        <x:v>250.16</x:v>
      </x:c>
      <x:c r="H436" s="44" t="n">
        <x:f>E436-G436</x:f>
        <x:v>96.76000000000002</x:v>
      </x:c>
      <x:c r="I436" s="14" t="str">
        <x:v>SMB</x:v>
      </x:c>
      <x:c r="J436" s="14" t="str">
        <x:v>Southeast</x:v>
      </x:c>
    </x:row>
    <x:row r="437">
      <x:c r="A437" s="50" t="n">
        <x:v>46065</x:v>
      </x:c>
      <x:c r="B437" s="14" t="str">
        <x:v>SKU-0127</x:v>
      </x:c>
      <x:c r="C437" s="52" t="n">
        <x:v>2</x:v>
      </x:c>
      <x:c r="D437" s="40" t="n">
        <x:v>266.53</x:v>
      </x:c>
      <x:c r="E437" s="44" t="n">
        <x:f>C437*D437</x:f>
        <x:v>533.06</x:v>
      </x:c>
      <x:c r="F437" s="40" t="n">
        <x:v>114.9</x:v>
      </x:c>
      <x:c r="G437" s="44" t="n">
        <x:f>C437*F437</x:f>
        <x:v>229.8</x:v>
      </x:c>
      <x:c r="H437" s="44" t="n">
        <x:f>E437-G437</x:f>
        <x:v>303.25999999999993</x:v>
      </x:c>
      <x:c r="I437" s="14" t="str">
        <x:v>SMB</x:v>
      </x:c>
      <x:c r="J437" s="14" t="str">
        <x:v>Northeast</x:v>
      </x:c>
    </x:row>
    <x:row r="438">
      <x:c r="A438" s="50" t="n">
        <x:v>46206</x:v>
      </x:c>
      <x:c r="B438" s="14" t="str">
        <x:v>SKU-0051</x:v>
      </x:c>
      <x:c r="C438" s="52" t="n">
        <x:v>3</x:v>
      </x:c>
      <x:c r="D438" s="40" t="n">
        <x:v>106.8</x:v>
      </x:c>
      <x:c r="E438" s="44" t="n">
        <x:f>C438*D438</x:f>
        <x:v>320.4</x:v>
      </x:c>
      <x:c r="F438" s="40" t="n">
        <x:v>74.69</x:v>
      </x:c>
      <x:c r="G438" s="44" t="n">
        <x:f>C438*F438</x:f>
        <x:v>224.07</x:v>
      </x:c>
      <x:c r="H438" s="44" t="n">
        <x:f>E438-G438</x:f>
        <x:v>96.32999999999998</x:v>
      </x:c>
      <x:c r="I438" s="14" t="str">
        <x:v>Internal Use</x:v>
      </x:c>
      <x:c r="J438" s="14" t="str">
        <x:v>Southeast</x:v>
      </x:c>
    </x:row>
    <x:row r="439">
      <x:c r="A439" s="50" t="n">
        <x:v>45979</x:v>
      </x:c>
      <x:c r="B439" s="14" t="str">
        <x:v>SKU-0142</x:v>
      </x:c>
      <x:c r="C439" s="52" t="n">
        <x:v>14</x:v>
      </x:c>
      <x:c r="D439" s="40" t="n">
        <x:v>187.3</x:v>
      </x:c>
      <x:c r="E439" s="44" t="n">
        <x:f>C439*D439</x:f>
        <x:v>2622.2000000000003</x:v>
      </x:c>
      <x:c r="F439" s="40" t="n">
        <x:v>95.95</x:v>
      </x:c>
      <x:c r="G439" s="44" t="n">
        <x:f>C439*F439</x:f>
        <x:v>1343.3</x:v>
      </x:c>
      <x:c r="H439" s="44" t="n">
        <x:f>E439-G439</x:f>
        <x:v>1278.9000000000003</x:v>
      </x:c>
      <x:c r="I439" s="14" t="str">
        <x:v>SMB</x:v>
      </x:c>
      <x:c r="J439" s="14" t="str">
        <x:v>Northeast</x:v>
      </x:c>
    </x:row>
    <x:row r="440">
      <x:c r="A440" s="50" t="n">
        <x:v>45913</x:v>
      </x:c>
      <x:c r="B440" s="14" t="str">
        <x:v>SKU-0033</x:v>
      </x:c>
      <x:c r="C440" s="52" t="n">
        <x:v>13</x:v>
      </x:c>
      <x:c r="D440" s="40" t="n">
        <x:v>288.67</x:v>
      </x:c>
      <x:c r="E440" s="44" t="n">
        <x:f>C440*D440</x:f>
        <x:v>3752.71</x:v>
      </x:c>
      <x:c r="F440" s="40" t="n">
        <x:v>185.66</x:v>
      </x:c>
      <x:c r="G440" s="44" t="n">
        <x:f>C440*F440</x:f>
        <x:v>2413.58</x:v>
      </x:c>
      <x:c r="H440" s="44" t="n">
        <x:f>E440-G440</x:f>
        <x:v>1339.13</x:v>
      </x:c>
      <x:c r="I440" s="14" t="str">
        <x:v>Enterprise</x:v>
      </x:c>
      <x:c r="J440" s="14" t="str">
        <x:v>Midwest</x:v>
      </x:c>
    </x:row>
    <x:row r="441">
      <x:c r="A441" s="50" t="n">
        <x:v>46112</x:v>
      </x:c>
      <x:c r="B441" s="14" t="str">
        <x:v>SKU-0144</x:v>
      </x:c>
      <x:c r="C441" s="52" t="n">
        <x:v>2</x:v>
      </x:c>
      <x:c r="D441" s="40" t="n">
        <x:v>158.92</x:v>
      </x:c>
      <x:c r="E441" s="44" t="n">
        <x:f>C441*D441</x:f>
        <x:v>317.84</x:v>
      </x:c>
      <x:c r="F441" s="40" t="n">
        <x:v>68.87</x:v>
      </x:c>
      <x:c r="G441" s="44" t="n">
        <x:f>C441*F441</x:f>
        <x:v>137.74</x:v>
      </x:c>
      <x:c r="H441" s="44" t="n">
        <x:f>E441-G441</x:f>
        <x:v>180.09999999999997</x:v>
      </x:c>
      <x:c r="I441" s="14" t="str">
        <x:v>Enterprise</x:v>
      </x:c>
      <x:c r="J441" s="14" t="str">
        <x:v>Midwest</x:v>
      </x:c>
    </x:row>
    <x:row r="442">
      <x:c r="A442" s="50" t="n">
        <x:v>46088</x:v>
      </x:c>
      <x:c r="B442" s="14" t="str">
        <x:v>SKU-0111</x:v>
      </x:c>
      <x:c r="C442" s="52" t="n">
        <x:v>3</x:v>
      </x:c>
      <x:c r="D442" s="40" t="n">
        <x:v>150.82</x:v>
      </x:c>
      <x:c r="E442" s="44" t="n">
        <x:f>C442*D442</x:f>
        <x:v>452.46</x:v>
      </x:c>
      <x:c r="F442" s="40" t="n">
        <x:v>120.79</x:v>
      </x:c>
      <x:c r="G442" s="44" t="n">
        <x:f>C442*F442</x:f>
        <x:v>362.37</x:v>
      </x:c>
      <x:c r="H442" s="44" t="n">
        <x:f>E442-G442</x:f>
        <x:v>90.08999999999997</x:v>
      </x:c>
      <x:c r="I442" s="14" t="str">
        <x:v>Distributor</x:v>
      </x:c>
      <x:c r="J442" s="14" t="str">
        <x:v>Northeast</x:v>
      </x:c>
    </x:row>
    <x:row r="443">
      <x:c r="A443" s="50" t="n">
        <x:v>45904</x:v>
      </x:c>
      <x:c r="B443" s="14" t="str">
        <x:v>SKU-0058</x:v>
      </x:c>
      <x:c r="C443" s="52" t="n">
        <x:v>5</x:v>
      </x:c>
      <x:c r="D443" s="40" t="n">
        <x:v>362.76</x:v>
      </x:c>
      <x:c r="E443" s="44" t="n">
        <x:f>C443*D443</x:f>
        <x:v>1813.8</x:v>
      </x:c>
      <x:c r="F443" s="40" t="n">
        <x:v>226.78</x:v>
      </x:c>
      <x:c r="G443" s="44" t="n">
        <x:f>C443*F443</x:f>
        <x:v>1133.9</x:v>
      </x:c>
      <x:c r="H443" s="44" t="n">
        <x:f>E443-G443</x:f>
        <x:v>679.8999999999999</x:v>
      </x:c>
      <x:c r="I443" s="14" t="str">
        <x:v>Enterprise</x:v>
      </x:c>
      <x:c r="J443" s="14" t="str">
        <x:v>West</x:v>
      </x:c>
    </x:row>
    <x:row r="444">
      <x:c r="A444" s="50" t="n">
        <x:v>46051</x:v>
      </x:c>
      <x:c r="B444" s="14" t="str">
        <x:v>SKU-0050</x:v>
      </x:c>
      <x:c r="C444" s="52" t="n">
        <x:v>2</x:v>
      </x:c>
      <x:c r="D444" s="40" t="n">
        <x:v>297.93</x:v>
      </x:c>
      <x:c r="E444" s="44" t="n">
        <x:f>C444*D444</x:f>
        <x:v>595.86</x:v>
      </x:c>
      <x:c r="F444" s="40" t="n">
        <x:v>150.72</x:v>
      </x:c>
      <x:c r="G444" s="44" t="n">
        <x:f>C444*F444</x:f>
        <x:v>301.44</x:v>
      </x:c>
      <x:c r="H444" s="44" t="n">
        <x:f>E444-G444</x:f>
        <x:v>294.42</x:v>
      </x:c>
      <x:c r="I444" s="14" t="str">
        <x:v>SMB</x:v>
      </x:c>
      <x:c r="J444" s="14" t="str">
        <x:v>West</x:v>
      </x:c>
    </x:row>
    <x:row r="445">
      <x:c r="A445" s="50" t="n">
        <x:v>46007</x:v>
      </x:c>
      <x:c r="B445" s="14" t="str">
        <x:v>SKU-0020</x:v>
      </x:c>
      <x:c r="C445" s="52" t="n">
        <x:v>4</x:v>
      </x:c>
      <x:c r="D445" s="40" t="n">
        <x:v>246.12</x:v>
      </x:c>
      <x:c r="E445" s="44" t="n">
        <x:f>C445*D445</x:f>
        <x:v>984.48</x:v>
      </x:c>
      <x:c r="F445" s="40" t="n">
        <x:v>163.22</x:v>
      </x:c>
      <x:c r="G445" s="44" t="n">
        <x:f>C445*F445</x:f>
        <x:v>652.88</x:v>
      </x:c>
      <x:c r="H445" s="44" t="n">
        <x:f>E445-G445</x:f>
        <x:v>331.6</x:v>
      </x:c>
      <x:c r="I445" s="14" t="str">
        <x:v>Enterprise</x:v>
      </x:c>
      <x:c r="J445" s="14" t="str">
        <x:v>Northeast</x:v>
      </x:c>
    </x:row>
    <x:row r="446">
      <x:c r="A446" s="50" t="n">
        <x:v>46101</x:v>
      </x:c>
      <x:c r="B446" s="14" t="str">
        <x:v>SKU-0123</x:v>
      </x:c>
      <x:c r="C446" s="52" t="n">
        <x:v>25</x:v>
      </x:c>
      <x:c r="D446" s="40" t="n">
        <x:v>171.31</x:v>
      </x:c>
      <x:c r="E446" s="44" t="n">
        <x:f>C446*D446</x:f>
        <x:v>4282.75</x:v>
      </x:c>
      <x:c r="F446" s="40" t="n">
        <x:v>121.8</x:v>
      </x:c>
      <x:c r="G446" s="44" t="n">
        <x:f>C446*F446</x:f>
        <x:v>3045</x:v>
      </x:c>
      <x:c r="H446" s="44" t="n">
        <x:f>E446-G446</x:f>
        <x:v>1237.75</x:v>
      </x:c>
      <x:c r="I446" s="14" t="str">
        <x:v>Distributor</x:v>
      </x:c>
      <x:c r="J446" s="14" t="str">
        <x:v>Midwest</x:v>
      </x:c>
    </x:row>
    <x:row r="447">
      <x:c r="A447" s="50" t="n">
        <x:v>45935</x:v>
      </x:c>
      <x:c r="B447" s="14" t="str">
        <x:v>SKU-0064</x:v>
      </x:c>
      <x:c r="C447" s="52" t="n">
        <x:v>3</x:v>
      </x:c>
      <x:c r="D447" s="40" t="n">
        <x:v>102.35</x:v>
      </x:c>
      <x:c r="E447" s="44" t="n">
        <x:f>C447*D447</x:f>
        <x:v>307.04999999999995</x:v>
      </x:c>
      <x:c r="F447" s="40" t="n">
        <x:v>62.55</x:v>
      </x:c>
      <x:c r="G447" s="44" t="n">
        <x:f>C447*F447</x:f>
        <x:v>187.64999999999998</x:v>
      </x:c>
      <x:c r="H447" s="44" t="n">
        <x:f>E447-G447</x:f>
        <x:v>119.39999999999998</x:v>
      </x:c>
      <x:c r="I447" s="14" t="str">
        <x:v>Distributor</x:v>
      </x:c>
      <x:c r="J447" s="14" t="str">
        <x:v>Southeast</x:v>
      </x:c>
    </x:row>
    <x:row r="448">
      <x:c r="A448" s="50" t="n">
        <x:v>46187</x:v>
      </x:c>
      <x:c r="B448" s="14" t="str">
        <x:v>SKU-0019</x:v>
      </x:c>
      <x:c r="C448" s="52" t="n">
        <x:v>18</x:v>
      </x:c>
      <x:c r="D448" s="40" t="n">
        <x:v>149.91</x:v>
      </x:c>
      <x:c r="E448" s="44" t="n">
        <x:f>C448*D448</x:f>
        <x:v>2698.38</x:v>
      </x:c>
      <x:c r="F448" s="40" t="n">
        <x:v>81.66</x:v>
      </x:c>
      <x:c r="G448" s="44" t="n">
        <x:f>C448*F448</x:f>
        <x:v>1469.8799999999999</x:v>
      </x:c>
      <x:c r="H448" s="44" t="n">
        <x:f>E448-G448</x:f>
        <x:v>1228.5000000000002</x:v>
      </x:c>
      <x:c r="I448" s="14" t="str">
        <x:v>Enterprise</x:v>
      </x:c>
      <x:c r="J448" s="14" t="str">
        <x:v>Northeast</x:v>
      </x:c>
    </x:row>
    <x:row r="449">
      <x:c r="A449" s="50" t="n">
        <x:v>45897</x:v>
      </x:c>
      <x:c r="B449" s="14" t="str">
        <x:v>SKU-0016</x:v>
      </x:c>
      <x:c r="C449" s="52" t="n">
        <x:v>1</x:v>
      </x:c>
      <x:c r="D449" s="40" t="n">
        <x:v>410.99</x:v>
      </x:c>
      <x:c r="E449" s="44" t="n">
        <x:f>C449*D449</x:f>
        <x:v>410.99</x:v>
      </x:c>
      <x:c r="F449" s="40" t="n">
        <x:v>204.58</x:v>
      </x:c>
      <x:c r="G449" s="44" t="n">
        <x:f>C449*F449</x:f>
        <x:v>204.58</x:v>
      </x:c>
      <x:c r="H449" s="44" t="n">
        <x:f>E449-G449</x:f>
        <x:v>206.41</x:v>
      </x:c>
      <x:c r="I449" s="14" t="str">
        <x:v>SMB</x:v>
      </x:c>
      <x:c r="J449" s="14" t="str">
        <x:v>Northeast</x:v>
      </x:c>
    </x:row>
    <x:row r="450">
      <x:c r="A450" s="50" t="n">
        <x:v>45908</x:v>
      </x:c>
      <x:c r="B450" s="14" t="str">
        <x:v>SKU-0114</x:v>
      </x:c>
      <x:c r="C450" s="52" t="n">
        <x:v>4</x:v>
      </x:c>
      <x:c r="D450" s="40" t="n">
        <x:v>319.74</x:v>
      </x:c>
      <x:c r="E450" s="44" t="n">
        <x:f>C450*D450</x:f>
        <x:v>1278.96</x:v>
      </x:c>
      <x:c r="F450" s="40" t="n">
        <x:v>232.11</x:v>
      </x:c>
      <x:c r="G450" s="44" t="n">
        <x:f>C450*F450</x:f>
        <x:v>928.44</x:v>
      </x:c>
      <x:c r="H450" s="44" t="n">
        <x:f>E450-G450</x:f>
        <x:v>350.52</x:v>
      </x:c>
      <x:c r="I450" s="14" t="str">
        <x:v>Enterprise</x:v>
      </x:c>
      <x:c r="J450" s="14" t="str">
        <x:v>Northeast</x:v>
      </x:c>
    </x:row>
    <x:row r="451">
      <x:c r="A451" s="50" t="n">
        <x:v>46075</x:v>
      </x:c>
      <x:c r="B451" s="14" t="str">
        <x:v>SKU-0076</x:v>
      </x:c>
      <x:c r="C451" s="52" t="n">
        <x:v>6</x:v>
      </x:c>
      <x:c r="D451" s="40" t="n">
        <x:v>194.67</x:v>
      </x:c>
      <x:c r="E451" s="44" t="n">
        <x:f>C451*D451</x:f>
        <x:v>1168.02</x:v>
      </x:c>
      <x:c r="F451" s="40" t="n">
        <x:v>132.93</x:v>
      </x:c>
      <x:c r="G451" s="44" t="n">
        <x:f>C451*F451</x:f>
        <x:v>797.58</x:v>
      </x:c>
      <x:c r="H451" s="44" t="n">
        <x:f>E451-G451</x:f>
        <x:v>370.43999999999994</x:v>
      </x:c>
      <x:c r="I451" s="14" t="str">
        <x:v>Enterprise</x:v>
      </x:c>
      <x:c r="J451" s="14" t="str">
        <x:v>West</x:v>
      </x:c>
    </x:row>
    <x:row r="452">
      <x:c r="A452" s="50" t="n">
        <x:v>46117</x:v>
      </x:c>
      <x:c r="B452" s="14" t="str">
        <x:v>SKU-0099</x:v>
      </x:c>
      <x:c r="C452" s="52" t="n">
        <x:v>11</x:v>
      </x:c>
      <x:c r="D452" s="40" t="n">
        <x:v>214.85</x:v>
      </x:c>
      <x:c r="E452" s="44" t="n">
        <x:f>C452*D452</x:f>
        <x:v>2363.35</x:v>
      </x:c>
      <x:c r="F452" s="40" t="n">
        <x:v>104</x:v>
      </x:c>
      <x:c r="G452" s="44" t="n">
        <x:f>C452*F452</x:f>
        <x:v>1144</x:v>
      </x:c>
      <x:c r="H452" s="44" t="n">
        <x:f>E452-G452</x:f>
        <x:v>1219.35</x:v>
      </x:c>
      <x:c r="I452" s="14" t="str">
        <x:v>Enterprise</x:v>
      </x:c>
      <x:c r="J452" s="14" t="str">
        <x:v>West</x:v>
      </x:c>
    </x:row>
    <x:row r="453">
      <x:c r="A453" s="50" t="n">
        <x:v>46048</x:v>
      </x:c>
      <x:c r="B453" s="14" t="str">
        <x:v>SKU-0133</x:v>
      </x:c>
      <x:c r="C453" s="52" t="n">
        <x:v>10</x:v>
      </x:c>
      <x:c r="D453" s="40" t="n">
        <x:v>266.57</x:v>
      </x:c>
      <x:c r="E453" s="44" t="n">
        <x:f>C453*D453</x:f>
        <x:v>2665.7</x:v>
      </x:c>
      <x:c r="F453" s="40" t="n">
        <x:v>233.3</x:v>
      </x:c>
      <x:c r="G453" s="44" t="n">
        <x:f>C453*F453</x:f>
        <x:v>2333</x:v>
      </x:c>
      <x:c r="H453" s="44" t="n">
        <x:f>E453-G453</x:f>
        <x:v>332.6999999999998</x:v>
      </x:c>
      <x:c r="I453" s="14" t="str">
        <x:v>Enterprise</x:v>
      </x:c>
      <x:c r="J453" s="14" t="str">
        <x:v>Southeast</x:v>
      </x:c>
    </x:row>
    <x:row r="454">
      <x:c r="A454" s="50" t="n">
        <x:v>45944</x:v>
      </x:c>
      <x:c r="B454" s="14" t="str">
        <x:v>SKU-0147</x:v>
      </x:c>
      <x:c r="C454" s="52" t="n">
        <x:v>11</x:v>
      </x:c>
      <x:c r="D454" s="40" t="n">
        <x:v>59.06</x:v>
      </x:c>
      <x:c r="E454" s="44" t="n">
        <x:f>C454*D454</x:f>
        <x:v>649.6600000000001</x:v>
      </x:c>
      <x:c r="F454" s="40" t="n">
        <x:v>27.95</x:v>
      </x:c>
      <x:c r="G454" s="44" t="n">
        <x:f>C454*F454</x:f>
        <x:v>307.45</x:v>
      </x:c>
      <x:c r="H454" s="44" t="n">
        <x:f>E454-G454</x:f>
        <x:v>342.2100000000001</x:v>
      </x:c>
      <x:c r="I454" s="14" t="str">
        <x:v>Internal Use</x:v>
      </x:c>
      <x:c r="J454" s="14" t="str">
        <x:v>Southeast</x:v>
      </x:c>
    </x:row>
    <x:row r="455">
      <x:c r="A455" s="50" t="n">
        <x:v>45950</x:v>
      </x:c>
      <x:c r="B455" s="14" t="str">
        <x:v>SKU-0063</x:v>
      </x:c>
      <x:c r="C455" s="52" t="n">
        <x:v>5</x:v>
      </x:c>
      <x:c r="D455" s="40" t="n">
        <x:v>289.79</x:v>
      </x:c>
      <x:c r="E455" s="44" t="n">
        <x:f>C455*D455</x:f>
        <x:v>1448.95</x:v>
      </x:c>
      <x:c r="F455" s="40" t="n">
        <x:v>197.54</x:v>
      </x:c>
      <x:c r="G455" s="44" t="n">
        <x:f>C455*F455</x:f>
        <x:v>987.6999999999999</x:v>
      </x:c>
      <x:c r="H455" s="44" t="n">
        <x:f>E455-G455</x:f>
        <x:v>461.2500000000001</x:v>
      </x:c>
      <x:c r="I455" s="14" t="str">
        <x:v>Distributor</x:v>
      </x:c>
      <x:c r="J455" s="14" t="str">
        <x:v>Midwest</x:v>
      </x:c>
    </x:row>
    <x:row r="456">
      <x:c r="A456" s="50" t="n">
        <x:v>46157</x:v>
      </x:c>
      <x:c r="B456" s="14" t="str">
        <x:v>SKU-0150</x:v>
      </x:c>
      <x:c r="C456" s="52" t="n">
        <x:v>14</x:v>
      </x:c>
      <x:c r="D456" s="40" t="n">
        <x:v>77.61</x:v>
      </x:c>
      <x:c r="E456" s="44" t="n">
        <x:f>C456*D456</x:f>
        <x:v>1086.54</x:v>
      </x:c>
      <x:c r="F456" s="40" t="n">
        <x:v>62.34</x:v>
      </x:c>
      <x:c r="G456" s="44" t="n">
        <x:f>C456*F456</x:f>
        <x:v>872.76</x:v>
      </x:c>
      <x:c r="H456" s="44" t="n">
        <x:f>E456-G456</x:f>
        <x:v>213.77999999999997</x:v>
      </x:c>
      <x:c r="I456" s="14" t="str">
        <x:v>Distributor</x:v>
      </x:c>
      <x:c r="J456" s="14" t="str">
        <x:v>Midwest</x:v>
      </x:c>
    </x:row>
    <x:row r="457">
      <x:c r="A457" s="50" t="n">
        <x:v>45884</x:v>
      </x:c>
      <x:c r="B457" s="14" t="str">
        <x:v>SKU-0095</x:v>
      </x:c>
      <x:c r="C457" s="52" t="n">
        <x:v>9</x:v>
      </x:c>
      <x:c r="D457" s="40" t="n">
        <x:v>283.2</x:v>
      </x:c>
      <x:c r="E457" s="44" t="n">
        <x:f>C457*D457</x:f>
        <x:v>2548.7999999999997</x:v>
      </x:c>
      <x:c r="F457" s="40" t="n">
        <x:v>225.04</x:v>
      </x:c>
      <x:c r="G457" s="44" t="n">
        <x:f>C457*F457</x:f>
        <x:v>2025.36</x:v>
      </x:c>
      <x:c r="H457" s="44" t="n">
        <x:f>E457-G457</x:f>
        <x:v>523.4399999999998</x:v>
      </x:c>
      <x:c r="I457" s="14" t="str">
        <x:v>SMB</x:v>
      </x:c>
      <x:c r="J457" s="14" t="str">
        <x:v>Northeast</x:v>
      </x:c>
    </x:row>
    <x:row r="458">
      <x:c r="A458" s="50" t="n">
        <x:v>46056</x:v>
      </x:c>
      <x:c r="B458" s="14" t="str">
        <x:v>SKU-0109</x:v>
      </x:c>
      <x:c r="C458" s="52" t="n">
        <x:v>5</x:v>
      </x:c>
      <x:c r="D458" s="40" t="n">
        <x:v>159.64</x:v>
      </x:c>
      <x:c r="E458" s="44" t="n">
        <x:f>C458*D458</x:f>
        <x:v>798.1999999999999</x:v>
      </x:c>
      <x:c r="F458" s="40" t="n">
        <x:v>119.32</x:v>
      </x:c>
      <x:c r="G458" s="44" t="n">
        <x:f>C458*F458</x:f>
        <x:v>596.5999999999999</x:v>
      </x:c>
      <x:c r="H458" s="44" t="n">
        <x:f>E458-G458</x:f>
        <x:v>201.60000000000002</x:v>
      </x:c>
      <x:c r="I458" s="14" t="str">
        <x:v>Enterprise</x:v>
      </x:c>
      <x:c r="J458" s="14" t="str">
        <x:v>Midwest</x:v>
      </x:c>
    </x:row>
    <x:row r="459">
      <x:c r="A459" s="50" t="n">
        <x:v>46221</x:v>
      </x:c>
      <x:c r="B459" s="14" t="str">
        <x:v>SKU-0049</x:v>
      </x:c>
      <x:c r="C459" s="52" t="n">
        <x:v>8</x:v>
      </x:c>
      <x:c r="D459" s="40" t="n">
        <x:v>95.25</x:v>
      </x:c>
      <x:c r="E459" s="44" t="n">
        <x:f>C459*D459</x:f>
        <x:v>762</x:v>
      </x:c>
      <x:c r="F459" s="40" t="n">
        <x:v>63.39</x:v>
      </x:c>
      <x:c r="G459" s="44" t="n">
        <x:f>C459*F459</x:f>
        <x:v>507.12</x:v>
      </x:c>
      <x:c r="H459" s="44" t="n">
        <x:f>E459-G459</x:f>
        <x:v>254.88</x:v>
      </x:c>
      <x:c r="I459" s="14" t="str">
        <x:v>Distributor</x:v>
      </x:c>
      <x:c r="J459" s="14" t="str">
        <x:v>Midwest</x:v>
      </x:c>
    </x:row>
    <x:row r="460">
      <x:c r="A460" s="50" t="n">
        <x:v>46094</x:v>
      </x:c>
      <x:c r="B460" s="14" t="str">
        <x:v>SKU-0077</x:v>
      </x:c>
      <x:c r="C460" s="52" t="n">
        <x:v>6</x:v>
      </x:c>
      <x:c r="D460" s="40" t="n">
        <x:v>16.67</x:v>
      </x:c>
      <x:c r="E460" s="44" t="n">
        <x:f>C460*D460</x:f>
        <x:v>100.02000000000001</x:v>
      </x:c>
      <x:c r="F460" s="40" t="n">
        <x:v>12.68</x:v>
      </x:c>
      <x:c r="G460" s="44" t="n">
        <x:f>C460*F460</x:f>
        <x:v>76.08</x:v>
      </x:c>
      <x:c r="H460" s="44" t="n">
        <x:f>E460-G460</x:f>
        <x:v>23.940000000000012</x:v>
      </x:c>
      <x:c r="I460" s="14" t="str">
        <x:v>Enterprise</x:v>
      </x:c>
      <x:c r="J460" s="14" t="str">
        <x:v>West</x:v>
      </x:c>
    </x:row>
    <x:row r="461">
      <x:c r="A461" s="50" t="n">
        <x:v>45881</x:v>
      </x:c>
      <x:c r="B461" s="14" t="str">
        <x:v>SKU-0057</x:v>
      </x:c>
      <x:c r="C461" s="52" t="n">
        <x:v>16</x:v>
      </x:c>
      <x:c r="D461" s="40" t="n">
        <x:v>176.43</x:v>
      </x:c>
      <x:c r="E461" s="44" t="n">
        <x:f>C461*D461</x:f>
        <x:v>2822.88</x:v>
      </x:c>
      <x:c r="F461" s="40" t="n">
        <x:v>122.8</x:v>
      </x:c>
      <x:c r="G461" s="44" t="n">
        <x:f>C461*F461</x:f>
        <x:v>1964.8</x:v>
      </x:c>
      <x:c r="H461" s="44" t="n">
        <x:f>E461-G461</x:f>
        <x:v>858.0800000000002</x:v>
      </x:c>
      <x:c r="I461" s="14" t="str">
        <x:v>SMB</x:v>
      </x:c>
      <x:c r="J461" s="14" t="str">
        <x:v>Southeast</x:v>
      </x:c>
    </x:row>
    <x:row r="462">
      <x:c r="A462" s="50" t="n">
        <x:v>46049</x:v>
      </x:c>
      <x:c r="B462" s="14" t="str">
        <x:v>SKU-0124</x:v>
      </x:c>
      <x:c r="C462" s="52" t="n">
        <x:v>17</x:v>
      </x:c>
      <x:c r="D462" s="40" t="n">
        <x:v>128.68</x:v>
      </x:c>
      <x:c r="E462" s="44" t="n">
        <x:f>C462*D462</x:f>
        <x:v>2187.56</x:v>
      </x:c>
      <x:c r="F462" s="40" t="n">
        <x:v>59.23</x:v>
      </x:c>
      <x:c r="G462" s="44" t="n">
        <x:f>C462*F462</x:f>
        <x:v>1006.91</x:v>
      </x:c>
      <x:c r="H462" s="44" t="n">
        <x:f>E462-G462</x:f>
        <x:v>1180.65</x:v>
      </x:c>
      <x:c r="I462" s="14" t="str">
        <x:v>Enterprise</x:v>
      </x:c>
      <x:c r="J462" s="14" t="str">
        <x:v>Midwest</x:v>
      </x:c>
    </x:row>
    <x:row r="463">
      <x:c r="A463" s="50" t="n">
        <x:v>45917</x:v>
      </x:c>
      <x:c r="B463" s="14" t="str">
        <x:v>SKU-0003</x:v>
      </x:c>
      <x:c r="C463" s="52" t="n">
        <x:v>5</x:v>
      </x:c>
      <x:c r="D463" s="40" t="n">
        <x:v>278.79</x:v>
      </x:c>
      <x:c r="E463" s="44" t="n">
        <x:f>C463*D463</x:f>
        <x:v>1393.95</x:v>
      </x:c>
      <x:c r="F463" s="40" t="n">
        <x:v>141.04</x:v>
      </x:c>
      <x:c r="G463" s="44" t="n">
        <x:f>C463*F463</x:f>
        <x:v>705.1999999999999</x:v>
      </x:c>
      <x:c r="H463" s="44" t="n">
        <x:f>E463-G463</x:f>
        <x:v>688.7500000000001</x:v>
      </x:c>
      <x:c r="I463" s="14" t="str">
        <x:v>Internal Use</x:v>
      </x:c>
      <x:c r="J463" s="14" t="str">
        <x:v>Southeast</x:v>
      </x:c>
    </x:row>
    <x:row r="464">
      <x:c r="A464" s="50" t="n">
        <x:v>46064</x:v>
      </x:c>
      <x:c r="B464" s="14" t="str">
        <x:v>SKU-0150</x:v>
      </x:c>
      <x:c r="C464" s="52" t="n">
        <x:v>5</x:v>
      </x:c>
      <x:c r="D464" s="40" t="n">
        <x:v>84.7</x:v>
      </x:c>
      <x:c r="E464" s="44" t="n">
        <x:f>C464*D464</x:f>
        <x:v>423.5</x:v>
      </x:c>
      <x:c r="F464" s="40" t="n">
        <x:v>62.34</x:v>
      </x:c>
      <x:c r="G464" s="44" t="n">
        <x:f>C464*F464</x:f>
        <x:v>311.70000000000005</x:v>
      </x:c>
      <x:c r="H464" s="44" t="n">
        <x:f>E464-G464</x:f>
        <x:v>111.79999999999995</x:v>
      </x:c>
      <x:c r="I464" s="14" t="str">
        <x:v>SMB</x:v>
      </x:c>
      <x:c r="J464" s="14" t="str">
        <x:v>Midwest</x:v>
      </x:c>
    </x:row>
    <x:row r="465">
      <x:c r="A465" s="50" t="n">
        <x:v>46005</x:v>
      </x:c>
      <x:c r="B465" s="14" t="str">
        <x:v>SKU-0142</x:v>
      </x:c>
      <x:c r="C465" s="52" t="n">
        <x:v>4</x:v>
      </x:c>
      <x:c r="D465" s="40" t="n">
        <x:v>171.28</x:v>
      </x:c>
      <x:c r="E465" s="44" t="n">
        <x:f>C465*D465</x:f>
        <x:v>685.12</x:v>
      </x:c>
      <x:c r="F465" s="40" t="n">
        <x:v>95.95</x:v>
      </x:c>
      <x:c r="G465" s="44" t="n">
        <x:f>C465*F465</x:f>
        <x:v>383.8</x:v>
      </x:c>
      <x:c r="H465" s="44" t="n">
        <x:f>E465-G465</x:f>
        <x:v>301.32</x:v>
      </x:c>
      <x:c r="I465" s="14" t="str">
        <x:v>SMB</x:v>
      </x:c>
      <x:c r="J465" s="14" t="str">
        <x:v>Midwest</x:v>
      </x:c>
    </x:row>
    <x:row r="466">
      <x:c r="A466" s="50" t="n">
        <x:v>46002</x:v>
      </x:c>
      <x:c r="B466" s="14" t="str">
        <x:v>SKU-0117</x:v>
      </x:c>
      <x:c r="C466" s="52" t="n">
        <x:v>6</x:v>
      </x:c>
      <x:c r="D466" s="40" t="n">
        <x:v>175</x:v>
      </x:c>
      <x:c r="E466" s="44" t="n">
        <x:f>C466*D466</x:f>
        <x:v>1050</x:v>
      </x:c>
      <x:c r="F466" s="40" t="n">
        <x:v>143.31</x:v>
      </x:c>
      <x:c r="G466" s="44" t="n">
        <x:f>C466*F466</x:f>
        <x:v>859.86</x:v>
      </x:c>
      <x:c r="H466" s="44" t="n">
        <x:f>E466-G466</x:f>
        <x:v>190.14</x:v>
      </x:c>
      <x:c r="I466" s="14" t="str">
        <x:v>Internal Use</x:v>
      </x:c>
      <x:c r="J466" s="14" t="str">
        <x:v>Northeast</x:v>
      </x:c>
    </x:row>
    <x:row r="467">
      <x:c r="A467" s="50" t="n">
        <x:v>45953</x:v>
      </x:c>
      <x:c r="B467" s="14" t="str">
        <x:v>SKU-0031</x:v>
      </x:c>
      <x:c r="C467" s="52" t="n">
        <x:v>3</x:v>
      </x:c>
      <x:c r="D467" s="40" t="n">
        <x:v>306.29</x:v>
      </x:c>
      <x:c r="E467" s="44" t="n">
        <x:f>C467*D467</x:f>
        <x:v>918.8700000000001</x:v>
      </x:c>
      <x:c r="F467" s="40" t="n">
        <x:v>247.09</x:v>
      </x:c>
      <x:c r="G467" s="44" t="n">
        <x:f>C467*F467</x:f>
        <x:v>741.27</x:v>
      </x:c>
      <x:c r="H467" s="44" t="n">
        <x:f>E467-G467</x:f>
        <x:v>177.60000000000014</x:v>
      </x:c>
      <x:c r="I467" s="14" t="str">
        <x:v>Distributor</x:v>
      </x:c>
      <x:c r="J467" s="14" t="str">
        <x:v>West</x:v>
      </x:c>
    </x:row>
    <x:row r="468">
      <x:c r="A468" s="50" t="n">
        <x:v>45903</x:v>
      </x:c>
      <x:c r="B468" s="14" t="str">
        <x:v>SKU-0063</x:v>
      </x:c>
      <x:c r="C468" s="52" t="n">
        <x:v>21</x:v>
      </x:c>
      <x:c r="D468" s="40" t="n">
        <x:v>285.41</x:v>
      </x:c>
      <x:c r="E468" s="44" t="n">
        <x:f>C468*D468</x:f>
        <x:v>5993.610000000001</x:v>
      </x:c>
      <x:c r="F468" s="40" t="n">
        <x:v>197.54</x:v>
      </x:c>
      <x:c r="G468" s="44" t="n">
        <x:f>C468*F468</x:f>
        <x:v>4148.34</x:v>
      </x:c>
      <x:c r="H468" s="44" t="n">
        <x:f>E468-G468</x:f>
        <x:v>1845.2700000000004</x:v>
      </x:c>
      <x:c r="I468" s="14" t="str">
        <x:v>Distributor</x:v>
      </x:c>
      <x:c r="J468" s="14" t="str">
        <x:v>Southeast</x:v>
      </x:c>
    </x:row>
    <x:row r="469">
      <x:c r="A469" s="50" t="n">
        <x:v>46006</x:v>
      </x:c>
      <x:c r="B469" s="14" t="str">
        <x:v>SKU-0084</x:v>
      </x:c>
      <x:c r="C469" s="52" t="n">
        <x:v>5</x:v>
      </x:c>
      <x:c r="D469" s="40" t="n">
        <x:v>221.05</x:v>
      </x:c>
      <x:c r="E469" s="44" t="n">
        <x:f>C469*D469</x:f>
        <x:v>1105.25</x:v>
      </x:c>
      <x:c r="F469" s="40" t="n">
        <x:v>108.77</x:v>
      </x:c>
      <x:c r="G469" s="44" t="n">
        <x:f>C469*F469</x:f>
        <x:v>543.85</x:v>
      </x:c>
      <x:c r="H469" s="44" t="n">
        <x:f>E469-G469</x:f>
        <x:v>561.4</x:v>
      </x:c>
      <x:c r="I469" s="14" t="str">
        <x:v>Enterprise</x:v>
      </x:c>
      <x:c r="J469" s="14" t="str">
        <x:v>Southeast</x:v>
      </x:c>
    </x:row>
    <x:row r="470">
      <x:c r="A470" s="50" t="n">
        <x:v>46078</x:v>
      </x:c>
      <x:c r="B470" s="14" t="str">
        <x:v>SKU-0131</x:v>
      </x:c>
      <x:c r="C470" s="52" t="n">
        <x:v>23</x:v>
      </x:c>
      <x:c r="D470" s="40" t="n">
        <x:v>425.49</x:v>
      </x:c>
      <x:c r="E470" s="44" t="n">
        <x:f>C470*D470</x:f>
        <x:v>9786.27</x:v>
      </x:c>
      <x:c r="F470" s="40" t="n">
        <x:v>258.95</x:v>
      </x:c>
      <x:c r="G470" s="44" t="n">
        <x:f>C470*F470</x:f>
        <x:v>5955.849999999999</x:v>
      </x:c>
      <x:c r="H470" s="44" t="n">
        <x:f>E470-G470</x:f>
        <x:v>3830.420000000001</x:v>
      </x:c>
      <x:c r="I470" s="14" t="str">
        <x:v>Internal Use</x:v>
      </x:c>
      <x:c r="J470" s="14" t="str">
        <x:v>West</x:v>
      </x:c>
    </x:row>
    <x:row r="471">
      <x:c r="A471" s="50" t="n">
        <x:v>46044</x:v>
      </x:c>
      <x:c r="B471" s="14" t="str">
        <x:v>SKU-0046</x:v>
      </x:c>
      <x:c r="C471" s="52" t="n">
        <x:v>16</x:v>
      </x:c>
      <x:c r="D471" s="40" t="n">
        <x:v>119.55</x:v>
      </x:c>
      <x:c r="E471" s="44" t="n">
        <x:f>C471*D471</x:f>
        <x:v>1912.8</x:v>
      </x:c>
      <x:c r="F471" s="40" t="n">
        <x:v>66.68</x:v>
      </x:c>
      <x:c r="G471" s="44" t="n">
        <x:f>C471*F471</x:f>
        <x:v>1066.88</x:v>
      </x:c>
      <x:c r="H471" s="44" t="n">
        <x:f>E471-G471</x:f>
        <x:v>845.9199999999998</x:v>
      </x:c>
      <x:c r="I471" s="14" t="str">
        <x:v>Internal Use</x:v>
      </x:c>
      <x:c r="J471" s="14" t="str">
        <x:v>West</x:v>
      </x:c>
    </x:row>
    <x:row r="472">
      <x:c r="A472" s="50" t="n">
        <x:v>46177</x:v>
      </x:c>
      <x:c r="B472" s="14" t="str">
        <x:v>SKU-0069</x:v>
      </x:c>
      <x:c r="C472" s="52" t="n">
        <x:v>1</x:v>
      </x:c>
      <x:c r="D472" s="40" t="n">
        <x:v>392.33</x:v>
      </x:c>
      <x:c r="E472" s="44" t="n">
        <x:f>C472*D472</x:f>
        <x:v>392.33</x:v>
      </x:c>
      <x:c r="F472" s="40" t="n">
        <x:v>277.23</x:v>
      </x:c>
      <x:c r="G472" s="44" t="n">
        <x:f>C472*F472</x:f>
        <x:v>277.23</x:v>
      </x:c>
      <x:c r="H472" s="44" t="n">
        <x:f>E472-G472</x:f>
        <x:v>115.09999999999997</x:v>
      </x:c>
      <x:c r="I472" s="14" t="str">
        <x:v>Enterprise</x:v>
      </x:c>
      <x:c r="J472" s="14" t="str">
        <x:v>Southeast</x:v>
      </x:c>
    </x:row>
    <x:row r="473">
      <x:c r="A473" s="50" t="n">
        <x:v>45983</x:v>
      </x:c>
      <x:c r="B473" s="14" t="str">
        <x:v>SKU-0057</x:v>
      </x:c>
      <x:c r="C473" s="52" t="n">
        <x:v>8</x:v>
      </x:c>
      <x:c r="D473" s="40" t="n">
        <x:v>169.67</x:v>
      </x:c>
      <x:c r="E473" s="44" t="n">
        <x:f>C473*D473</x:f>
        <x:v>1357.36</x:v>
      </x:c>
      <x:c r="F473" s="40" t="n">
        <x:v>122.8</x:v>
      </x:c>
      <x:c r="G473" s="44" t="n">
        <x:f>C473*F473</x:f>
        <x:v>982.4</x:v>
      </x:c>
      <x:c r="H473" s="44" t="n">
        <x:f>E473-G473</x:f>
        <x:v>374.9599999999999</x:v>
      </x:c>
      <x:c r="I473" s="14" t="str">
        <x:v>Internal Use</x:v>
      </x:c>
      <x:c r="J473" s="14" t="str">
        <x:v>West</x:v>
      </x:c>
    </x:row>
    <x:row r="474">
      <x:c r="A474" s="50" t="n">
        <x:v>45960</x:v>
      </x:c>
      <x:c r="B474" s="14" t="str">
        <x:v>SKU-0147</x:v>
      </x:c>
      <x:c r="C474" s="52" t="n">
        <x:v>23</x:v>
      </x:c>
      <x:c r="D474" s="40" t="n">
        <x:v>60.25</x:v>
      </x:c>
      <x:c r="E474" s="44" t="n">
        <x:f>C474*D474</x:f>
        <x:v>1385.75</x:v>
      </x:c>
      <x:c r="F474" s="40" t="n">
        <x:v>27.95</x:v>
      </x:c>
      <x:c r="G474" s="44" t="n">
        <x:f>C474*F474</x:f>
        <x:v>642.85</x:v>
      </x:c>
      <x:c r="H474" s="44" t="n">
        <x:f>E474-G474</x:f>
        <x:v>742.9</x:v>
      </x:c>
      <x:c r="I474" s="14" t="str">
        <x:v>SMB</x:v>
      </x:c>
      <x:c r="J474" s="14" t="str">
        <x:v>Northeast</x:v>
      </x:c>
    </x:row>
    <x:row r="475">
      <x:c r="A475" s="50" t="n">
        <x:v>46107</x:v>
      </x:c>
      <x:c r="B475" s="14" t="str">
        <x:v>SKU-0076</x:v>
      </x:c>
      <x:c r="C475" s="52" t="n">
        <x:v>9</x:v>
      </x:c>
      <x:c r="D475" s="40" t="n">
        <x:v>183.44</x:v>
      </x:c>
      <x:c r="E475" s="44" t="n">
        <x:f>C475*D475</x:f>
        <x:v>1650.96</x:v>
      </x:c>
      <x:c r="F475" s="40" t="n">
        <x:v>132.93</x:v>
      </x:c>
      <x:c r="G475" s="44" t="n">
        <x:f>C475*F475</x:f>
        <x:v>1196.3700000000001</x:v>
      </x:c>
      <x:c r="H475" s="44" t="n">
        <x:f>E475-G475</x:f>
        <x:v>454.5899999999999</x:v>
      </x:c>
      <x:c r="I475" s="14" t="str">
        <x:v>Distributor</x:v>
      </x:c>
      <x:c r="J475" s="14" t="str">
        <x:v>West</x:v>
      </x:c>
    </x:row>
    <x:row r="476">
      <x:c r="A476" s="50" t="n">
        <x:v>46119</x:v>
      </x:c>
      <x:c r="B476" s="14" t="str">
        <x:v>SKU-0116</x:v>
      </x:c>
      <x:c r="C476" s="52" t="n">
        <x:v>7</x:v>
      </x:c>
      <x:c r="D476" s="40" t="n">
        <x:v>52.31</x:v>
      </x:c>
      <x:c r="E476" s="44" t="n">
        <x:f>C476*D476</x:f>
        <x:v>366.17</x:v>
      </x:c>
      <x:c r="F476" s="40" t="n">
        <x:v>36.42</x:v>
      </x:c>
      <x:c r="G476" s="44" t="n">
        <x:f>C476*F476</x:f>
        <x:v>254.94</x:v>
      </x:c>
      <x:c r="H476" s="44" t="n">
        <x:f>E476-G476</x:f>
        <x:v>111.23000000000002</x:v>
      </x:c>
      <x:c r="I476" s="14" t="str">
        <x:v>Distributor</x:v>
      </x:c>
      <x:c r="J476" s="14" t="str">
        <x:v>West</x:v>
      </x:c>
    </x:row>
    <x:row r="477">
      <x:c r="A477" s="50" t="n">
        <x:v>45971</x:v>
      </x:c>
      <x:c r="B477" s="14" t="str">
        <x:v>SKU-0007</x:v>
      </x:c>
      <x:c r="C477" s="52" t="n">
        <x:v>8</x:v>
      </x:c>
      <x:c r="D477" s="40" t="n">
        <x:v>175.78</x:v>
      </x:c>
      <x:c r="E477" s="44" t="n">
        <x:f>C477*D477</x:f>
        <x:v>1406.24</x:v>
      </x:c>
      <x:c r="F477" s="40" t="n">
        <x:v>123.15</x:v>
      </x:c>
      <x:c r="G477" s="44" t="n">
        <x:f>C477*F477</x:f>
        <x:v>985.2</x:v>
      </x:c>
      <x:c r="H477" s="44" t="n">
        <x:f>E477-G477</x:f>
        <x:v>421.03999999999996</x:v>
      </x:c>
      <x:c r="I477" s="14" t="str">
        <x:v>Enterprise</x:v>
      </x:c>
      <x:c r="J477" s="14" t="str">
        <x:v>Midwest</x:v>
      </x:c>
    </x:row>
    <x:row r="478">
      <x:c r="A478" s="50" t="n">
        <x:v>46142</x:v>
      </x:c>
      <x:c r="B478" s="14" t="str">
        <x:v>SKU-0129</x:v>
      </x:c>
      <x:c r="C478" s="52" t="n">
        <x:v>9</x:v>
      </x:c>
      <x:c r="D478" s="40" t="n">
        <x:v>276.07</x:v>
      </x:c>
      <x:c r="E478" s="44" t="n">
        <x:f>C478*D478</x:f>
        <x:v>2484.63</x:v>
      </x:c>
      <x:c r="F478" s="40" t="n">
        <x:v>178.22</x:v>
      </x:c>
      <x:c r="G478" s="44" t="n">
        <x:f>C478*F478</x:f>
        <x:v>1603.98</x:v>
      </x:c>
      <x:c r="H478" s="44" t="n">
        <x:f>E478-G478</x:f>
        <x:v>880.6500000000001</x:v>
      </x:c>
      <x:c r="I478" s="14" t="str">
        <x:v>SMB</x:v>
      </x:c>
      <x:c r="J478" s="14" t="str">
        <x:v>Northeast</x:v>
      </x:c>
    </x:row>
    <x:row r="479">
      <x:c r="A479" s="50" t="n">
        <x:v>45916</x:v>
      </x:c>
      <x:c r="B479" s="14" t="str">
        <x:v>SKU-0031</x:v>
      </x:c>
      <x:c r="C479" s="52" t="n">
        <x:v>5</x:v>
      </x:c>
      <x:c r="D479" s="40" t="n">
        <x:v>289.79</x:v>
      </x:c>
      <x:c r="E479" s="44" t="n">
        <x:f>C479*D479</x:f>
        <x:v>1448.95</x:v>
      </x:c>
      <x:c r="F479" s="40" t="n">
        <x:v>247.09</x:v>
      </x:c>
      <x:c r="G479" s="44" t="n">
        <x:f>C479*F479</x:f>
        <x:v>1235.45</x:v>
      </x:c>
      <x:c r="H479" s="44" t="n">
        <x:f>E479-G479</x:f>
        <x:v>213.5</x:v>
      </x:c>
      <x:c r="I479" s="14" t="str">
        <x:v>Distributor</x:v>
      </x:c>
      <x:c r="J479" s="14" t="str">
        <x:v>Midwest</x:v>
      </x:c>
    </x:row>
    <x:row r="480">
      <x:c r="A480" s="50" t="n">
        <x:v>46229</x:v>
      </x:c>
      <x:c r="B480" s="14" t="str">
        <x:v>SKU-0078</x:v>
      </x:c>
      <x:c r="C480" s="52" t="n">
        <x:v>16</x:v>
      </x:c>
      <x:c r="D480" s="40" t="n">
        <x:v>28.36</x:v>
      </x:c>
      <x:c r="E480" s="44" t="n">
        <x:f>C480*D480</x:f>
        <x:v>453.76</x:v>
      </x:c>
      <x:c r="F480" s="40" t="n">
        <x:v>17.54</x:v>
      </x:c>
      <x:c r="G480" s="44" t="n">
        <x:f>C480*F480</x:f>
        <x:v>280.64</x:v>
      </x:c>
      <x:c r="H480" s="44" t="n">
        <x:f>E480-G480</x:f>
        <x:v>173.12</x:v>
      </x:c>
      <x:c r="I480" s="14" t="str">
        <x:v>SMB</x:v>
      </x:c>
      <x:c r="J480" s="14" t="str">
        <x:v>Midwest</x:v>
      </x:c>
    </x:row>
    <x:row r="481">
      <x:c r="A481" s="50" t="n">
        <x:v>46033</x:v>
      </x:c>
      <x:c r="B481" s="14" t="str">
        <x:v>SKU-0003</x:v>
      </x:c>
      <x:c r="C481" s="52" t="n">
        <x:v>5</x:v>
      </x:c>
      <x:c r="D481" s="40" t="n">
        <x:v>317.57</x:v>
      </x:c>
      <x:c r="E481" s="44" t="n">
        <x:f>C481*D481</x:f>
        <x:v>1587.85</x:v>
      </x:c>
      <x:c r="F481" s="40" t="n">
        <x:v>141.04</x:v>
      </x:c>
      <x:c r="G481" s="44" t="n">
        <x:f>C481*F481</x:f>
        <x:v>705.1999999999999</x:v>
      </x:c>
      <x:c r="H481" s="44" t="n">
        <x:f>E481-G481</x:f>
        <x:v>882.65</x:v>
      </x:c>
      <x:c r="I481" s="14" t="str">
        <x:v>Internal Use</x:v>
      </x:c>
      <x:c r="J481" s="14" t="str">
        <x:v>Northeast</x:v>
      </x:c>
    </x:row>
    <x:row r="482">
      <x:c r="A482" s="50" t="n">
        <x:v>46214</x:v>
      </x:c>
      <x:c r="B482" s="14" t="str">
        <x:v>SKU-0121</x:v>
      </x:c>
      <x:c r="C482" s="52" t="n">
        <x:v>9</x:v>
      </x:c>
      <x:c r="D482" s="40" t="n">
        <x:v>118.91</x:v>
      </x:c>
      <x:c r="E482" s="44" t="n">
        <x:f>C482*D482</x:f>
        <x:v>1070.19</x:v>
      </x:c>
      <x:c r="F482" s="40" t="n">
        <x:v>88.98</x:v>
      </x:c>
      <x:c r="G482" s="44" t="n">
        <x:f>C482*F482</x:f>
        <x:v>800.82</x:v>
      </x:c>
      <x:c r="H482" s="44" t="n">
        <x:f>E482-G482</x:f>
        <x:v>269.37</x:v>
      </x:c>
      <x:c r="I482" s="14" t="str">
        <x:v>Internal Use</x:v>
      </x:c>
      <x:c r="J482" s="14" t="str">
        <x:v>Southeast</x:v>
      </x:c>
    </x:row>
    <x:row r="483">
      <x:c r="A483" s="50" t="n">
        <x:v>45987</x:v>
      </x:c>
      <x:c r="B483" s="14" t="str">
        <x:v>SKU-0059</x:v>
      </x:c>
      <x:c r="C483" s="52" t="n">
        <x:v>8</x:v>
      </x:c>
      <x:c r="D483" s="40" t="n">
        <x:v>348.22</x:v>
      </x:c>
      <x:c r="E483" s="44" t="n">
        <x:f>C483*D483</x:f>
        <x:v>2785.76</x:v>
      </x:c>
      <x:c r="F483" s="40" t="n">
        <x:v>247.15</x:v>
      </x:c>
      <x:c r="G483" s="44" t="n">
        <x:f>C483*F483</x:f>
        <x:v>1977.2</x:v>
      </x:c>
      <x:c r="H483" s="44" t="n">
        <x:f>E483-G483</x:f>
        <x:v>808.5600000000002</x:v>
      </x:c>
      <x:c r="I483" s="14" t="str">
        <x:v>Internal Use</x:v>
      </x:c>
      <x:c r="J483" s="14" t="str">
        <x:v>West</x:v>
      </x:c>
    </x:row>
    <x:row r="484">
      <x:c r="A484" s="50" t="n">
        <x:v>45923</x:v>
      </x:c>
      <x:c r="B484" s="14" t="str">
        <x:v>SKU-0088</x:v>
      </x:c>
      <x:c r="C484" s="52" t="n">
        <x:v>6</x:v>
      </x:c>
      <x:c r="D484" s="40" t="n">
        <x:v>38.46</x:v>
      </x:c>
      <x:c r="E484" s="44" t="n">
        <x:f>C484*D484</x:f>
        <x:v>230.76</x:v>
      </x:c>
      <x:c r="F484" s="40" t="n">
        <x:v>21.49</x:v>
      </x:c>
      <x:c r="G484" s="44" t="n">
        <x:f>C484*F484</x:f>
        <x:v>128.94</x:v>
      </x:c>
      <x:c r="H484" s="44" t="n">
        <x:f>E484-G484</x:f>
        <x:v>101.82</x:v>
      </x:c>
      <x:c r="I484" s="14" t="str">
        <x:v>Internal Use</x:v>
      </x:c>
      <x:c r="J484" s="14" t="str">
        <x:v>Southeast</x:v>
      </x:c>
    </x:row>
    <x:row r="485">
      <x:c r="A485" s="50" t="n">
        <x:v>46110</x:v>
      </x:c>
      <x:c r="B485" s="14" t="str">
        <x:v>SKU-0113</x:v>
      </x:c>
      <x:c r="C485" s="52" t="n">
        <x:v>3</x:v>
      </x:c>
      <x:c r="D485" s="40" t="n">
        <x:v>280.28</x:v>
      </x:c>
      <x:c r="E485" s="44" t="n">
        <x:f>C485*D485</x:f>
        <x:v>840.8399999999999</x:v>
      </x:c>
      <x:c r="F485" s="40" t="n">
        <x:v>222.58</x:v>
      </x:c>
      <x:c r="G485" s="44" t="n">
        <x:f>C485*F485</x:f>
        <x:v>667.74</x:v>
      </x:c>
      <x:c r="H485" s="44" t="n">
        <x:f>E485-G485</x:f>
        <x:v>173.0999999999999</x:v>
      </x:c>
      <x:c r="I485" s="14" t="str">
        <x:v>Distributor</x:v>
      </x:c>
      <x:c r="J485" s="14" t="str">
        <x:v>Midwest</x:v>
      </x:c>
    </x:row>
    <x:row r="486">
      <x:c r="A486" s="50" t="n">
        <x:v>46094</x:v>
      </x:c>
      <x:c r="B486" s="14" t="str">
        <x:v>SKU-0058</x:v>
      </x:c>
      <x:c r="C486" s="52" t="n">
        <x:v>5</x:v>
      </x:c>
      <x:c r="D486" s="40" t="n">
        <x:v>380.42</x:v>
      </x:c>
      <x:c r="E486" s="44" t="n">
        <x:f>C486*D486</x:f>
        <x:v>1902.1000000000001</x:v>
      </x:c>
      <x:c r="F486" s="40" t="n">
        <x:v>226.78</x:v>
      </x:c>
      <x:c r="G486" s="44" t="n">
        <x:f>C486*F486</x:f>
        <x:v>1133.9</x:v>
      </x:c>
      <x:c r="H486" s="44" t="n">
        <x:f>E486-G486</x:f>
        <x:v>768.2</x:v>
      </x:c>
      <x:c r="I486" s="14" t="str">
        <x:v>Distributor</x:v>
      </x:c>
      <x:c r="J486" s="14" t="str">
        <x:v>Midwest</x:v>
      </x:c>
    </x:row>
    <x:row r="487">
      <x:c r="A487" s="50" t="n">
        <x:v>46170</x:v>
      </x:c>
      <x:c r="B487" s="14" t="str">
        <x:v>SKU-0006</x:v>
      </x:c>
      <x:c r="C487" s="52" t="n">
        <x:v>4</x:v>
      </x:c>
      <x:c r="D487" s="40" t="n">
        <x:v>293.18</x:v>
      </x:c>
      <x:c r="E487" s="44" t="n">
        <x:f>C487*D487</x:f>
        <x:v>1172.72</x:v>
      </x:c>
      <x:c r="F487" s="40" t="n">
        <x:v>241.37</x:v>
      </x:c>
      <x:c r="G487" s="44" t="n">
        <x:f>C487*F487</x:f>
        <x:v>965.48</x:v>
      </x:c>
      <x:c r="H487" s="44" t="n">
        <x:f>E487-G487</x:f>
        <x:v>207.24</x:v>
      </x:c>
      <x:c r="I487" s="14" t="str">
        <x:v>Internal Use</x:v>
      </x:c>
      <x:c r="J487" s="14" t="str">
        <x:v>West</x:v>
      </x:c>
    </x:row>
    <x:row r="488">
      <x:c r="A488" s="50" t="n">
        <x:v>46080</x:v>
      </x:c>
      <x:c r="B488" s="14" t="str">
        <x:v>SKU-0053</x:v>
      </x:c>
      <x:c r="C488" s="52" t="n">
        <x:v>3</x:v>
      </x:c>
      <x:c r="D488" s="40" t="n">
        <x:v>400.05</x:v>
      </x:c>
      <x:c r="E488" s="44" t="n">
        <x:f>C488*D488</x:f>
        <x:v>1200.15</x:v>
      </x:c>
      <x:c r="F488" s="40" t="n">
        <x:v>235.39</x:v>
      </x:c>
      <x:c r="G488" s="44" t="n">
        <x:f>C488*F488</x:f>
        <x:v>706.17</x:v>
      </x:c>
      <x:c r="H488" s="44" t="n">
        <x:f>E488-G488</x:f>
        <x:v>493.98000000000013</x:v>
      </x:c>
      <x:c r="I488" s="14" t="str">
        <x:v>Distributor</x:v>
      </x:c>
      <x:c r="J488" s="14" t="str">
        <x:v>West</x:v>
      </x:c>
    </x:row>
    <x:row r="489">
      <x:c r="A489" s="50" t="n">
        <x:v>45927</x:v>
      </x:c>
      <x:c r="B489" s="14" t="str">
        <x:v>SKU-0078</x:v>
      </x:c>
      <x:c r="C489" s="52" t="n">
        <x:v>2</x:v>
      </x:c>
      <x:c r="D489" s="40" t="n">
        <x:v>26.53</x:v>
      </x:c>
      <x:c r="E489" s="44" t="n">
        <x:f>C489*D489</x:f>
        <x:v>53.06</x:v>
      </x:c>
      <x:c r="F489" s="40" t="n">
        <x:v>17.54</x:v>
      </x:c>
      <x:c r="G489" s="44" t="n">
        <x:f>C489*F489</x:f>
        <x:v>35.08</x:v>
      </x:c>
      <x:c r="H489" s="44" t="n">
        <x:f>E489-G489</x:f>
        <x:v>17.980000000000004</x:v>
      </x:c>
      <x:c r="I489" s="14" t="str">
        <x:v>Internal Use</x:v>
      </x:c>
      <x:c r="J489" s="14" t="str">
        <x:v>Northeast</x:v>
      </x:c>
    </x:row>
    <x:row r="490">
      <x:c r="A490" s="50" t="n">
        <x:v>45981</x:v>
      </x:c>
      <x:c r="B490" s="14" t="str">
        <x:v>SKU-0048</x:v>
      </x:c>
      <x:c r="C490" s="52" t="n">
        <x:v>6</x:v>
      </x:c>
      <x:c r="D490" s="40" t="n">
        <x:v>441.61</x:v>
      </x:c>
      <x:c r="E490" s="44" t="n">
        <x:f>C490*D490</x:f>
        <x:v>2649.66</x:v>
      </x:c>
      <x:c r="F490" s="40" t="n">
        <x:v>211.59</x:v>
      </x:c>
      <x:c r="G490" s="44" t="n">
        <x:f>C490*F490</x:f>
        <x:v>1269.54</x:v>
      </x:c>
      <x:c r="H490" s="44" t="n">
        <x:f>E490-G490</x:f>
        <x:v>1380.12</x:v>
      </x:c>
      <x:c r="I490" s="14" t="str">
        <x:v>Enterprise</x:v>
      </x:c>
      <x:c r="J490" s="14" t="str">
        <x:v>West</x:v>
      </x:c>
    </x:row>
    <x:row r="491">
      <x:c r="A491" s="50" t="n">
        <x:v>46068</x:v>
      </x:c>
      <x:c r="B491" s="14" t="str">
        <x:v>SKU-0015</x:v>
      </x:c>
      <x:c r="C491" s="52" t="n">
        <x:v>9</x:v>
      </x:c>
      <x:c r="D491" s="40" t="n">
        <x:v>281.2</x:v>
      </x:c>
      <x:c r="E491" s="44" t="n">
        <x:f>C491*D491</x:f>
        <x:v>2530.7999999999997</x:v>
      </x:c>
      <x:c r="F491" s="40" t="n">
        <x:v>185.37</x:v>
      </x:c>
      <x:c r="G491" s="44" t="n">
        <x:f>C491*F491</x:f>
        <x:v>1668.33</x:v>
      </x:c>
      <x:c r="H491" s="44" t="n">
        <x:f>E491-G491</x:f>
        <x:v>862.4699999999998</x:v>
      </x:c>
      <x:c r="I491" s="14" t="str">
        <x:v>Internal Use</x:v>
      </x:c>
      <x:c r="J491" s="14" t="str">
        <x:v>West</x:v>
      </x:c>
    </x:row>
    <x:row r="492">
      <x:c r="A492" s="50" t="n">
        <x:v>45936</x:v>
      </x:c>
      <x:c r="B492" s="14" t="str">
        <x:v>SKU-0041</x:v>
      </x:c>
      <x:c r="C492" s="52" t="n">
        <x:v>3</x:v>
      </x:c>
      <x:c r="D492" s="40" t="n">
        <x:v>209.22</x:v>
      </x:c>
      <x:c r="E492" s="44" t="n">
        <x:f>C492*D492</x:f>
        <x:v>627.66</x:v>
      </x:c>
      <x:c r="F492" s="40" t="n">
        <x:v>117.51</x:v>
      </x:c>
      <x:c r="G492" s="44" t="n">
        <x:f>C492*F492</x:f>
        <x:v>352.53000000000003</x:v>
      </x:c>
      <x:c r="H492" s="44" t="n">
        <x:f>E492-G492</x:f>
        <x:v>275.12999999999994</x:v>
      </x:c>
      <x:c r="I492" s="14" t="str">
        <x:v>Internal Use</x:v>
      </x:c>
      <x:c r="J492" s="14" t="str">
        <x:v>Southeast</x:v>
      </x:c>
    </x:row>
    <x:row r="493">
      <x:c r="A493" s="50" t="n">
        <x:v>45985</x:v>
      </x:c>
      <x:c r="B493" s="14" t="str">
        <x:v>SKU-0034</x:v>
      </x:c>
      <x:c r="C493" s="52" t="n">
        <x:v>2</x:v>
      </x:c>
      <x:c r="D493" s="40" t="n">
        <x:v>79.89</x:v>
      </x:c>
      <x:c r="E493" s="44" t="n">
        <x:f>C493*D493</x:f>
        <x:v>159.78</x:v>
      </x:c>
      <x:c r="F493" s="40" t="n">
        <x:v>34.51</x:v>
      </x:c>
      <x:c r="G493" s="44" t="n">
        <x:f>C493*F493</x:f>
        <x:v>69.02</x:v>
      </x:c>
      <x:c r="H493" s="44" t="n">
        <x:f>E493-G493</x:f>
        <x:v>90.76</x:v>
      </x:c>
      <x:c r="I493" s="14" t="str">
        <x:v>SMB</x:v>
      </x:c>
      <x:c r="J493" s="14" t="str">
        <x:v>Midwest</x:v>
      </x:c>
    </x:row>
    <x:row r="494">
      <x:c r="A494" s="50" t="n">
        <x:v>46137</x:v>
      </x:c>
      <x:c r="B494" s="14" t="str">
        <x:v>SKU-0052</x:v>
      </x:c>
      <x:c r="C494" s="52" t="n">
        <x:v>15</x:v>
      </x:c>
      <x:c r="D494" s="40" t="n">
        <x:v>244.85</x:v>
      </x:c>
      <x:c r="E494" s="44" t="n">
        <x:f>C494*D494</x:f>
        <x:v>3672.75</x:v>
      </x:c>
      <x:c r="F494" s="40" t="n">
        <x:v>210.35</x:v>
      </x:c>
      <x:c r="G494" s="44" t="n">
        <x:f>C494*F494</x:f>
        <x:v>3155.25</x:v>
      </x:c>
      <x:c r="H494" s="44" t="n">
        <x:f>E494-G494</x:f>
        <x:v>517.5</x:v>
      </x:c>
      <x:c r="I494" s="14" t="str">
        <x:v>SMB</x:v>
      </x:c>
      <x:c r="J494" s="14" t="str">
        <x:v>West</x:v>
      </x:c>
    </x:row>
    <x:row r="495">
      <x:c r="A495" s="50" t="n">
        <x:v>46084</x:v>
      </x:c>
      <x:c r="B495" s="14" t="str">
        <x:v>SKU-0017</x:v>
      </x:c>
      <x:c r="C495" s="52" t="n">
        <x:v>10</x:v>
      </x:c>
      <x:c r="D495" s="40" t="n">
        <x:v>151.28</x:v>
      </x:c>
      <x:c r="E495" s="44" t="n">
        <x:f>C495*D495</x:f>
        <x:v>1512.8</x:v>
      </x:c>
      <x:c r="F495" s="40" t="n">
        <x:v>71.82</x:v>
      </x:c>
      <x:c r="G495" s="44" t="n">
        <x:f>C495*F495</x:f>
        <x:v>718.1999999999999</x:v>
      </x:c>
      <x:c r="H495" s="44" t="n">
        <x:f>E495-G495</x:f>
        <x:v>794.6</x:v>
      </x:c>
      <x:c r="I495" s="14" t="str">
        <x:v>Internal Use</x:v>
      </x:c>
      <x:c r="J495" s="14" t="str">
        <x:v>West</x:v>
      </x:c>
    </x:row>
    <x:row r="496">
      <x:c r="A496" s="50" t="n">
        <x:v>46174</x:v>
      </x:c>
      <x:c r="B496" s="14" t="str">
        <x:v>SKU-0119</x:v>
      </x:c>
      <x:c r="C496" s="52" t="n">
        <x:v>107</x:v>
      </x:c>
      <x:c r="D496" s="40" t="n">
        <x:v>92.87</x:v>
      </x:c>
      <x:c r="E496" s="44" t="n">
        <x:f>C496*D496</x:f>
        <x:v>9937.09</x:v>
      </x:c>
      <x:c r="F496" s="40" t="n">
        <x:v>52.57</x:v>
      </x:c>
      <x:c r="G496" s="44" t="n">
        <x:f>C496*F496</x:f>
        <x:v>5624.99</x:v>
      </x:c>
      <x:c r="H496" s="44" t="n">
        <x:f>E496-G496</x:f>
        <x:v>4312.1</x:v>
      </x:c>
      <x:c r="I496" s="14" t="str">
        <x:v>Distributor</x:v>
      </x:c>
      <x:c r="J496" s="14" t="str">
        <x:v>West</x:v>
      </x:c>
    </x:row>
    <x:row r="497">
      <x:c r="A497" s="50" t="n">
        <x:v>46092</x:v>
      </x:c>
      <x:c r="B497" s="14" t="str">
        <x:v>SKU-0045</x:v>
      </x:c>
      <x:c r="C497" s="52" t="n">
        <x:v>16</x:v>
      </x:c>
      <x:c r="D497" s="40" t="n">
        <x:v>110.88</x:v>
      </x:c>
      <x:c r="E497" s="44" t="n">
        <x:f>C497*D497</x:f>
        <x:v>1774.08</x:v>
      </x:c>
      <x:c r="F497" s="40" t="n">
        <x:v>68.89</x:v>
      </x:c>
      <x:c r="G497" s="44" t="n">
        <x:f>C497*F497</x:f>
        <x:v>1102.24</x:v>
      </x:c>
      <x:c r="H497" s="44" t="n">
        <x:f>E497-G497</x:f>
        <x:v>671.8399999999999</x:v>
      </x:c>
      <x:c r="I497" s="14" t="str">
        <x:v>SMB</x:v>
      </x:c>
      <x:c r="J497" s="14" t="str">
        <x:v>Northeast</x:v>
      </x:c>
    </x:row>
    <x:row r="498">
      <x:c r="A498" s="50" t="n">
        <x:v>46237</x:v>
      </x:c>
      <x:c r="B498" s="14" t="str">
        <x:v>SKU-0101</x:v>
      </x:c>
      <x:c r="C498" s="52" t="n">
        <x:v>20</x:v>
      </x:c>
      <x:c r="D498" s="40" t="n">
        <x:v>82.9</x:v>
      </x:c>
      <x:c r="E498" s="44" t="n">
        <x:f>C498*D498</x:f>
        <x:v>1658</x:v>
      </x:c>
      <x:c r="F498" s="40" t="n">
        <x:v>63.93</x:v>
      </x:c>
      <x:c r="G498" s="44" t="n">
        <x:f>C498*F498</x:f>
        <x:v>1278.6</x:v>
      </x:c>
      <x:c r="H498" s="44" t="n">
        <x:f>E498-G498</x:f>
        <x:v>379.4000000000001</x:v>
      </x:c>
      <x:c r="I498" s="14" t="str">
        <x:v>Distributor</x:v>
      </x:c>
      <x:c r="J498" s="14" t="str">
        <x:v>Midwest</x:v>
      </x:c>
    </x:row>
    <x:row r="499">
      <x:c r="A499" s="50" t="n">
        <x:v>46237</x:v>
      </x:c>
      <x:c r="B499" s="14" t="str">
        <x:v>SKU-0018</x:v>
      </x:c>
      <x:c r="C499" s="52" t="n">
        <x:v>23</x:v>
      </x:c>
      <x:c r="D499" s="40" t="n">
        <x:v>78.86</x:v>
      </x:c>
      <x:c r="E499" s="44" t="n">
        <x:f>C499*D499</x:f>
        <x:v>1813.78</x:v>
      </x:c>
      <x:c r="F499" s="40" t="n">
        <x:v>48.65</x:v>
      </x:c>
      <x:c r="G499" s="44" t="n">
        <x:f>C499*F499</x:f>
        <x:v>1118.95</x:v>
      </x:c>
      <x:c r="H499" s="44" t="n">
        <x:f>E499-G499</x:f>
        <x:v>694.8299999999999</x:v>
      </x:c>
      <x:c r="I499" s="14" t="str">
        <x:v>Enterprise</x:v>
      </x:c>
      <x:c r="J499" s="14" t="str">
        <x:v>Midwest</x:v>
      </x:c>
    </x:row>
    <x:row r="500">
      <x:c r="A500" s="50" t="n">
        <x:v>45933</x:v>
      </x:c>
      <x:c r="B500" s="14" t="str">
        <x:v>SKU-0020</x:v>
      </x:c>
      <x:c r="C500" s="52" t="n">
        <x:v>9</x:v>
      </x:c>
      <x:c r="D500" s="40" t="n">
        <x:v>260.21</x:v>
      </x:c>
      <x:c r="E500" s="44" t="n">
        <x:f>C500*D500</x:f>
        <x:v>2341.89</x:v>
      </x:c>
      <x:c r="F500" s="40" t="n">
        <x:v>163.22</x:v>
      </x:c>
      <x:c r="G500" s="44" t="n">
        <x:f>C500*F500</x:f>
        <x:v>1468.98</x:v>
      </x:c>
      <x:c r="H500" s="44" t="n">
        <x:f>E500-G500</x:f>
        <x:v>872.9099999999999</x:v>
      </x:c>
      <x:c r="I500" s="14" t="str">
        <x:v>SMB</x:v>
      </x:c>
      <x:c r="J500" s="14" t="str">
        <x:v>Midwest</x:v>
      </x:c>
    </x:row>
    <x:row r="501">
      <x:c r="A501" s="50" t="n">
        <x:v>46139</x:v>
      </x:c>
      <x:c r="B501" s="14" t="str">
        <x:v>SKU-0054</x:v>
      </x:c>
      <x:c r="C501" s="52" t="n">
        <x:v>16</x:v>
      </x:c>
      <x:c r="D501" s="40" t="n">
        <x:v>82.4</x:v>
      </x:c>
      <x:c r="E501" s="44" t="n">
        <x:f>C501*D501</x:f>
        <x:v>1318.4</x:v>
      </x:c>
      <x:c r="F501" s="40" t="n">
        <x:v>49.06</x:v>
      </x:c>
      <x:c r="G501" s="44" t="n">
        <x:f>C501*F501</x:f>
        <x:v>784.96</x:v>
      </x:c>
      <x:c r="H501" s="44" t="n">
        <x:f>E501-G501</x:f>
        <x:v>533.44</x:v>
      </x:c>
      <x:c r="I501" s="14" t="str">
        <x:v>Distributor</x:v>
      </x:c>
      <x:c r="J501" s="14" t="str">
        <x:v>West</x:v>
      </x:c>
    </x:row>
    <x:row r="502">
      <x:c r="A502" s="50" t="n">
        <x:v>46083</x:v>
      </x:c>
      <x:c r="B502" s="14" t="str">
        <x:v>SKU-0050</x:v>
      </x:c>
      <x:c r="C502" s="52" t="n">
        <x:v>3</x:v>
      </x:c>
      <x:c r="D502" s="40" t="n">
        <x:v>331.74</x:v>
      </x:c>
      <x:c r="E502" s="44" t="n">
        <x:f>C502*D502</x:f>
        <x:v>995.22</x:v>
      </x:c>
      <x:c r="F502" s="40" t="n">
        <x:v>150.72</x:v>
      </x:c>
      <x:c r="G502" s="44" t="n">
        <x:f>C502*F502</x:f>
        <x:v>452.15999999999997</x:v>
      </x:c>
      <x:c r="H502" s="44" t="n">
        <x:f>E502-G502</x:f>
        <x:v>543.0600000000001</x:v>
      </x:c>
      <x:c r="I502" s="14" t="str">
        <x:v>SMB</x:v>
      </x:c>
      <x:c r="J502" s="14" t="str">
        <x:v>Midwest</x:v>
      </x:c>
    </x:row>
    <x:row r="503">
      <x:c r="A503" s="50" t="n">
        <x:v>46128</x:v>
      </x:c>
      <x:c r="B503" s="14" t="str">
        <x:v>SKU-0119</x:v>
      </x:c>
      <x:c r="C503" s="52" t="n">
        <x:v>8</x:v>
      </x:c>
      <x:c r="D503" s="40" t="n">
        <x:v>97.41</x:v>
      </x:c>
      <x:c r="E503" s="44" t="n">
        <x:f>C503*D503</x:f>
        <x:v>779.28</x:v>
      </x:c>
      <x:c r="F503" s="40" t="n">
        <x:v>52.57</x:v>
      </x:c>
      <x:c r="G503" s="44" t="n">
        <x:f>C503*F503</x:f>
        <x:v>420.56</x:v>
      </x:c>
      <x:c r="H503" s="44" t="n">
        <x:f>E503-G503</x:f>
        <x:v>358.71999999999997</x:v>
      </x:c>
      <x:c r="I503" s="14" t="str">
        <x:v>Internal Use</x:v>
      </x:c>
      <x:c r="J503" s="14" t="str">
        <x:v>Southeast</x:v>
      </x:c>
    </x:row>
    <x:row r="504">
      <x:c r="A504" s="50" t="n">
        <x:v>46022</x:v>
      </x:c>
      <x:c r="B504" s="14" t="str">
        <x:v>SKU-0121</x:v>
      </x:c>
      <x:c r="C504" s="52" t="n">
        <x:v>15</x:v>
      </x:c>
      <x:c r="D504" s="40" t="n">
        <x:v>116.37</x:v>
      </x:c>
      <x:c r="E504" s="44" t="n">
        <x:f>C504*D504</x:f>
        <x:v>1745.5500000000002</x:v>
      </x:c>
      <x:c r="F504" s="40" t="n">
        <x:v>88.98</x:v>
      </x:c>
      <x:c r="G504" s="44" t="n">
        <x:f>C504*F504</x:f>
        <x:v>1334.7</x:v>
      </x:c>
      <x:c r="H504" s="44" t="n">
        <x:f>E504-G504</x:f>
        <x:v>410.85000000000014</x:v>
      </x:c>
      <x:c r="I504" s="14" t="str">
        <x:v>Enterprise</x:v>
      </x:c>
      <x:c r="J504" s="14" t="str">
        <x:v>Southeast</x:v>
      </x:c>
    </x:row>
    <x:row r="505">
      <x:c r="A505" s="50" t="n">
        <x:v>45943</x:v>
      </x:c>
      <x:c r="B505" s="14" t="str">
        <x:v>SKU-0076</x:v>
      </x:c>
      <x:c r="C505" s="52" t="n">
        <x:v>9</x:v>
      </x:c>
      <x:c r="D505" s="40" t="n">
        <x:v>184.54</x:v>
      </x:c>
      <x:c r="E505" s="44" t="n">
        <x:f>C505*D505</x:f>
        <x:v>1660.86</x:v>
      </x:c>
      <x:c r="F505" s="40" t="n">
        <x:v>132.93</x:v>
      </x:c>
      <x:c r="G505" s="44" t="n">
        <x:f>C505*F505</x:f>
        <x:v>1196.3700000000001</x:v>
      </x:c>
      <x:c r="H505" s="44" t="n">
        <x:f>E505-G505</x:f>
        <x:v>464.4899999999998</x:v>
      </x:c>
      <x:c r="I505" s="14" t="str">
        <x:v>Enterprise</x:v>
      </x:c>
      <x:c r="J505" s="14" t="str">
        <x:v>Midwest</x:v>
      </x:c>
    </x:row>
    <x:row r="506">
      <x:c r="A506" s="50" t="n">
        <x:v>46105</x:v>
      </x:c>
      <x:c r="B506" s="14" t="str">
        <x:v>SKU-0040</x:v>
      </x:c>
      <x:c r="C506" s="52" t="n">
        <x:v>7</x:v>
      </x:c>
      <x:c r="D506" s="40" t="n">
        <x:v>400.03</x:v>
      </x:c>
      <x:c r="E506" s="44" t="n">
        <x:f>C506*D506</x:f>
        <x:v>2800.21</x:v>
      </x:c>
      <x:c r="F506" s="40" t="n">
        <x:v>229.61</x:v>
      </x:c>
      <x:c r="G506" s="44" t="n">
        <x:f>C506*F506</x:f>
        <x:v>1607.27</x:v>
      </x:c>
      <x:c r="H506" s="44" t="n">
        <x:f>E506-G506</x:f>
        <x:v>1192.94</x:v>
      </x:c>
      <x:c r="I506" s="14" t="str">
        <x:v>SMB</x:v>
      </x:c>
      <x:c r="J506" s="14" t="str">
        <x:v>West</x:v>
      </x:c>
    </x:row>
    <x:row r="507">
      <x:c r="A507" s="50" t="n">
        <x:v>46205</x:v>
      </x:c>
      <x:c r="B507" s="14" t="str">
        <x:v>SKU-0013</x:v>
      </x:c>
      <x:c r="C507" s="52" t="n">
        <x:v>29</x:v>
      </x:c>
      <x:c r="D507" s="40" t="n">
        <x:v>39.4</x:v>
      </x:c>
      <x:c r="E507" s="44" t="n">
        <x:f>C507*D507</x:f>
        <x:v>1142.6</x:v>
      </x:c>
      <x:c r="F507" s="40" t="n">
        <x:v>22.2</x:v>
      </x:c>
      <x:c r="G507" s="44" t="n">
        <x:f>C507*F507</x:f>
        <x:v>643.8</x:v>
      </x:c>
      <x:c r="H507" s="44" t="n">
        <x:f>E507-G507</x:f>
        <x:v>498.79999999999995</x:v>
      </x:c>
      <x:c r="I507" s="14" t="str">
        <x:v>Enterprise</x:v>
      </x:c>
      <x:c r="J507" s="14" t="str">
        <x:v>West</x:v>
      </x:c>
    </x:row>
    <x:row r="508">
      <x:c r="A508" s="50" t="n">
        <x:v>46107</x:v>
      </x:c>
      <x:c r="B508" s="14" t="str">
        <x:v>SKU-0079</x:v>
      </x:c>
      <x:c r="C508" s="52" t="n">
        <x:v>44</x:v>
      </x:c>
      <x:c r="D508" s="40" t="n">
        <x:v>238.5</x:v>
      </x:c>
      <x:c r="E508" s="44" t="n">
        <x:f>C508*D508</x:f>
        <x:v>10494</x:v>
      </x:c>
      <x:c r="F508" s="40" t="n">
        <x:v>124.08</x:v>
      </x:c>
      <x:c r="G508" s="44" t="n">
        <x:f>C508*F508</x:f>
        <x:v>5459.5199999999995</x:v>
      </x:c>
      <x:c r="H508" s="44" t="n">
        <x:f>E508-G508</x:f>
        <x:v>5034.4800000000005</x:v>
      </x:c>
      <x:c r="I508" s="14" t="str">
        <x:v>Distributor</x:v>
      </x:c>
      <x:c r="J508" s="14" t="str">
        <x:v>Southeast</x:v>
      </x:c>
    </x:row>
    <x:row r="509">
      <x:c r="A509" s="50" t="n">
        <x:v>45926</x:v>
      </x:c>
      <x:c r="B509" s="14" t="str">
        <x:v>SKU-0052</x:v>
      </x:c>
      <x:c r="C509" s="52" t="n">
        <x:v>11</x:v>
      </x:c>
      <x:c r="D509" s="40" t="n">
        <x:v>274.74</x:v>
      </x:c>
      <x:c r="E509" s="44" t="n">
        <x:f>C509*D509</x:f>
        <x:v>3022.1400000000003</x:v>
      </x:c>
      <x:c r="F509" s="40" t="n">
        <x:v>210.35</x:v>
      </x:c>
      <x:c r="G509" s="44" t="n">
        <x:f>C509*F509</x:f>
        <x:v>2313.85</x:v>
      </x:c>
      <x:c r="H509" s="44" t="n">
        <x:f>E509-G509</x:f>
        <x:v>708.2900000000004</x:v>
      </x:c>
      <x:c r="I509" s="14" t="str">
        <x:v>Enterprise</x:v>
      </x:c>
      <x:c r="J509" s="14" t="str">
        <x:v>Southeast</x:v>
      </x:c>
    </x:row>
    <x:row r="510">
      <x:c r="A510" s="50" t="n">
        <x:v>45902</x:v>
      </x:c>
      <x:c r="B510" s="14" t="str">
        <x:v>SKU-0043</x:v>
      </x:c>
      <x:c r="C510" s="52" t="n">
        <x:v>7</x:v>
      </x:c>
      <x:c r="D510" s="40" t="n">
        <x:v>385.99</x:v>
      </x:c>
      <x:c r="E510" s="44" t="n">
        <x:f>C510*D510</x:f>
        <x:v>2701.9300000000003</x:v>
      </x:c>
      <x:c r="F510" s="40" t="n">
        <x:v>224.89</x:v>
      </x:c>
      <x:c r="G510" s="44" t="n">
        <x:f>C510*F510</x:f>
        <x:v>1574.23</x:v>
      </x:c>
      <x:c r="H510" s="44" t="n">
        <x:f>E510-G510</x:f>
        <x:v>1127.7000000000003</x:v>
      </x:c>
      <x:c r="I510" s="14" t="str">
        <x:v>SMB</x:v>
      </x:c>
      <x:c r="J510" s="14" t="str">
        <x:v>Southeast</x:v>
      </x:c>
    </x:row>
    <x:row r="511">
      <x:c r="A511" s="50" t="n">
        <x:v>46082</x:v>
      </x:c>
      <x:c r="B511" s="14" t="str">
        <x:v>SKU-0139</x:v>
      </x:c>
      <x:c r="C511" s="52" t="n">
        <x:v>4</x:v>
      </x:c>
      <x:c r="D511" s="40" t="n">
        <x:v>259.41</x:v>
      </x:c>
      <x:c r="E511" s="44" t="n">
        <x:f>C511*D511</x:f>
        <x:v>1037.64</x:v>
      </x:c>
      <x:c r="F511" s="40" t="n">
        <x:v>157.6</x:v>
      </x:c>
      <x:c r="G511" s="44" t="n">
        <x:f>C511*F511</x:f>
        <x:v>630.4</x:v>
      </x:c>
      <x:c r="H511" s="44" t="n">
        <x:f>E511-G511</x:f>
        <x:v>407.2400000000001</x:v>
      </x:c>
      <x:c r="I511" s="14" t="str">
        <x:v>Internal Use</x:v>
      </x:c>
      <x:c r="J511" s="14" t="str">
        <x:v>Midwest</x:v>
      </x:c>
    </x:row>
    <x:row r="512">
      <x:c r="A512" s="50" t="n">
        <x:v>46079</x:v>
      </x:c>
      <x:c r="B512" s="14" t="str">
        <x:v>SKU-0004</x:v>
      </x:c>
      <x:c r="C512" s="52" t="n">
        <x:v>5</x:v>
      </x:c>
      <x:c r="D512" s="40" t="n">
        <x:v>356.94</x:v>
      </x:c>
      <x:c r="E512" s="44" t="n">
        <x:f>C512*D512</x:f>
        <x:v>1784.7</x:v>
      </x:c>
      <x:c r="F512" s="40" t="n">
        <x:v>164.72</x:v>
      </x:c>
      <x:c r="G512" s="44" t="n">
        <x:f>C512*F512</x:f>
        <x:v>823.6</x:v>
      </x:c>
      <x:c r="H512" s="44" t="n">
        <x:f>E512-G512</x:f>
        <x:v>961.1</x:v>
      </x:c>
      <x:c r="I512" s="14" t="str">
        <x:v>Distributor</x:v>
      </x:c>
      <x:c r="J512" s="14" t="str">
        <x:v>Midwest</x:v>
      </x:c>
    </x:row>
    <x:row r="513">
      <x:c r="A513" s="50" t="n">
        <x:v>45914</x:v>
      </x:c>
      <x:c r="B513" s="14" t="str">
        <x:v>SKU-0012</x:v>
      </x:c>
      <x:c r="C513" s="52" t="n">
        <x:v>22</x:v>
      </x:c>
      <x:c r="D513" s="40" t="n">
        <x:v>400.31</x:v>
      </x:c>
      <x:c r="E513" s="44" t="n">
        <x:f>C513*D513</x:f>
        <x:v>8806.82</x:v>
      </x:c>
      <x:c r="F513" s="40" t="n">
        <x:v>252.14</x:v>
      </x:c>
      <x:c r="G513" s="44" t="n">
        <x:f>C513*F513</x:f>
        <x:v>5547.08</x:v>
      </x:c>
      <x:c r="H513" s="44" t="n">
        <x:f>E513-G513</x:f>
        <x:v>3259.74</x:v>
      </x:c>
      <x:c r="I513" s="14" t="str">
        <x:v>Internal Use</x:v>
      </x:c>
      <x:c r="J513" s="14" t="str">
        <x:v>Northeast</x:v>
      </x:c>
    </x:row>
    <x:row r="514">
      <x:c r="A514" s="50" t="n">
        <x:v>46171</x:v>
      </x:c>
      <x:c r="B514" s="14" t="str">
        <x:v>SKU-0138</x:v>
      </x:c>
      <x:c r="C514" s="52" t="n">
        <x:v>20</x:v>
      </x:c>
      <x:c r="D514" s="40" t="n">
        <x:v>430.64</x:v>
      </x:c>
      <x:c r="E514" s="44" t="n">
        <x:f>C514*D514</x:f>
        <x:v>8612.8</x:v>
      </x:c>
      <x:c r="F514" s="40" t="n">
        <x:v>186.65</x:v>
      </x:c>
      <x:c r="G514" s="44" t="n">
        <x:f>C514*F514</x:f>
        <x:v>3733</x:v>
      </x:c>
      <x:c r="H514" s="44" t="n">
        <x:f>E514-G514</x:f>
        <x:v>4879.799999999999</x:v>
      </x:c>
      <x:c r="I514" s="14" t="str">
        <x:v>SMB</x:v>
      </x:c>
      <x:c r="J514" s="14" t="str">
        <x:v>Midwest</x:v>
      </x:c>
    </x:row>
    <x:row r="515">
      <x:c r="A515" s="50" t="n">
        <x:v>46205</x:v>
      </x:c>
      <x:c r="B515" s="14" t="str">
        <x:v>SKU-0045</x:v>
      </x:c>
      <x:c r="C515" s="52" t="n">
        <x:v>28</x:v>
      </x:c>
      <x:c r="D515" s="40" t="n">
        <x:v>111.96</x:v>
      </x:c>
      <x:c r="E515" s="44" t="n">
        <x:f>C515*D515</x:f>
        <x:v>3134.8799999999997</x:v>
      </x:c>
      <x:c r="F515" s="40" t="n">
        <x:v>68.89</x:v>
      </x:c>
      <x:c r="G515" s="44" t="n">
        <x:f>C515*F515</x:f>
        <x:v>1928.92</x:v>
      </x:c>
      <x:c r="H515" s="44" t="n">
        <x:f>E515-G515</x:f>
        <x:v>1205.9599999999996</x:v>
      </x:c>
      <x:c r="I515" s="14" t="str">
        <x:v>Internal Use</x:v>
      </x:c>
      <x:c r="J515" s="14" t="str">
        <x:v>Northeast</x:v>
      </x:c>
    </x:row>
    <x:row r="516">
      <x:c r="A516" s="50" t="n">
        <x:v>45889</x:v>
      </x:c>
      <x:c r="B516" s="14" t="str">
        <x:v>SKU-0086</x:v>
      </x:c>
      <x:c r="C516" s="52" t="n">
        <x:v>12</x:v>
      </x:c>
      <x:c r="D516" s="40" t="n">
        <x:v>223.03</x:v>
      </x:c>
      <x:c r="E516" s="44" t="n">
        <x:f>C516*D516</x:f>
        <x:v>2676.36</x:v>
      </x:c>
      <x:c r="F516" s="40" t="n">
        <x:v>148.45</x:v>
      </x:c>
      <x:c r="G516" s="44" t="n">
        <x:f>C516*F516</x:f>
        <x:v>1781.3999999999999</x:v>
      </x:c>
      <x:c r="H516" s="44" t="n">
        <x:f>E516-G516</x:f>
        <x:v>894.9600000000003</x:v>
      </x:c>
      <x:c r="I516" s="14" t="str">
        <x:v>SMB</x:v>
      </x:c>
      <x:c r="J516" s="14" t="str">
        <x:v>Northeast</x:v>
      </x:c>
    </x:row>
    <x:row r="517">
      <x:c r="A517" s="50" t="n">
        <x:v>45890</x:v>
      </x:c>
      <x:c r="B517" s="14" t="str">
        <x:v>SKU-0060</x:v>
      </x:c>
      <x:c r="C517" s="52" t="n">
        <x:v>42</x:v>
      </x:c>
      <x:c r="D517" s="40" t="n">
        <x:v>115.93</x:v>
      </x:c>
      <x:c r="E517" s="44" t="n">
        <x:f>C517*D517</x:f>
        <x:v>4869.06</x:v>
      </x:c>
      <x:c r="F517" s="40" t="n">
        <x:v>61.36</x:v>
      </x:c>
      <x:c r="G517" s="44" t="n">
        <x:f>C517*F517</x:f>
        <x:v>2577.12</x:v>
      </x:c>
      <x:c r="H517" s="44" t="n">
        <x:f>E517-G517</x:f>
        <x:v>2291.9400000000005</x:v>
      </x:c>
      <x:c r="I517" s="14" t="str">
        <x:v>Internal Use</x:v>
      </x:c>
      <x:c r="J517" s="14" t="str">
        <x:v>Southeast</x:v>
      </x:c>
    </x:row>
    <x:row r="518">
      <x:c r="A518" s="50" t="n">
        <x:v>45910</x:v>
      </x:c>
      <x:c r="B518" s="14" t="str">
        <x:v>SKU-0021</x:v>
      </x:c>
      <x:c r="C518" s="52" t="n">
        <x:v>3</x:v>
      </x:c>
      <x:c r="D518" s="40" t="n">
        <x:v>317.74</x:v>
      </x:c>
      <x:c r="E518" s="44" t="n">
        <x:f>C518*D518</x:f>
        <x:v>953.22</x:v>
      </x:c>
      <x:c r="F518" s="40" t="n">
        <x:v>269.12</x:v>
      </x:c>
      <x:c r="G518" s="44" t="n">
        <x:f>C518*F518</x:f>
        <x:v>807.36</x:v>
      </x:c>
      <x:c r="H518" s="44" t="n">
        <x:f>E518-G518</x:f>
        <x:v>145.86</x:v>
      </x:c>
      <x:c r="I518" s="14" t="str">
        <x:v>Internal Use</x:v>
      </x:c>
      <x:c r="J518" s="14" t="str">
        <x:v>Southeast</x:v>
      </x:c>
    </x:row>
    <x:row r="519">
      <x:c r="A519" s="50" t="n">
        <x:v>46001</x:v>
      </x:c>
      <x:c r="B519" s="14" t="str">
        <x:v>SKU-0010</x:v>
      </x:c>
      <x:c r="C519" s="52" t="n">
        <x:v>38</x:v>
      </x:c>
      <x:c r="D519" s="40" t="n">
        <x:v>180.63</x:v>
      </x:c>
      <x:c r="E519" s="44" t="n">
        <x:f>C519*D519</x:f>
        <x:v>6863.94</x:v>
      </x:c>
      <x:c r="F519" s="40" t="n">
        <x:v>137.36</x:v>
      </x:c>
      <x:c r="G519" s="44" t="n">
        <x:f>C519*F519</x:f>
        <x:v>5219.68</x:v>
      </x:c>
      <x:c r="H519" s="44" t="n">
        <x:f>E519-G519</x:f>
        <x:v>1644.2599999999993</x:v>
      </x:c>
      <x:c r="I519" s="14" t="str">
        <x:v>Distributor</x:v>
      </x:c>
      <x:c r="J519" s="14" t="str">
        <x:v>Southeast</x:v>
      </x:c>
    </x:row>
    <x:row r="520">
      <x:c r="A520" s="50" t="n">
        <x:v>46042</x:v>
      </x:c>
      <x:c r="B520" s="14" t="str">
        <x:v>SKU-0072</x:v>
      </x:c>
      <x:c r="C520" s="52" t="n">
        <x:v>20</x:v>
      </x:c>
      <x:c r="D520" s="40" t="n">
        <x:v>267.87</x:v>
      </x:c>
      <x:c r="E520" s="44" t="n">
        <x:f>C520*D520</x:f>
        <x:v>5357.4</x:v>
      </x:c>
      <x:c r="F520" s="40" t="n">
        <x:v>153.62</x:v>
      </x:c>
      <x:c r="G520" s="44" t="n">
        <x:f>C520*F520</x:f>
        <x:v>3072.4</x:v>
      </x:c>
      <x:c r="H520" s="44" t="n">
        <x:f>E520-G520</x:f>
        <x:v>2284.9999999999995</x:v>
      </x:c>
      <x:c r="I520" s="14" t="str">
        <x:v>Internal Use</x:v>
      </x:c>
      <x:c r="J520" s="14" t="str">
        <x:v>Midwest</x:v>
      </x:c>
    </x:row>
    <x:row r="521">
      <x:c r="A521" s="50" t="n">
        <x:v>45997</x:v>
      </x:c>
      <x:c r="B521" s="14" t="str">
        <x:v>SKU-0007</x:v>
      </x:c>
      <x:c r="C521" s="52" t="n">
        <x:v>18</x:v>
      </x:c>
      <x:c r="D521" s="40" t="n">
        <x:v>180.59</x:v>
      </x:c>
      <x:c r="E521" s="44" t="n">
        <x:f>C521*D521</x:f>
        <x:v>3250.62</x:v>
      </x:c>
      <x:c r="F521" s="40" t="n">
        <x:v>123.15</x:v>
      </x:c>
      <x:c r="G521" s="44" t="n">
        <x:f>C521*F521</x:f>
        <x:v>2216.7000000000003</x:v>
      </x:c>
      <x:c r="H521" s="44" t="n">
        <x:f>E521-G521</x:f>
        <x:v>1033.9199999999996</x:v>
      </x:c>
      <x:c r="I521" s="14" t="str">
        <x:v>Enterprise</x:v>
      </x:c>
      <x:c r="J521" s="14" t="str">
        <x:v>Southeast</x:v>
      </x:c>
    </x:row>
    <x:row r="522">
      <x:c r="A522" s="50" t="n">
        <x:v>46191</x:v>
      </x:c>
      <x:c r="B522" s="14" t="str">
        <x:v>SKU-0057</x:v>
      </x:c>
      <x:c r="C522" s="52" t="n">
        <x:v>26</x:v>
      </x:c>
      <x:c r="D522" s="40" t="n">
        <x:v>168.71</x:v>
      </x:c>
      <x:c r="E522" s="44" t="n">
        <x:f>C522*D522</x:f>
        <x:v>4386.46</x:v>
      </x:c>
      <x:c r="F522" s="40" t="n">
        <x:v>122.8</x:v>
      </x:c>
      <x:c r="G522" s="44" t="n">
        <x:f>C522*F522</x:f>
        <x:v>3192.7999999999997</x:v>
      </x:c>
      <x:c r="H522" s="44" t="n">
        <x:f>E522-G522</x:f>
        <x:v>1193.6600000000003</x:v>
      </x:c>
      <x:c r="I522" s="14" t="str">
        <x:v>Enterprise</x:v>
      </x:c>
      <x:c r="J522" s="14" t="str">
        <x:v>Northeast</x:v>
      </x:c>
    </x:row>
    <x:row r="523">
      <x:c r="A523" s="50" t="n">
        <x:v>45915</x:v>
      </x:c>
      <x:c r="B523" s="14" t="str">
        <x:v>SKU-0126</x:v>
      </x:c>
      <x:c r="C523" s="52" t="n">
        <x:v>4</x:v>
      </x:c>
      <x:c r="D523" s="40" t="n">
        <x:v>16.75</x:v>
      </x:c>
      <x:c r="E523" s="44" t="n">
        <x:f>C523*D523</x:f>
        <x:v>67</x:v>
      </x:c>
      <x:c r="F523" s="40" t="n">
        <x:v>7.7</x:v>
      </x:c>
      <x:c r="G523" s="44" t="n">
        <x:f>C523*F523</x:f>
        <x:v>30.8</x:v>
      </x:c>
      <x:c r="H523" s="44" t="n">
        <x:f>E523-G523</x:f>
        <x:v>36.2</x:v>
      </x:c>
      <x:c r="I523" s="14" t="str">
        <x:v>SMB</x:v>
      </x:c>
      <x:c r="J523" s="14" t="str">
        <x:v>Southeast</x:v>
      </x:c>
    </x:row>
    <x:row r="524">
      <x:c r="A524" s="50" t="n">
        <x:v>45920</x:v>
      </x:c>
      <x:c r="B524" s="14" t="str">
        <x:v>SKU-0130</x:v>
      </x:c>
      <x:c r="C524" s="52" t="n">
        <x:v>7</x:v>
      </x:c>
      <x:c r="D524" s="40" t="n">
        <x:v>90.58</x:v>
      </x:c>
      <x:c r="E524" s="44" t="n">
        <x:f>C524*D524</x:f>
        <x:v>634.06</x:v>
      </x:c>
      <x:c r="F524" s="40" t="n">
        <x:v>73.53</x:v>
      </x:c>
      <x:c r="G524" s="44" t="n">
        <x:f>C524*F524</x:f>
        <x:v>514.71</x:v>
      </x:c>
      <x:c r="H524" s="44" t="n">
        <x:f>E524-G524</x:f>
        <x:v>119.34999999999991</x:v>
      </x:c>
      <x:c r="I524" s="14" t="str">
        <x:v>SMB</x:v>
      </x:c>
      <x:c r="J524" s="14" t="str">
        <x:v>Southeast</x:v>
      </x:c>
    </x:row>
    <x:row r="525">
      <x:c r="A525" s="50" t="n">
        <x:v>45970</x:v>
      </x:c>
      <x:c r="B525" s="14" t="str">
        <x:v>SKU-0109</x:v>
      </x:c>
      <x:c r="C525" s="52" t="n">
        <x:v>11</x:v>
      </x:c>
      <x:c r="D525" s="40" t="n">
        <x:v>151.96</x:v>
      </x:c>
      <x:c r="E525" s="44" t="n">
        <x:f>C525*D525</x:f>
        <x:v>1671.5600000000002</x:v>
      </x:c>
      <x:c r="F525" s="40" t="n">
        <x:v>119.32</x:v>
      </x:c>
      <x:c r="G525" s="44" t="n">
        <x:f>C525*F525</x:f>
        <x:v>1312.52</x:v>
      </x:c>
      <x:c r="H525" s="44" t="n">
        <x:f>E525-G525</x:f>
        <x:v>359.0400000000002</x:v>
      </x:c>
      <x:c r="I525" s="14" t="str">
        <x:v>SMB</x:v>
      </x:c>
      <x:c r="J525" s="14" t="str">
        <x:v>Midwest</x:v>
      </x:c>
    </x:row>
    <x:row r="526">
      <x:c r="A526" s="50" t="n">
        <x:v>45920</x:v>
      </x:c>
      <x:c r="B526" s="14" t="str">
        <x:v>SKU-0124</x:v>
      </x:c>
      <x:c r="C526" s="52" t="n">
        <x:v>23</x:v>
      </x:c>
      <x:c r="D526" s="40" t="n">
        <x:v>128.23</x:v>
      </x:c>
      <x:c r="E526" s="44" t="n">
        <x:f>C526*D526</x:f>
        <x:v>2949.29</x:v>
      </x:c>
      <x:c r="F526" s="40" t="n">
        <x:v>59.23</x:v>
      </x:c>
      <x:c r="G526" s="44" t="n">
        <x:f>C526*F526</x:f>
        <x:v>1362.29</x:v>
      </x:c>
      <x:c r="H526" s="44" t="n">
        <x:f>E526-G526</x:f>
        <x:v>1587</x:v>
      </x:c>
      <x:c r="I526" s="14" t="str">
        <x:v>Internal Use</x:v>
      </x:c>
      <x:c r="J526" s="14" t="str">
        <x:v>West</x:v>
      </x:c>
    </x:row>
    <x:row r="527">
      <x:c r="A527" s="50" t="n">
        <x:v>46138</x:v>
      </x:c>
      <x:c r="B527" s="14" t="str">
        <x:v>SKU-0109</x:v>
      </x:c>
      <x:c r="C527" s="52" t="n">
        <x:v>11</x:v>
      </x:c>
      <x:c r="D527" s="40" t="n">
        <x:v>142.25</x:v>
      </x:c>
      <x:c r="E527" s="44" t="n">
        <x:f>C527*D527</x:f>
        <x:v>1564.75</x:v>
      </x:c>
      <x:c r="F527" s="40" t="n">
        <x:v>119.32</x:v>
      </x:c>
      <x:c r="G527" s="44" t="n">
        <x:f>C527*F527</x:f>
        <x:v>1312.52</x:v>
      </x:c>
      <x:c r="H527" s="44" t="n">
        <x:f>E527-G527</x:f>
        <x:v>252.23000000000002</x:v>
      </x:c>
      <x:c r="I527" s="14" t="str">
        <x:v>Internal Use</x:v>
      </x:c>
      <x:c r="J527" s="14" t="str">
        <x:v>Northeast</x:v>
      </x:c>
    </x:row>
    <x:row r="528">
      <x:c r="A528" s="50" t="n">
        <x:v>46098</x:v>
      </x:c>
      <x:c r="B528" s="14" t="str">
        <x:v>SKU-0098</x:v>
      </x:c>
      <x:c r="C528" s="52" t="n">
        <x:v>37</x:v>
      </x:c>
      <x:c r="D528" s="40" t="n">
        <x:v>356.25</x:v>
      </x:c>
      <x:c r="E528" s="44" t="n">
        <x:f>C528*D528</x:f>
        <x:v>13181.25</x:v>
      </x:c>
      <x:c r="F528" s="40" t="n">
        <x:v>270.95</x:v>
      </x:c>
      <x:c r="G528" s="44" t="n">
        <x:f>C528*F528</x:f>
        <x:v>10025.15</x:v>
      </x:c>
      <x:c r="H528" s="44" t="n">
        <x:f>E528-G528</x:f>
        <x:v>3156.1000000000004</x:v>
      </x:c>
      <x:c r="I528" s="14" t="str">
        <x:v>SMB</x:v>
      </x:c>
      <x:c r="J528" s="14" t="str">
        <x:v>Midwest</x:v>
      </x:c>
    </x:row>
    <x:row r="529">
      <x:c r="A529" s="50" t="n">
        <x:v>46117</x:v>
      </x:c>
      <x:c r="B529" s="14" t="str">
        <x:v>SKU-0098</x:v>
      </x:c>
      <x:c r="C529" s="52" t="n">
        <x:v>6</x:v>
      </x:c>
      <x:c r="D529" s="40" t="n">
        <x:v>379.95</x:v>
      </x:c>
      <x:c r="E529" s="44" t="n">
        <x:f>C529*D529</x:f>
        <x:v>2279.7</x:v>
      </x:c>
      <x:c r="F529" s="40" t="n">
        <x:v>270.95</x:v>
      </x:c>
      <x:c r="G529" s="44" t="n">
        <x:f>C529*F529</x:f>
        <x:v>1625.6999999999998</x:v>
      </x:c>
      <x:c r="H529" s="44" t="n">
        <x:f>E529-G529</x:f>
        <x:v>654</x:v>
      </x:c>
      <x:c r="I529" s="14" t="str">
        <x:v>Internal Use</x:v>
      </x:c>
      <x:c r="J529" s="14" t="str">
        <x:v>Northeast</x:v>
      </x:c>
    </x:row>
    <x:row r="530">
      <x:c r="A530" s="50" t="n">
        <x:v>45949</x:v>
      </x:c>
      <x:c r="B530" s="14" t="str">
        <x:v>SKU-0086</x:v>
      </x:c>
      <x:c r="C530" s="52" t="n">
        <x:v>13</x:v>
      </x:c>
      <x:c r="D530" s="40" t="n">
        <x:v>241.68</x:v>
      </x:c>
      <x:c r="E530" s="44" t="n">
        <x:f>C530*D530</x:f>
        <x:v>3141.84</x:v>
      </x:c>
      <x:c r="F530" s="40" t="n">
        <x:v>148.45</x:v>
      </x:c>
      <x:c r="G530" s="44" t="n">
        <x:f>C530*F530</x:f>
        <x:v>1929.85</x:v>
      </x:c>
      <x:c r="H530" s="44" t="n">
        <x:f>E530-G530</x:f>
        <x:v>1211.9900000000002</x:v>
      </x:c>
      <x:c r="I530" s="14" t="str">
        <x:v>Enterprise</x:v>
      </x:c>
      <x:c r="J530" s="14" t="str">
        <x:v>Northeast</x:v>
      </x:c>
    </x:row>
    <x:row r="531">
      <x:c r="A531" s="50" t="n">
        <x:v>46071</x:v>
      </x:c>
      <x:c r="B531" s="14" t="str">
        <x:v>SKU-0129</x:v>
      </x:c>
      <x:c r="C531" s="52" t="n">
        <x:v>7</x:v>
      </x:c>
      <x:c r="D531" s="40" t="n">
        <x:v>305.28</x:v>
      </x:c>
      <x:c r="E531" s="44" t="n">
        <x:f>C531*D531</x:f>
        <x:v>2136.96</x:v>
      </x:c>
      <x:c r="F531" s="40" t="n">
        <x:v>178.22</x:v>
      </x:c>
      <x:c r="G531" s="44" t="n">
        <x:f>C531*F531</x:f>
        <x:v>1247.54</x:v>
      </x:c>
      <x:c r="H531" s="44" t="n">
        <x:f>E531-G531</x:f>
        <x:v>889.4200000000001</x:v>
      </x:c>
      <x:c r="I531" s="14" t="str">
        <x:v>Distributor</x:v>
      </x:c>
      <x:c r="J531" s="14" t="str">
        <x:v>West</x:v>
      </x:c>
    </x:row>
    <x:row r="532">
      <x:c r="A532" s="50" t="n">
        <x:v>46037</x:v>
      </x:c>
      <x:c r="B532" s="14" t="str">
        <x:v>SKU-0126</x:v>
      </x:c>
      <x:c r="C532" s="52" t="n">
        <x:v>14</x:v>
      </x:c>
      <x:c r="D532" s="40" t="n">
        <x:v>16.39</x:v>
      </x:c>
      <x:c r="E532" s="44" t="n">
        <x:f>C532*D532</x:f>
        <x:v>229.46</x:v>
      </x:c>
      <x:c r="F532" s="40" t="n">
        <x:v>7.7</x:v>
      </x:c>
      <x:c r="G532" s="44" t="n">
        <x:f>C532*F532</x:f>
        <x:v>107.8</x:v>
      </x:c>
      <x:c r="H532" s="44" t="n">
        <x:f>E532-G532</x:f>
        <x:v>121.66000000000001</x:v>
      </x:c>
      <x:c r="I532" s="14" t="str">
        <x:v>Enterprise</x:v>
      </x:c>
      <x:c r="J532" s="14" t="str">
        <x:v>Northeast</x:v>
      </x:c>
    </x:row>
    <x:row r="533">
      <x:c r="A533" s="50" t="n">
        <x:v>46169</x:v>
      </x:c>
      <x:c r="B533" s="14" t="str">
        <x:v>SKU-0099</x:v>
      </x:c>
      <x:c r="C533" s="52" t="n">
        <x:v>15</x:v>
      </x:c>
      <x:c r="D533" s="40" t="n">
        <x:v>207.77</x:v>
      </x:c>
      <x:c r="E533" s="44" t="n">
        <x:f>C533*D533</x:f>
        <x:v>3116.55</x:v>
      </x:c>
      <x:c r="F533" s="40" t="n">
        <x:v>104</x:v>
      </x:c>
      <x:c r="G533" s="44" t="n">
        <x:f>C533*F533</x:f>
        <x:v>1560</x:v>
      </x:c>
      <x:c r="H533" s="44" t="n">
        <x:f>E533-G533</x:f>
        <x:v>1556.5500000000002</x:v>
      </x:c>
      <x:c r="I533" s="14" t="str">
        <x:v>Distributor</x:v>
      </x:c>
      <x:c r="J533" s="14" t="str">
        <x:v>Northeast</x:v>
      </x:c>
    </x:row>
    <x:row r="534">
      <x:c r="A534" s="50" t="n">
        <x:v>46097</x:v>
      </x:c>
      <x:c r="B534" s="14" t="str">
        <x:v>SKU-0099</x:v>
      </x:c>
      <x:c r="C534" s="52" t="n">
        <x:v>13</x:v>
      </x:c>
      <x:c r="D534" s="40" t="n">
        <x:v>186.88</x:v>
      </x:c>
      <x:c r="E534" s="44" t="n">
        <x:f>C534*D534</x:f>
        <x:v>2429.44</x:v>
      </x:c>
      <x:c r="F534" s="40" t="n">
        <x:v>104</x:v>
      </x:c>
      <x:c r="G534" s="44" t="n">
        <x:f>C534*F534</x:f>
        <x:v>1352</x:v>
      </x:c>
      <x:c r="H534" s="44" t="n">
        <x:f>E534-G534</x:f>
        <x:v>1077.44</x:v>
      </x:c>
      <x:c r="I534" s="14" t="str">
        <x:v>Distributor</x:v>
      </x:c>
      <x:c r="J534" s="14" t="str">
        <x:v>Northeast</x:v>
      </x:c>
    </x:row>
    <x:row r="535">
      <x:c r="A535" s="50" t="n">
        <x:v>46013</x:v>
      </x:c>
      <x:c r="B535" s="14" t="str">
        <x:v>SKU-0038</x:v>
      </x:c>
      <x:c r="C535" s="52" t="n">
        <x:v>121</x:v>
      </x:c>
      <x:c r="D535" s="40" t="n">
        <x:v>224.97</x:v>
      </x:c>
      <x:c r="E535" s="44" t="n">
        <x:f>C535*D535</x:f>
        <x:v>27221.37</x:v>
      </x:c>
      <x:c r="F535" s="40" t="n">
        <x:v>160.43</x:v>
      </x:c>
      <x:c r="G535" s="44" t="n">
        <x:f>C535*F535</x:f>
        <x:v>19412.030000000002</x:v>
      </x:c>
      <x:c r="H535" s="44" t="n">
        <x:f>E535-G535</x:f>
        <x:v>7809.3399999999965</x:v>
      </x:c>
      <x:c r="I535" s="14" t="str">
        <x:v>SMB</x:v>
      </x:c>
      <x:c r="J535" s="14" t="str">
        <x:v>Southeast</x:v>
      </x:c>
    </x:row>
    <x:row r="536">
      <x:c r="A536" s="50" t="n">
        <x:v>45939</x:v>
      </x:c>
      <x:c r="B536" s="14" t="str">
        <x:v>SKU-0004</x:v>
      </x:c>
      <x:c r="C536" s="52" t="n">
        <x:v>25</x:v>
      </x:c>
      <x:c r="D536" s="40" t="n">
        <x:v>370.82</x:v>
      </x:c>
      <x:c r="E536" s="44" t="n">
        <x:f>C536*D536</x:f>
        <x:v>9270.5</x:v>
      </x:c>
      <x:c r="F536" s="40" t="n">
        <x:v>164.72</x:v>
      </x:c>
      <x:c r="G536" s="44" t="n">
        <x:f>C536*F536</x:f>
        <x:v>4118</x:v>
      </x:c>
      <x:c r="H536" s="44" t="n">
        <x:f>E536-G536</x:f>
        <x:v>5152.5</x:v>
      </x:c>
      <x:c r="I536" s="14" t="str">
        <x:v>Internal Use</x:v>
      </x:c>
      <x:c r="J536" s="14" t="str">
        <x:v>Northeast</x:v>
      </x:c>
    </x:row>
    <x:row r="537">
      <x:c r="A537" s="50" t="n">
        <x:v>45976</x:v>
      </x:c>
      <x:c r="B537" s="14" t="str">
        <x:v>SKU-0133</x:v>
      </x:c>
      <x:c r="C537" s="52" t="n">
        <x:v>16</x:v>
      </x:c>
      <x:c r="D537" s="40" t="n">
        <x:v>284.95</x:v>
      </x:c>
      <x:c r="E537" s="44" t="n">
        <x:f>C537*D537</x:f>
        <x:v>4559.2</x:v>
      </x:c>
      <x:c r="F537" s="40" t="n">
        <x:v>233.3</x:v>
      </x:c>
      <x:c r="G537" s="44" t="n">
        <x:f>C537*F537</x:f>
        <x:v>3732.8</x:v>
      </x:c>
      <x:c r="H537" s="44" t="n">
        <x:f>E537-G537</x:f>
        <x:v>826.3999999999996</x:v>
      </x:c>
      <x:c r="I537" s="14" t="str">
        <x:v>Distributor</x:v>
      </x:c>
      <x:c r="J537" s="14" t="str">
        <x:v>West</x:v>
      </x:c>
    </x:row>
    <x:row r="538">
      <x:c r="A538" s="50" t="n">
        <x:v>46090</x:v>
      </x:c>
      <x:c r="B538" s="14" t="str">
        <x:v>SKU-0079</x:v>
      </x:c>
      <x:c r="C538" s="52" t="n">
        <x:v>14</x:v>
      </x:c>
      <x:c r="D538" s="40" t="n">
        <x:v>234.56</x:v>
      </x:c>
      <x:c r="E538" s="44" t="n">
        <x:f>C538*D538</x:f>
        <x:v>3283.84</x:v>
      </x:c>
      <x:c r="F538" s="40" t="n">
        <x:v>124.08</x:v>
      </x:c>
      <x:c r="G538" s="44" t="n">
        <x:f>C538*F538</x:f>
        <x:v>1737.12</x:v>
      </x:c>
      <x:c r="H538" s="44" t="n">
        <x:f>E538-G538</x:f>
        <x:v>1546.7200000000003</x:v>
      </x:c>
      <x:c r="I538" s="14" t="str">
        <x:v>Distributor</x:v>
      </x:c>
      <x:c r="J538" s="14" t="str">
        <x:v>Southeast</x:v>
      </x:c>
    </x:row>
    <x:row r="539">
      <x:c r="A539" s="50" t="n">
        <x:v>46237</x:v>
      </x:c>
      <x:c r="B539" s="14" t="str">
        <x:v>SKU-0102</x:v>
      </x:c>
      <x:c r="C539" s="52" t="n">
        <x:v>9</x:v>
      </x:c>
      <x:c r="D539" s="40" t="n">
        <x:v>364.1</x:v>
      </x:c>
      <x:c r="E539" s="44" t="n">
        <x:f>C539*D539</x:f>
        <x:v>3276.9</x:v>
      </x:c>
      <x:c r="F539" s="40" t="n">
        <x:v>278.87</x:v>
      </x:c>
      <x:c r="G539" s="44" t="n">
        <x:f>C539*F539</x:f>
        <x:v>2509.83</x:v>
      </x:c>
      <x:c r="H539" s="44" t="n">
        <x:f>E539-G539</x:f>
        <x:v>767.0700000000002</x:v>
      </x:c>
      <x:c r="I539" s="14" t="str">
        <x:v>SMB</x:v>
      </x:c>
      <x:c r="J539" s="14" t="str">
        <x:v>Southeast</x:v>
      </x:c>
    </x:row>
    <x:row r="540">
      <x:c r="A540" s="50" t="n">
        <x:v>45975</x:v>
      </x:c>
      <x:c r="B540" s="14" t="str">
        <x:v>SKU-0096</x:v>
      </x:c>
      <x:c r="C540" s="52" t="n">
        <x:v>12</x:v>
      </x:c>
      <x:c r="D540" s="40" t="n">
        <x:v>48.01</x:v>
      </x:c>
      <x:c r="E540" s="44" t="n">
        <x:f>C540*D540</x:f>
        <x:v>576.12</x:v>
      </x:c>
      <x:c r="F540" s="40" t="n">
        <x:v>29.46</x:v>
      </x:c>
      <x:c r="G540" s="44" t="n">
        <x:f>C540*F540</x:f>
        <x:v>353.52</x:v>
      </x:c>
      <x:c r="H540" s="44" t="n">
        <x:f>E540-G540</x:f>
        <x:v>222.60000000000002</x:v>
      </x:c>
      <x:c r="I540" s="14" t="str">
        <x:v>Enterprise</x:v>
      </x:c>
      <x:c r="J540" s="14" t="str">
        <x:v>West</x:v>
      </x:c>
    </x:row>
    <x:row r="541">
      <x:c r="A541" s="50" t="n">
        <x:v>45988</x:v>
      </x:c>
      <x:c r="B541" s="14" t="str">
        <x:v>SKU-0146</x:v>
      </x:c>
      <x:c r="C541" s="52" t="n">
        <x:v>1</x:v>
      </x:c>
      <x:c r="D541" s="40" t="n">
        <x:v>459.02</x:v>
      </x:c>
      <x:c r="E541" s="44" t="n">
        <x:f>C541*D541</x:f>
        <x:v>459.02</x:v>
      </x:c>
      <x:c r="F541" s="40" t="n">
        <x:v>261.77</x:v>
      </x:c>
      <x:c r="G541" s="44" t="n">
        <x:f>C541*F541</x:f>
        <x:v>261.77</x:v>
      </x:c>
      <x:c r="H541" s="44" t="n">
        <x:f>E541-G541</x:f>
        <x:v>197.25</x:v>
      </x:c>
      <x:c r="I541" s="14" t="str">
        <x:v>Internal Use</x:v>
      </x:c>
      <x:c r="J541" s="14" t="str">
        <x:v>West</x:v>
      </x:c>
    </x:row>
    <x:row r="542">
      <x:c r="A542" s="50" t="n">
        <x:v>46205</x:v>
      </x:c>
      <x:c r="B542" s="14" t="str">
        <x:v>SKU-0028</x:v>
      </x:c>
      <x:c r="C542" s="52" t="n">
        <x:v>4</x:v>
      </x:c>
      <x:c r="D542" s="40" t="n">
        <x:v>347.51</x:v>
      </x:c>
      <x:c r="E542" s="44" t="n">
        <x:f>C542*D542</x:f>
        <x:v>1390.04</x:v>
      </x:c>
      <x:c r="F542" s="40" t="n">
        <x:v>274.39</x:v>
      </x:c>
      <x:c r="G542" s="44" t="n">
        <x:f>C542*F542</x:f>
        <x:v>1097.56</x:v>
      </x:c>
      <x:c r="H542" s="44" t="n">
        <x:f>E542-G542</x:f>
        <x:v>292.48</x:v>
      </x:c>
      <x:c r="I542" s="14" t="str">
        <x:v>Distributor</x:v>
      </x:c>
      <x:c r="J542" s="14" t="str">
        <x:v>Northeast</x:v>
      </x:c>
    </x:row>
    <x:row r="543">
      <x:c r="A543" s="50" t="n">
        <x:v>45895</x:v>
      </x:c>
      <x:c r="B543" s="14" t="str">
        <x:v>SKU-0088</x:v>
      </x:c>
      <x:c r="C543" s="52" t="n">
        <x:v>11</x:v>
      </x:c>
      <x:c r="D543" s="40" t="n">
        <x:v>37.9</x:v>
      </x:c>
      <x:c r="E543" s="44" t="n">
        <x:f>C543*D543</x:f>
        <x:v>416.9</x:v>
      </x:c>
      <x:c r="F543" s="40" t="n">
        <x:v>21.49</x:v>
      </x:c>
      <x:c r="G543" s="44" t="n">
        <x:f>C543*F543</x:f>
        <x:v>236.39</x:v>
      </x:c>
      <x:c r="H543" s="44" t="n">
        <x:f>E543-G543</x:f>
        <x:v>180.51</x:v>
      </x:c>
      <x:c r="I543" s="14" t="str">
        <x:v>Enterprise</x:v>
      </x:c>
      <x:c r="J543" s="14" t="str">
        <x:v>Northeast</x:v>
      </x:c>
    </x:row>
    <x:row r="544">
      <x:c r="A544" s="50" t="n">
        <x:v>46016</x:v>
      </x:c>
      <x:c r="B544" s="14" t="str">
        <x:v>SKU-0016</x:v>
      </x:c>
      <x:c r="C544" s="52" t="n">
        <x:v>2</x:v>
      </x:c>
      <x:c r="D544" s="40" t="n">
        <x:v>368.86</x:v>
      </x:c>
      <x:c r="E544" s="44" t="n">
        <x:f>C544*D544</x:f>
        <x:v>737.72</x:v>
      </x:c>
      <x:c r="F544" s="40" t="n">
        <x:v>204.58</x:v>
      </x:c>
      <x:c r="G544" s="44" t="n">
        <x:f>C544*F544</x:f>
        <x:v>409.16</x:v>
      </x:c>
      <x:c r="H544" s="44" t="n">
        <x:f>E544-G544</x:f>
        <x:v>328.56</x:v>
      </x:c>
      <x:c r="I544" s="14" t="str">
        <x:v>Distributor</x:v>
      </x:c>
      <x:c r="J544" s="14" t="str">
        <x:v>West</x:v>
      </x:c>
    </x:row>
    <x:row r="545">
      <x:c r="A545" s="50" t="n">
        <x:v>46052</x:v>
      </x:c>
      <x:c r="B545" s="14" t="str">
        <x:v>SKU-0122</x:v>
      </x:c>
      <x:c r="C545" s="52" t="n">
        <x:v>11</x:v>
      </x:c>
      <x:c r="D545" s="40" t="n">
        <x:v>39.2</x:v>
      </x:c>
      <x:c r="E545" s="44" t="n">
        <x:f>C545*D545</x:f>
        <x:v>431.20000000000005</x:v>
      </x:c>
      <x:c r="F545" s="40" t="n">
        <x:v>25.14</x:v>
      </x:c>
      <x:c r="G545" s="44" t="n">
        <x:f>C545*F545</x:f>
        <x:v>276.54</x:v>
      </x:c>
      <x:c r="H545" s="44" t="n">
        <x:f>E545-G545</x:f>
        <x:v>154.66000000000003</x:v>
      </x:c>
      <x:c r="I545" s="14" t="str">
        <x:v>Distributor</x:v>
      </x:c>
      <x:c r="J545" s="14" t="str">
        <x:v>Midwest</x:v>
      </x:c>
    </x:row>
    <x:row r="546">
      <x:c r="A546" s="50" t="n">
        <x:v>46064</x:v>
      </x:c>
      <x:c r="B546" s="14" t="str">
        <x:v>SKU-0062</x:v>
      </x:c>
      <x:c r="C546" s="52" t="n">
        <x:v>12</x:v>
      </x:c>
      <x:c r="D546" s="40" t="n">
        <x:v>107.01</x:v>
      </x:c>
      <x:c r="E546" s="44" t="n">
        <x:f>C546*D546</x:f>
        <x:v>1284.1200000000001</x:v>
      </x:c>
      <x:c r="F546" s="40" t="n">
        <x:v>63.99</x:v>
      </x:c>
      <x:c r="G546" s="44" t="n">
        <x:f>C546*F546</x:f>
        <x:v>767.88</x:v>
      </x:c>
      <x:c r="H546" s="44" t="n">
        <x:f>E546-G546</x:f>
        <x:v>516.2400000000001</x:v>
      </x:c>
      <x:c r="I546" s="14" t="str">
        <x:v>Distributor</x:v>
      </x:c>
      <x:c r="J546" s="14" t="str">
        <x:v>Midwest</x:v>
      </x:c>
    </x:row>
    <x:row r="547">
      <x:c r="A547" s="50" t="n">
        <x:v>45881</x:v>
      </x:c>
      <x:c r="B547" s="14" t="str">
        <x:v>SKU-0026</x:v>
      </x:c>
      <x:c r="C547" s="52" t="n">
        <x:v>7</x:v>
      </x:c>
      <x:c r="D547" s="40" t="n">
        <x:v>481.02</x:v>
      </x:c>
      <x:c r="E547" s="44" t="n">
        <x:f>C547*D547</x:f>
        <x:v>3367.14</x:v>
      </x:c>
      <x:c r="F547" s="40" t="n">
        <x:v>249.4</x:v>
      </x:c>
      <x:c r="G547" s="44" t="n">
        <x:f>C547*F547</x:f>
        <x:v>1745.8</x:v>
      </x:c>
      <x:c r="H547" s="44" t="n">
        <x:f>E547-G547</x:f>
        <x:v>1621.34</x:v>
      </x:c>
      <x:c r="I547" s="14" t="str">
        <x:v>SMB</x:v>
      </x:c>
      <x:c r="J547" s="14" t="str">
        <x:v>Northeast</x:v>
      </x:c>
    </x:row>
    <x:row r="548">
      <x:c r="A548" s="50" t="n">
        <x:v>46151</x:v>
      </x:c>
      <x:c r="B548" s="14" t="str">
        <x:v>SKU-0032</x:v>
      </x:c>
      <x:c r="C548" s="52" t="n">
        <x:v>3</x:v>
      </x:c>
      <x:c r="D548" s="40" t="n">
        <x:v>290.84</x:v>
      </x:c>
      <x:c r="E548" s="44" t="n">
        <x:f>C548*D548</x:f>
        <x:v>872.52</x:v>
      </x:c>
      <x:c r="F548" s="40" t="n">
        <x:v>221</x:v>
      </x:c>
      <x:c r="G548" s="44" t="n">
        <x:f>C548*F548</x:f>
        <x:v>663</x:v>
      </x:c>
      <x:c r="H548" s="44" t="n">
        <x:f>E548-G548</x:f>
        <x:v>209.51999999999998</x:v>
      </x:c>
      <x:c r="I548" s="14" t="str">
        <x:v>Distributor</x:v>
      </x:c>
      <x:c r="J548" s="14" t="str">
        <x:v>West</x:v>
      </x:c>
    </x:row>
    <x:row r="549">
      <x:c r="A549" s="50" t="n">
        <x:v>46143</x:v>
      </x:c>
      <x:c r="B549" s="14" t="str">
        <x:v>SKU-0122</x:v>
      </x:c>
      <x:c r="C549" s="52" t="n">
        <x:v>7</x:v>
      </x:c>
      <x:c r="D549" s="40" t="n">
        <x:v>40.98</x:v>
      </x:c>
      <x:c r="E549" s="44" t="n">
        <x:f>C549*D549</x:f>
        <x:v>286.85999999999996</x:v>
      </x:c>
      <x:c r="F549" s="40" t="n">
        <x:v>25.14</x:v>
      </x:c>
      <x:c r="G549" s="44" t="n">
        <x:f>C549*F549</x:f>
        <x:v>175.98000000000002</x:v>
      </x:c>
      <x:c r="H549" s="44" t="n">
        <x:f>E549-G549</x:f>
        <x:v>110.87999999999994</x:v>
      </x:c>
      <x:c r="I549" s="14" t="str">
        <x:v>Distributor</x:v>
      </x:c>
      <x:c r="J549" s="14" t="str">
        <x:v>Northeast</x:v>
      </x:c>
    </x:row>
    <x:row r="550">
      <x:c r="A550" s="50" t="n">
        <x:v>45903</x:v>
      </x:c>
      <x:c r="B550" s="14" t="str">
        <x:v>SKU-0093</x:v>
      </x:c>
      <x:c r="C550" s="52" t="n">
        <x:v>12</x:v>
      </x:c>
      <x:c r="D550" s="40" t="n">
        <x:v>299.44</x:v>
      </x:c>
      <x:c r="E550" s="44" t="n">
        <x:f>C550*D550</x:f>
        <x:v>3593.2799999999997</x:v>
      </x:c>
      <x:c r="F550" s="40" t="n">
        <x:v>239.3</x:v>
      </x:c>
      <x:c r="G550" s="44" t="n">
        <x:f>C550*F550</x:f>
        <x:v>2871.6000000000004</x:v>
      </x:c>
      <x:c r="H550" s="44" t="n">
        <x:f>E550-G550</x:f>
        <x:v>721.6799999999994</x:v>
      </x:c>
      <x:c r="I550" s="14" t="str">
        <x:v>Enterprise</x:v>
      </x:c>
      <x:c r="J550" s="14" t="str">
        <x:v>Midwest</x:v>
      </x:c>
    </x:row>
    <x:row r="551">
      <x:c r="A551" s="50" t="n">
        <x:v>46123</x:v>
      </x:c>
      <x:c r="B551" s="14" t="str">
        <x:v>SKU-0110</x:v>
      </x:c>
      <x:c r="C551" s="52" t="n">
        <x:v>6</x:v>
      </x:c>
      <x:c r="D551" s="40" t="n">
        <x:v>26.43</x:v>
      </x:c>
      <x:c r="E551" s="44" t="n">
        <x:f>C551*D551</x:f>
        <x:v>158.57999999999998</x:v>
      </x:c>
      <x:c r="F551" s="40" t="n">
        <x:v>14.53</x:v>
      </x:c>
      <x:c r="G551" s="44" t="n">
        <x:f>C551*F551</x:f>
        <x:v>87.17999999999999</x:v>
      </x:c>
      <x:c r="H551" s="44" t="n">
        <x:f>E551-G551</x:f>
        <x:v>71.39999999999999</x:v>
      </x:c>
      <x:c r="I551" s="14" t="str">
        <x:v>Enterprise</x:v>
      </x:c>
      <x:c r="J551" s="14" t="str">
        <x:v>Southeast</x:v>
      </x:c>
    </x:row>
    <x:row r="552">
      <x:c r="A552" s="50" t="n">
        <x:v>45924</x:v>
      </x:c>
      <x:c r="B552" s="14" t="str">
        <x:v>SKU-0128</x:v>
      </x:c>
      <x:c r="C552" s="52" t="n">
        <x:v>3</x:v>
      </x:c>
      <x:c r="D552" s="40" t="n">
        <x:v>117.68</x:v>
      </x:c>
      <x:c r="E552" s="44" t="n">
        <x:f>C552*D552</x:f>
        <x:v>353.04</x:v>
      </x:c>
      <x:c r="F552" s="40" t="n">
        <x:v>70.02</x:v>
      </x:c>
      <x:c r="G552" s="44" t="n">
        <x:f>C552*F552</x:f>
        <x:v>210.06</x:v>
      </x:c>
      <x:c r="H552" s="44" t="n">
        <x:f>E552-G552</x:f>
        <x:v>142.98000000000002</x:v>
      </x:c>
      <x:c r="I552" s="14" t="str">
        <x:v>Internal Use</x:v>
      </x:c>
      <x:c r="J552" s="14" t="str">
        <x:v>Southeast</x:v>
      </x:c>
    </x:row>
    <x:row r="553">
      <x:c r="A553" s="50" t="n">
        <x:v>45939</x:v>
      </x:c>
      <x:c r="B553" s="14" t="str">
        <x:v>SKU-0115</x:v>
      </x:c>
      <x:c r="C553" s="52" t="n">
        <x:v>8</x:v>
      </x:c>
      <x:c r="D553" s="40" t="n">
        <x:v>33.14</x:v>
      </x:c>
      <x:c r="E553" s="44" t="n">
        <x:f>C553*D553</x:f>
        <x:v>265.12</x:v>
      </x:c>
      <x:c r="F553" s="40" t="n">
        <x:v>27.81</x:v>
      </x:c>
      <x:c r="G553" s="44" t="n">
        <x:f>C553*F553</x:f>
        <x:v>222.48</x:v>
      </x:c>
      <x:c r="H553" s="44" t="n">
        <x:f>E553-G553</x:f>
        <x:v>42.640000000000015</x:v>
      </x:c>
      <x:c r="I553" s="14" t="str">
        <x:v>SMB</x:v>
      </x:c>
      <x:c r="J553" s="14" t="str">
        <x:v>Northeast</x:v>
      </x:c>
    </x:row>
    <x:row r="554">
      <x:c r="A554" s="50" t="n">
        <x:v>46102</x:v>
      </x:c>
      <x:c r="B554" s="14" t="str">
        <x:v>SKU-0028</x:v>
      </x:c>
      <x:c r="C554" s="52" t="n">
        <x:v>21</x:v>
      </x:c>
      <x:c r="D554" s="40" t="n">
        <x:v>347.82</x:v>
      </x:c>
      <x:c r="E554" s="44" t="n">
        <x:f>C554*D554</x:f>
        <x:v>7304.22</x:v>
      </x:c>
      <x:c r="F554" s="40" t="n">
        <x:v>274.39</x:v>
      </x:c>
      <x:c r="G554" s="44" t="n">
        <x:f>C554*F554</x:f>
        <x:v>5762.19</x:v>
      </x:c>
      <x:c r="H554" s="44" t="n">
        <x:f>E554-G554</x:f>
        <x:v>1542.0300000000007</x:v>
      </x:c>
      <x:c r="I554" s="14" t="str">
        <x:v>Distributor</x:v>
      </x:c>
      <x:c r="J554" s="14" t="str">
        <x:v>Southeast</x:v>
      </x:c>
    </x:row>
    <x:row r="555">
      <x:c r="A555" s="50" t="n">
        <x:v>46220</x:v>
      </x:c>
      <x:c r="B555" s="14" t="str">
        <x:v>SKU-0066</x:v>
      </x:c>
      <x:c r="C555" s="52" t="n">
        <x:v>6</x:v>
      </x:c>
      <x:c r="D555" s="40" t="n">
        <x:v>380.66</x:v>
      </x:c>
      <x:c r="E555" s="44" t="n">
        <x:f>C555*D555</x:f>
        <x:v>2283.96</x:v>
      </x:c>
      <x:c r="F555" s="40" t="n">
        <x:v>244.68</x:v>
      </x:c>
      <x:c r="G555" s="44" t="n">
        <x:f>C555*F555</x:f>
        <x:v>1468.08</x:v>
      </x:c>
      <x:c r="H555" s="44" t="n">
        <x:f>E555-G555</x:f>
        <x:v>815.8800000000001</x:v>
      </x:c>
      <x:c r="I555" s="14" t="str">
        <x:v>SMB</x:v>
      </x:c>
      <x:c r="J555" s="14" t="str">
        <x:v>West</x:v>
      </x:c>
    </x:row>
    <x:row r="556">
      <x:c r="A556" s="50" t="n">
        <x:v>46234</x:v>
      </x:c>
      <x:c r="B556" s="14" t="str">
        <x:v>SKU-0024</x:v>
      </x:c>
      <x:c r="C556" s="52" t="n">
        <x:v>6</x:v>
      </x:c>
      <x:c r="D556" s="40" t="n">
        <x:v>242.25</x:v>
      </x:c>
      <x:c r="E556" s="44" t="n">
        <x:f>C556*D556</x:f>
        <x:v>1453.5</x:v>
      </x:c>
      <x:c r="F556" s="40" t="n">
        <x:v>151.69</x:v>
      </x:c>
      <x:c r="G556" s="44" t="n">
        <x:f>C556*F556</x:f>
        <x:v>910.14</x:v>
      </x:c>
      <x:c r="H556" s="44" t="n">
        <x:f>E556-G556</x:f>
        <x:v>543.36</x:v>
      </x:c>
      <x:c r="I556" s="14" t="str">
        <x:v>Enterprise</x:v>
      </x:c>
      <x:c r="J556" s="14" t="str">
        <x:v>Midwest</x:v>
      </x:c>
    </x:row>
    <x:row r="557">
      <x:c r="A557" s="50" t="n">
        <x:v>46075</x:v>
      </x:c>
      <x:c r="B557" s="14" t="str">
        <x:v>SKU-0097</x:v>
      </x:c>
      <x:c r="C557" s="52" t="n">
        <x:v>24</x:v>
      </x:c>
      <x:c r="D557" s="40" t="n">
        <x:v>292.58</x:v>
      </x:c>
      <x:c r="E557" s="44" t="n">
        <x:f>C557*D557</x:f>
        <x:v>7021.92</x:v>
      </x:c>
      <x:c r="F557" s="40" t="n">
        <x:v>209.93</x:v>
      </x:c>
      <x:c r="G557" s="44" t="n">
        <x:f>C557*F557</x:f>
        <x:v>5038.32</x:v>
      </x:c>
      <x:c r="H557" s="44" t="n">
        <x:f>E557-G557</x:f>
        <x:v>1983.6000000000004</x:v>
      </x:c>
      <x:c r="I557" s="14" t="str">
        <x:v>Internal Use</x:v>
      </x:c>
      <x:c r="J557" s="14" t="str">
        <x:v>Southeast</x:v>
      </x:c>
    </x:row>
    <x:row r="558">
      <x:c r="A558" s="50" t="n">
        <x:v>46012</x:v>
      </x:c>
      <x:c r="B558" s="14" t="str">
        <x:v>SKU-0058</x:v>
      </x:c>
      <x:c r="C558" s="52" t="n">
        <x:v>3</x:v>
      </x:c>
      <x:c r="D558" s="40" t="n">
        <x:v>385.51</x:v>
      </x:c>
      <x:c r="E558" s="44" t="n">
        <x:f>C558*D558</x:f>
        <x:v>1156.53</x:v>
      </x:c>
      <x:c r="F558" s="40" t="n">
        <x:v>226.78</x:v>
      </x:c>
      <x:c r="G558" s="44" t="n">
        <x:f>C558*F558</x:f>
        <x:v>680.34</x:v>
      </x:c>
      <x:c r="H558" s="44" t="n">
        <x:f>E558-G558</x:f>
        <x:v>476.18999999999994</x:v>
      </x:c>
      <x:c r="I558" s="14" t="str">
        <x:v>Internal Use</x:v>
      </x:c>
      <x:c r="J558" s="14" t="str">
        <x:v>Northeast</x:v>
      </x:c>
    </x:row>
    <x:row r="559">
      <x:c r="A559" s="50" t="n">
        <x:v>45911</x:v>
      </x:c>
      <x:c r="B559" s="14" t="str">
        <x:v>SKU-0080</x:v>
      </x:c>
      <x:c r="C559" s="52" t="n">
        <x:v>10</x:v>
      </x:c>
      <x:c r="D559" s="40" t="n">
        <x:v>151.87</x:v>
      </x:c>
      <x:c r="E559" s="44" t="n">
        <x:f>C559*D559</x:f>
        <x:v>1518.7</x:v>
      </x:c>
      <x:c r="F559" s="40" t="n">
        <x:v>115.72</x:v>
      </x:c>
      <x:c r="G559" s="44" t="n">
        <x:f>C559*F559</x:f>
        <x:v>1157.2</x:v>
      </x:c>
      <x:c r="H559" s="44" t="n">
        <x:f>E559-G559</x:f>
        <x:v>361.5</x:v>
      </x:c>
      <x:c r="I559" s="14" t="str">
        <x:v>Internal Use</x:v>
      </x:c>
      <x:c r="J559" s="14" t="str">
        <x:v>Midwest</x:v>
      </x:c>
    </x:row>
    <x:row r="560">
      <x:c r="A560" s="50" t="n">
        <x:v>46227</x:v>
      </x:c>
      <x:c r="B560" s="14" t="str">
        <x:v>SKU-0094</x:v>
      </x:c>
      <x:c r="C560" s="52" t="n">
        <x:v>15</x:v>
      </x:c>
      <x:c r="D560" s="40" t="n">
        <x:v>9.18</x:v>
      </x:c>
      <x:c r="E560" s="44" t="n">
        <x:f>C560*D560</x:f>
        <x:v>137.7</x:v>
      </x:c>
      <x:c r="F560" s="40" t="n">
        <x:v>4.75</x:v>
      </x:c>
      <x:c r="G560" s="44" t="n">
        <x:f>C560*F560</x:f>
        <x:v>71.25</x:v>
      </x:c>
      <x:c r="H560" s="44" t="n">
        <x:f>E560-G560</x:f>
        <x:v>66.44999999999999</x:v>
      </x:c>
      <x:c r="I560" s="14" t="str">
        <x:v>Enterprise</x:v>
      </x:c>
      <x:c r="J560" s="14" t="str">
        <x:v>West</x:v>
      </x:c>
    </x:row>
    <x:row r="561">
      <x:c r="A561" s="50" t="n">
        <x:v>45954</x:v>
      </x:c>
      <x:c r="B561" s="14" t="str">
        <x:v>SKU-0081</x:v>
      </x:c>
      <x:c r="C561" s="52" t="n">
        <x:v>16</x:v>
      </x:c>
      <x:c r="D561" s="40" t="n">
        <x:v>282.86</x:v>
      </x:c>
      <x:c r="E561" s="44" t="n">
        <x:f>C561*D561</x:f>
        <x:v>4525.76</x:v>
      </x:c>
      <x:c r="F561" s="40" t="n">
        <x:v>198.25</x:v>
      </x:c>
      <x:c r="G561" s="44" t="n">
        <x:f>C561*F561</x:f>
        <x:v>3172</x:v>
      </x:c>
      <x:c r="H561" s="44" t="n">
        <x:f>E561-G561</x:f>
        <x:v>1353.7600000000002</x:v>
      </x:c>
      <x:c r="I561" s="14" t="str">
        <x:v>Internal Use</x:v>
      </x:c>
      <x:c r="J561" s="14" t="str">
        <x:v>Southeast</x:v>
      </x:c>
    </x:row>
    <x:row r="562">
      <x:c r="A562" s="50" t="n">
        <x:v>45954</x:v>
      </x:c>
      <x:c r="B562" s="14" t="str">
        <x:v>SKU-0073</x:v>
      </x:c>
      <x:c r="C562" s="52" t="n">
        <x:v>5</x:v>
      </x:c>
      <x:c r="D562" s="40" t="n">
        <x:v>68.19</x:v>
      </x:c>
      <x:c r="E562" s="44" t="n">
        <x:f>C562*D562</x:f>
        <x:v>340.95</x:v>
      </x:c>
      <x:c r="F562" s="40" t="n">
        <x:v>37.01</x:v>
      </x:c>
      <x:c r="G562" s="44" t="n">
        <x:f>C562*F562</x:f>
        <x:v>185.04999999999998</x:v>
      </x:c>
      <x:c r="H562" s="44" t="n">
        <x:f>E562-G562</x:f>
        <x:v>155.9</x:v>
      </x:c>
      <x:c r="I562" s="14" t="str">
        <x:v>Distributor</x:v>
      </x:c>
      <x:c r="J562" s="14" t="str">
        <x:v>West</x:v>
      </x:c>
    </x:row>
    <x:row r="563">
      <x:c r="A563" s="50" t="n">
        <x:v>46133</x:v>
      </x:c>
      <x:c r="B563" s="14" t="str">
        <x:v>SKU-0056</x:v>
      </x:c>
      <x:c r="C563" s="52" t="n">
        <x:v>1</x:v>
      </x:c>
      <x:c r="D563" s="40" t="n">
        <x:v>331.31</x:v>
      </x:c>
      <x:c r="E563" s="44" t="n">
        <x:f>C563*D563</x:f>
        <x:v>331.31</x:v>
      </x:c>
      <x:c r="F563" s="40" t="n">
        <x:v>219.68</x:v>
      </x:c>
      <x:c r="G563" s="44" t="n">
        <x:f>C563*F563</x:f>
        <x:v>219.68</x:v>
      </x:c>
      <x:c r="H563" s="44" t="n">
        <x:f>E563-G563</x:f>
        <x:v>111.63</x:v>
      </x:c>
      <x:c r="I563" s="14" t="str">
        <x:v>SMB</x:v>
      </x:c>
      <x:c r="J563" s="14" t="str">
        <x:v>Northeast</x:v>
      </x:c>
    </x:row>
    <x:row r="564">
      <x:c r="A564" s="50" t="n">
        <x:v>46129</x:v>
      </x:c>
      <x:c r="B564" s="14" t="str">
        <x:v>SKU-0046</x:v>
      </x:c>
      <x:c r="C564" s="52" t="n">
        <x:v>14</x:v>
      </x:c>
      <x:c r="D564" s="40" t="n">
        <x:v>125.67</x:v>
      </x:c>
      <x:c r="E564" s="44" t="n">
        <x:f>C564*D564</x:f>
        <x:v>1759.38</x:v>
      </x:c>
      <x:c r="F564" s="40" t="n">
        <x:v>66.68</x:v>
      </x:c>
      <x:c r="G564" s="44" t="n">
        <x:f>C564*F564</x:f>
        <x:v>933.5200000000001</x:v>
      </x:c>
      <x:c r="H564" s="44" t="n">
        <x:f>E564-G564</x:f>
        <x:v>825.86</x:v>
      </x:c>
      <x:c r="I564" s="14" t="str">
        <x:v>SMB</x:v>
      </x:c>
      <x:c r="J564" s="14" t="str">
        <x:v>Northeast</x:v>
      </x:c>
    </x:row>
    <x:row r="565">
      <x:c r="A565" s="50" t="n">
        <x:v>46080</x:v>
      </x:c>
      <x:c r="B565" s="14" t="str">
        <x:v>SKU-0141</x:v>
      </x:c>
      <x:c r="C565" s="52" t="n">
        <x:v>4</x:v>
      </x:c>
      <x:c r="D565" s="40" t="n">
        <x:v>387.3</x:v>
      </x:c>
      <x:c r="E565" s="44" t="n">
        <x:f>C565*D565</x:f>
        <x:v>1549.2</x:v>
      </x:c>
      <x:c r="F565" s="40" t="n">
        <x:v>279.99</x:v>
      </x:c>
      <x:c r="G565" s="44" t="n">
        <x:f>C565*F565</x:f>
        <x:v>1119.96</x:v>
      </x:c>
      <x:c r="H565" s="44" t="n">
        <x:f>E565-G565</x:f>
        <x:v>429.24</x:v>
      </x:c>
      <x:c r="I565" s="14" t="str">
        <x:v>Internal Use</x:v>
      </x:c>
      <x:c r="J565" s="14" t="str">
        <x:v>West</x:v>
      </x:c>
    </x:row>
    <x:row r="566">
      <x:c r="A566" s="50" t="n">
        <x:v>46150</x:v>
      </x:c>
      <x:c r="B566" s="14" t="str">
        <x:v>SKU-0019</x:v>
      </x:c>
      <x:c r="C566" s="52" t="n">
        <x:v>13</x:v>
      </x:c>
      <x:c r="D566" s="40" t="n">
        <x:v>156.64</x:v>
      </x:c>
      <x:c r="E566" s="44" t="n">
        <x:f>C566*D566</x:f>
        <x:v>2036.3199999999997</x:v>
      </x:c>
      <x:c r="F566" s="40" t="n">
        <x:v>81.66</x:v>
      </x:c>
      <x:c r="G566" s="44" t="n">
        <x:f>C566*F566</x:f>
        <x:v>1061.58</x:v>
      </x:c>
      <x:c r="H566" s="44" t="n">
        <x:f>E566-G566</x:f>
        <x:v>974.7399999999998</x:v>
      </x:c>
      <x:c r="I566" s="14" t="str">
        <x:v>Internal Use</x:v>
      </x:c>
      <x:c r="J566" s="14" t="str">
        <x:v>Northeast</x:v>
      </x:c>
    </x:row>
    <x:row r="567">
      <x:c r="A567" s="50" t="n">
        <x:v>46045</x:v>
      </x:c>
      <x:c r="B567" s="14" t="str">
        <x:v>SKU-0034</x:v>
      </x:c>
      <x:c r="C567" s="52" t="n">
        <x:v>20</x:v>
      </x:c>
      <x:c r="D567" s="40" t="n">
        <x:v>81.57</x:v>
      </x:c>
      <x:c r="E567" s="44" t="n">
        <x:f>C567*D567</x:f>
        <x:v>1631.3999999999999</x:v>
      </x:c>
      <x:c r="F567" s="40" t="n">
        <x:v>34.51</x:v>
      </x:c>
      <x:c r="G567" s="44" t="n">
        <x:f>C567*F567</x:f>
        <x:v>690.1999999999999</x:v>
      </x:c>
      <x:c r="H567" s="44" t="n">
        <x:f>E567-G567</x:f>
        <x:v>941.1999999999999</x:v>
      </x:c>
      <x:c r="I567" s="14" t="str">
        <x:v>Distributor</x:v>
      </x:c>
      <x:c r="J567" s="14" t="str">
        <x:v>West</x:v>
      </x:c>
    </x:row>
    <x:row r="568">
      <x:c r="A568" s="50" t="n">
        <x:v>46175</x:v>
      </x:c>
      <x:c r="B568" s="14" t="str">
        <x:v>SKU-0042</x:v>
      </x:c>
      <x:c r="C568" s="52" t="n">
        <x:v>1</x:v>
      </x:c>
      <x:c r="D568" s="40" t="n">
        <x:v>281.51</x:v>
      </x:c>
      <x:c r="E568" s="44" t="n">
        <x:f>C568*D568</x:f>
        <x:v>281.51</x:v>
      </x:c>
      <x:c r="F568" s="40" t="n">
        <x:v>218.51</x:v>
      </x:c>
      <x:c r="G568" s="44" t="n">
        <x:f>C568*F568</x:f>
        <x:v>218.51</x:v>
      </x:c>
      <x:c r="H568" s="44" t="n">
        <x:f>E568-G568</x:f>
        <x:v>63</x:v>
      </x:c>
      <x:c r="I568" s="14" t="str">
        <x:v>SMB</x:v>
      </x:c>
      <x:c r="J568" s="14" t="str">
        <x:v>Southeast</x:v>
      </x:c>
    </x:row>
    <x:row r="569">
      <x:c r="A569" s="50" t="n">
        <x:v>45980</x:v>
      </x:c>
      <x:c r="B569" s="14" t="str">
        <x:v>SKU-0056</x:v>
      </x:c>
      <x:c r="C569" s="52" t="n">
        <x:v>18</x:v>
      </x:c>
      <x:c r="D569" s="40" t="n">
        <x:v>323.09</x:v>
      </x:c>
      <x:c r="E569" s="44" t="n">
        <x:f>C569*D569</x:f>
        <x:v>5815.62</x:v>
      </x:c>
      <x:c r="F569" s="40" t="n">
        <x:v>219.68</x:v>
      </x:c>
      <x:c r="G569" s="44" t="n">
        <x:f>C569*F569</x:f>
        <x:v>3954.2400000000002</x:v>
      </x:c>
      <x:c r="H569" s="44" t="n">
        <x:f>E569-G569</x:f>
        <x:v>1861.3799999999997</x:v>
      </x:c>
      <x:c r="I569" s="14" t="str">
        <x:v>SMB</x:v>
      </x:c>
      <x:c r="J569" s="14" t="str">
        <x:v>West</x:v>
      </x:c>
    </x:row>
    <x:row r="570">
      <x:c r="A570" s="50" t="n">
        <x:v>46227</x:v>
      </x:c>
      <x:c r="B570" s="14" t="str">
        <x:v>SKU-0110</x:v>
      </x:c>
      <x:c r="C570" s="52" t="n">
        <x:v>12</x:v>
      </x:c>
      <x:c r="D570" s="40" t="n">
        <x:v>25.96</x:v>
      </x:c>
      <x:c r="E570" s="44" t="n">
        <x:f>C570*D570</x:f>
        <x:v>311.52</x:v>
      </x:c>
      <x:c r="F570" s="40" t="n">
        <x:v>14.53</x:v>
      </x:c>
      <x:c r="G570" s="44" t="n">
        <x:f>C570*F570</x:f>
        <x:v>174.35999999999999</x:v>
      </x:c>
      <x:c r="H570" s="44" t="n">
        <x:f>E570-G570</x:f>
        <x:v>137.16</x:v>
      </x:c>
      <x:c r="I570" s="14" t="str">
        <x:v>SMB</x:v>
      </x:c>
      <x:c r="J570" s="14" t="str">
        <x:v>West</x:v>
      </x:c>
    </x:row>
    <x:row r="571">
      <x:c r="A571" s="50" t="n">
        <x:v>46034</x:v>
      </x:c>
      <x:c r="B571" s="14" t="str">
        <x:v>SKU-0126</x:v>
      </x:c>
      <x:c r="C571" s="52" t="n">
        <x:v>12</x:v>
      </x:c>
      <x:c r="D571" s="40" t="n">
        <x:v>17.11</x:v>
      </x:c>
      <x:c r="E571" s="44" t="n">
        <x:f>C571*D571</x:f>
        <x:v>205.32</x:v>
      </x:c>
      <x:c r="F571" s="40" t="n">
        <x:v>7.7</x:v>
      </x:c>
      <x:c r="G571" s="44" t="n">
        <x:f>C571*F571</x:f>
        <x:v>92.4</x:v>
      </x:c>
      <x:c r="H571" s="44" t="n">
        <x:f>E571-G571</x:f>
        <x:v>112.91999999999999</x:v>
      </x:c>
      <x:c r="I571" s="14" t="str">
        <x:v>Enterprise</x:v>
      </x:c>
      <x:c r="J571" s="14" t="str">
        <x:v>West</x:v>
      </x:c>
    </x:row>
    <x:row r="572">
      <x:c r="A572" s="50" t="n">
        <x:v>46020</x:v>
      </x:c>
      <x:c r="B572" s="14" t="str">
        <x:v>SKU-0098</x:v>
      </x:c>
      <x:c r="C572" s="52" t="n">
        <x:v>12</x:v>
      </x:c>
      <x:c r="D572" s="40" t="n">
        <x:v>348.07</x:v>
      </x:c>
      <x:c r="E572" s="44" t="n">
        <x:f>C572*D572</x:f>
        <x:v>4176.84</x:v>
      </x:c>
      <x:c r="F572" s="40" t="n">
        <x:v>270.95</x:v>
      </x:c>
      <x:c r="G572" s="44" t="n">
        <x:f>C572*F572</x:f>
        <x:v>3251.3999999999996</x:v>
      </x:c>
      <x:c r="H572" s="44" t="n">
        <x:f>E572-G572</x:f>
        <x:v>925.4400000000005</x:v>
      </x:c>
      <x:c r="I572" s="14" t="str">
        <x:v>Enterprise</x:v>
      </x:c>
      <x:c r="J572" s="14" t="str">
        <x:v>Northeast</x:v>
      </x:c>
    </x:row>
    <x:row r="573">
      <x:c r="A573" s="50" t="n">
        <x:v>46130</x:v>
      </x:c>
      <x:c r="B573" s="14" t="str">
        <x:v>SKU-0032</x:v>
      </x:c>
      <x:c r="C573" s="52" t="n">
        <x:v>75</x:v>
      </x:c>
      <x:c r="D573" s="40" t="n">
        <x:v>265.66</x:v>
      </x:c>
      <x:c r="E573" s="44" t="n">
        <x:f>C573*D573</x:f>
        <x:v>19924.500000000004</x:v>
      </x:c>
      <x:c r="F573" s="40" t="n">
        <x:v>221</x:v>
      </x:c>
      <x:c r="G573" s="44" t="n">
        <x:f>C573*F573</x:f>
        <x:v>16575</x:v>
      </x:c>
      <x:c r="H573" s="44" t="n">
        <x:f>E573-G573</x:f>
        <x:v>3349.5000000000036</x:v>
      </x:c>
      <x:c r="I573" s="14" t="str">
        <x:v>Internal Use</x:v>
      </x:c>
      <x:c r="J573" s="14" t="str">
        <x:v>Midwest</x:v>
      </x:c>
    </x:row>
    <x:row r="574">
      <x:c r="A574" s="50" t="n">
        <x:v>46183</x:v>
      </x:c>
      <x:c r="B574" s="14" t="str">
        <x:v>SKU-0025</x:v>
      </x:c>
      <x:c r="C574" s="52" t="n">
        <x:v>3</x:v>
      </x:c>
      <x:c r="D574" s="40" t="n">
        <x:v>552.36</x:v>
      </x:c>
      <x:c r="E574" s="44" t="n">
        <x:f>C574*D574</x:f>
        <x:v>1657.08</x:v>
      </x:c>
      <x:c r="F574" s="40" t="n">
        <x:v>275.52</x:v>
      </x:c>
      <x:c r="G574" s="44" t="n">
        <x:f>C574*F574</x:f>
        <x:v>826.56</x:v>
      </x:c>
      <x:c r="H574" s="44" t="n">
        <x:f>E574-G574</x:f>
        <x:v>830.52</x:v>
      </x:c>
      <x:c r="I574" s="14" t="str">
        <x:v>Internal Use</x:v>
      </x:c>
      <x:c r="J574" s="14" t="str">
        <x:v>Midwest</x:v>
      </x:c>
    </x:row>
    <x:row r="575">
      <x:c r="A575" s="50" t="n">
        <x:v>45944</x:v>
      </x:c>
      <x:c r="B575" s="14" t="str">
        <x:v>SKU-0147</x:v>
      </x:c>
      <x:c r="C575" s="52" t="n">
        <x:v>11</x:v>
      </x:c>
      <x:c r="D575" s="40" t="n">
        <x:v>59.68</x:v>
      </x:c>
      <x:c r="E575" s="44" t="n">
        <x:f>C575*D575</x:f>
        <x:v>656.48</x:v>
      </x:c>
      <x:c r="F575" s="40" t="n">
        <x:v>27.95</x:v>
      </x:c>
      <x:c r="G575" s="44" t="n">
        <x:f>C575*F575</x:f>
        <x:v>307.45</x:v>
      </x:c>
      <x:c r="H575" s="44" t="n">
        <x:f>E575-G575</x:f>
        <x:v>349.03000000000003</x:v>
      </x:c>
      <x:c r="I575" s="14" t="str">
        <x:v>Enterprise</x:v>
      </x:c>
      <x:c r="J575" s="14" t="str">
        <x:v>Southeast</x:v>
      </x:c>
    </x:row>
    <x:row r="576">
      <x:c r="A576" s="50" t="n">
        <x:v>45972</x:v>
      </x:c>
      <x:c r="B576" s="14" t="str">
        <x:v>SKU-0031</x:v>
      </x:c>
      <x:c r="C576" s="52" t="n">
        <x:v>46</x:v>
      </x:c>
      <x:c r="D576" s="40" t="n">
        <x:v>274.76</x:v>
      </x:c>
      <x:c r="E576" s="44" t="n">
        <x:f>C576*D576</x:f>
        <x:v>12638.96</x:v>
      </x:c>
      <x:c r="F576" s="40" t="n">
        <x:v>247.09</x:v>
      </x:c>
      <x:c r="G576" s="44" t="n">
        <x:f>C576*F576</x:f>
        <x:v>11366.14</x:v>
      </x:c>
      <x:c r="H576" s="44" t="n">
        <x:f>E576-G576</x:f>
        <x:v>1272.8199999999997</x:v>
      </x:c>
      <x:c r="I576" s="14" t="str">
        <x:v>Internal Use</x:v>
      </x:c>
      <x:c r="J576" s="14" t="str">
        <x:v>Midwest</x:v>
      </x:c>
    </x:row>
    <x:row r="577">
      <x:c r="A577" s="50" t="n">
        <x:v>45900</x:v>
      </x:c>
      <x:c r="B577" s="14" t="str">
        <x:v>SKU-0032</x:v>
      </x:c>
      <x:c r="C577" s="52" t="n">
        <x:v>4</x:v>
      </x:c>
      <x:c r="D577" s="40" t="n">
        <x:v>262.94</x:v>
      </x:c>
      <x:c r="E577" s="44" t="n">
        <x:f>C577*D577</x:f>
        <x:v>1051.76</x:v>
      </x:c>
      <x:c r="F577" s="40" t="n">
        <x:v>221</x:v>
      </x:c>
      <x:c r="G577" s="44" t="n">
        <x:f>C577*F577</x:f>
        <x:v>884</x:v>
      </x:c>
      <x:c r="H577" s="44" t="n">
        <x:f>E577-G577</x:f>
        <x:v>167.76</x:v>
      </x:c>
      <x:c r="I577" s="14" t="str">
        <x:v>Distributor</x:v>
      </x:c>
      <x:c r="J577" s="14" t="str">
        <x:v>Northeast</x:v>
      </x:c>
    </x:row>
    <x:row r="578">
      <x:c r="A578" s="50" t="n">
        <x:v>45943</x:v>
      </x:c>
      <x:c r="B578" s="14" t="str">
        <x:v>SKU-0022</x:v>
      </x:c>
      <x:c r="C578" s="52" t="n">
        <x:v>9</x:v>
      </x:c>
      <x:c r="D578" s="40" t="n">
        <x:v>287.3</x:v>
      </x:c>
      <x:c r="E578" s="44" t="n">
        <x:f>C578*D578</x:f>
        <x:v>2585.7000000000003</x:v>
      </x:c>
      <x:c r="F578" s="40" t="n">
        <x:v>167.48</x:v>
      </x:c>
      <x:c r="G578" s="44" t="n">
        <x:f>C578*F578</x:f>
        <x:v>1507.32</x:v>
      </x:c>
      <x:c r="H578" s="44" t="n">
        <x:f>E578-G578</x:f>
        <x:v>1078.3800000000003</x:v>
      </x:c>
      <x:c r="I578" s="14" t="str">
        <x:v>Internal Use</x:v>
      </x:c>
      <x:c r="J578" s="14" t="str">
        <x:v>Northeast</x:v>
      </x:c>
    </x:row>
    <x:row r="579">
      <x:c r="A579" s="50" t="n">
        <x:v>46033</x:v>
      </x:c>
      <x:c r="B579" s="14" t="str">
        <x:v>SKU-0064</x:v>
      </x:c>
      <x:c r="C579" s="52" t="n">
        <x:v>19</x:v>
      </x:c>
      <x:c r="D579" s="40" t="n">
        <x:v>97.88</x:v>
      </x:c>
      <x:c r="E579" s="44" t="n">
        <x:f>C579*D579</x:f>
        <x:v>1859.7199999999998</x:v>
      </x:c>
      <x:c r="F579" s="40" t="n">
        <x:v>62.55</x:v>
      </x:c>
      <x:c r="G579" s="44" t="n">
        <x:f>C579*F579</x:f>
        <x:v>1188.45</x:v>
      </x:c>
      <x:c r="H579" s="44" t="n">
        <x:f>E579-G579</x:f>
        <x:v>671.2699999999998</x:v>
      </x:c>
      <x:c r="I579" s="14" t="str">
        <x:v>SMB</x:v>
      </x:c>
      <x:c r="J579" s="14" t="str">
        <x:v>West</x:v>
      </x:c>
    </x:row>
    <x:row r="580">
      <x:c r="A580" s="50" t="n">
        <x:v>46147</x:v>
      </x:c>
      <x:c r="B580" s="14" t="str">
        <x:v>SKU-0081</x:v>
      </x:c>
      <x:c r="C580" s="52" t="n">
        <x:v>12</x:v>
      </x:c>
      <x:c r="D580" s="40" t="n">
        <x:v>304.2</x:v>
      </x:c>
      <x:c r="E580" s="44" t="n">
        <x:f>C580*D580</x:f>
        <x:v>3650.3999999999996</x:v>
      </x:c>
      <x:c r="F580" s="40" t="n">
        <x:v>198.25</x:v>
      </x:c>
      <x:c r="G580" s="44" t="n">
        <x:f>C580*F580</x:f>
        <x:v>2379</x:v>
      </x:c>
      <x:c r="H580" s="44" t="n">
        <x:f>E580-G580</x:f>
        <x:v>1271.3999999999996</x:v>
      </x:c>
      <x:c r="I580" s="14" t="str">
        <x:v>Enterprise</x:v>
      </x:c>
      <x:c r="J580" s="14" t="str">
        <x:v>Southeast</x:v>
      </x:c>
    </x:row>
    <x:row r="581">
      <x:c r="A581" s="50" t="n">
        <x:v>45976</x:v>
      </x:c>
      <x:c r="B581" s="14" t="str">
        <x:v>SKU-0010</x:v>
      </x:c>
      <x:c r="C581" s="52" t="n">
        <x:v>5</x:v>
      </x:c>
      <x:c r="D581" s="40" t="n">
        <x:v>170.39</x:v>
      </x:c>
      <x:c r="E581" s="44" t="n">
        <x:f>C581*D581</x:f>
        <x:v>851.9499999999999</x:v>
      </x:c>
      <x:c r="F581" s="40" t="n">
        <x:v>137.36</x:v>
      </x:c>
      <x:c r="G581" s="44" t="n">
        <x:f>C581*F581</x:f>
        <x:v>686.8000000000001</x:v>
      </x:c>
      <x:c r="H581" s="44" t="n">
        <x:f>E581-G581</x:f>
        <x:v>165.14999999999986</x:v>
      </x:c>
      <x:c r="I581" s="14" t="str">
        <x:v>Distributor</x:v>
      </x:c>
      <x:c r="J581" s="14" t="str">
        <x:v>Midwest</x:v>
      </x:c>
    </x:row>
    <x:row r="582">
      <x:c r="A582" s="50" t="n">
        <x:v>46198</x:v>
      </x:c>
      <x:c r="B582" s="14" t="str">
        <x:v>SKU-0033</x:v>
      </x:c>
      <x:c r="C582" s="52" t="n">
        <x:v>7</x:v>
      </x:c>
      <x:c r="D582" s="40" t="n">
        <x:v>263.92</x:v>
      </x:c>
      <x:c r="E582" s="44" t="n">
        <x:f>C582*D582</x:f>
        <x:v>1847.44</x:v>
      </x:c>
      <x:c r="F582" s="40" t="n">
        <x:v>185.66</x:v>
      </x:c>
      <x:c r="G582" s="44" t="n">
        <x:f>C582*F582</x:f>
        <x:v>1299.62</x:v>
      </x:c>
      <x:c r="H582" s="44" t="n">
        <x:f>E582-G582</x:f>
        <x:v>547.8200000000002</x:v>
      </x:c>
      <x:c r="I582" s="14" t="str">
        <x:v>SMB</x:v>
      </x:c>
      <x:c r="J582" s="14" t="str">
        <x:v>West</x:v>
      </x:c>
    </x:row>
    <x:row r="583">
      <x:c r="A583" s="50" t="n">
        <x:v>45922</x:v>
      </x:c>
      <x:c r="B583" s="14" t="str">
        <x:v>SKU-0117</x:v>
      </x:c>
      <x:c r="C583" s="52" t="n">
        <x:v>3</x:v>
      </x:c>
      <x:c r="D583" s="40" t="n">
        <x:v>177.78</x:v>
      </x:c>
      <x:c r="E583" s="44" t="n">
        <x:f>C583*D583</x:f>
        <x:v>533.34</x:v>
      </x:c>
      <x:c r="F583" s="40" t="n">
        <x:v>143.31</x:v>
      </x:c>
      <x:c r="G583" s="44" t="n">
        <x:f>C583*F583</x:f>
        <x:v>429.93</x:v>
      </x:c>
      <x:c r="H583" s="44" t="n">
        <x:f>E583-G583</x:f>
        <x:v>103.41000000000003</x:v>
      </x:c>
      <x:c r="I583" s="14" t="str">
        <x:v>SMB</x:v>
      </x:c>
      <x:c r="J583" s="14" t="str">
        <x:v>Midwest</x:v>
      </x:c>
    </x:row>
    <x:row r="584">
      <x:c r="A584" s="50" t="n">
        <x:v>46216</x:v>
      </x:c>
      <x:c r="B584" s="14" t="str">
        <x:v>SKU-0145</x:v>
      </x:c>
      <x:c r="C584" s="52" t="n">
        <x:v>13</x:v>
      </x:c>
      <x:c r="D584" s="40" t="n">
        <x:v>201.29</x:v>
      </x:c>
      <x:c r="E584" s="44" t="n">
        <x:f>C584*D584</x:f>
        <x:v>2616.77</x:v>
      </x:c>
      <x:c r="F584" s="40" t="n">
        <x:v>142.06</x:v>
      </x:c>
      <x:c r="G584" s="44" t="n">
        <x:f>C584*F584</x:f>
        <x:v>1846.78</x:v>
      </x:c>
      <x:c r="H584" s="44" t="n">
        <x:f>E584-G584</x:f>
        <x:v>769.99</x:v>
      </x:c>
      <x:c r="I584" s="14" t="str">
        <x:v>SMB</x:v>
      </x:c>
      <x:c r="J584" s="14" t="str">
        <x:v>Midwest</x:v>
      </x:c>
    </x:row>
    <x:row r="585">
      <x:c r="A585" s="50" t="n">
        <x:v>46074</x:v>
      </x:c>
      <x:c r="B585" s="14" t="str">
        <x:v>SKU-0112</x:v>
      </x:c>
      <x:c r="C585" s="52" t="n">
        <x:v>2</x:v>
      </x:c>
      <x:c r="D585" s="40" t="n">
        <x:v>272.96</x:v>
      </x:c>
      <x:c r="E585" s="44" t="n">
        <x:f>C585*D585</x:f>
        <x:v>545.92</x:v>
      </x:c>
      <x:c r="F585" s="40" t="n">
        <x:v>175.75</x:v>
      </x:c>
      <x:c r="G585" s="44" t="n">
        <x:f>C585*F585</x:f>
        <x:v>351.5</x:v>
      </x:c>
      <x:c r="H585" s="44" t="n">
        <x:f>E585-G585</x:f>
        <x:v>194.41999999999996</x:v>
      </x:c>
      <x:c r="I585" s="14" t="str">
        <x:v>Enterprise</x:v>
      </x:c>
      <x:c r="J585" s="14" t="str">
        <x:v>Midwest</x:v>
      </x:c>
    </x:row>
    <x:row r="586">
      <x:c r="A586" s="50" t="n">
        <x:v>46019</x:v>
      </x:c>
      <x:c r="B586" s="14" t="str">
        <x:v>SKU-0086</x:v>
      </x:c>
      <x:c r="C586" s="52" t="n">
        <x:v>6</x:v>
      </x:c>
      <x:c r="D586" s="40" t="n">
        <x:v>243.89</x:v>
      </x:c>
      <x:c r="E586" s="44" t="n">
        <x:f>C586*D586</x:f>
        <x:v>1463.34</x:v>
      </x:c>
      <x:c r="F586" s="40" t="n">
        <x:v>148.45</x:v>
      </x:c>
      <x:c r="G586" s="44" t="n">
        <x:f>C586*F586</x:f>
        <x:v>890.6999999999999</x:v>
      </x:c>
      <x:c r="H586" s="44" t="n">
        <x:f>E586-G586</x:f>
        <x:v>572.64</x:v>
      </x:c>
      <x:c r="I586" s="14" t="str">
        <x:v>SMB</x:v>
      </x:c>
      <x:c r="J586" s="14" t="str">
        <x:v>West</x:v>
      </x:c>
    </x:row>
    <x:row r="587">
      <x:c r="A587" s="50" t="n">
        <x:v>45943</x:v>
      </x:c>
      <x:c r="B587" s="14" t="str">
        <x:v>SKU-0027</x:v>
      </x:c>
      <x:c r="C587" s="52" t="n">
        <x:v>1</x:v>
      </x:c>
      <x:c r="D587" s="40" t="n">
        <x:v>285.26</x:v>
      </x:c>
      <x:c r="E587" s="44" t="n">
        <x:f>C587*D587</x:f>
        <x:v>285.26</x:v>
      </x:c>
      <x:c r="F587" s="40" t="n">
        <x:v>138.07</x:v>
      </x:c>
      <x:c r="G587" s="44" t="n">
        <x:f>C587*F587</x:f>
        <x:v>138.07</x:v>
      </x:c>
      <x:c r="H587" s="44" t="n">
        <x:f>E587-G587</x:f>
        <x:v>147.19</x:v>
      </x:c>
      <x:c r="I587" s="14" t="str">
        <x:v>Internal Use</x:v>
      </x:c>
      <x:c r="J587" s="14" t="str">
        <x:v>Northeast</x:v>
      </x:c>
    </x:row>
    <x:row r="588">
      <x:c r="A588" s="50" t="n">
        <x:v>46058</x:v>
      </x:c>
      <x:c r="B588" s="14" t="str">
        <x:v>SKU-0136</x:v>
      </x:c>
      <x:c r="C588" s="52" t="n">
        <x:v>69</x:v>
      </x:c>
      <x:c r="D588" s="40" t="n">
        <x:v>147.33</x:v>
      </x:c>
      <x:c r="E588" s="44" t="n">
        <x:f>C588*D588</x:f>
        <x:v>10165.77</x:v>
      </x:c>
      <x:c r="F588" s="40" t="n">
        <x:v>105.97</x:v>
      </x:c>
      <x:c r="G588" s="44" t="n">
        <x:f>C588*F588</x:f>
        <x:v>7311.93</x:v>
      </x:c>
      <x:c r="H588" s="44" t="n">
        <x:f>E588-G588</x:f>
        <x:v>2853.84</x:v>
      </x:c>
      <x:c r="I588" s="14" t="str">
        <x:v>Enterprise</x:v>
      </x:c>
      <x:c r="J588" s="14" t="str">
        <x:v>Northeast</x:v>
      </x:c>
    </x:row>
    <x:row r="589">
      <x:c r="A589" s="50" t="n">
        <x:v>46042</x:v>
      </x:c>
      <x:c r="B589" s="14" t="str">
        <x:v>SKU-0044</x:v>
      </x:c>
      <x:c r="C589" s="52" t="n">
        <x:v>24</x:v>
      </x:c>
      <x:c r="D589" s="40" t="n">
        <x:v>158.86</x:v>
      </x:c>
      <x:c r="E589" s="44" t="n">
        <x:f>C589*D589</x:f>
        <x:v>3812.6400000000003</x:v>
      </x:c>
      <x:c r="F589" s="40" t="n">
        <x:v>126.24</x:v>
      </x:c>
      <x:c r="G589" s="44" t="n">
        <x:f>C589*F589</x:f>
        <x:v>3029.7599999999998</x:v>
      </x:c>
      <x:c r="H589" s="44" t="n">
        <x:f>E589-G589</x:f>
        <x:v>782.8800000000006</x:v>
      </x:c>
      <x:c r="I589" s="14" t="str">
        <x:v>Internal Use</x:v>
      </x:c>
      <x:c r="J589" s="14" t="str">
        <x:v>West</x:v>
      </x:c>
    </x:row>
    <x:row r="590">
      <x:c r="A590" s="50" t="n">
        <x:v>46012</x:v>
      </x:c>
      <x:c r="B590" s="14" t="str">
        <x:v>SKU-0033</x:v>
      </x:c>
      <x:c r="C590" s="52" t="n">
        <x:v>5</x:v>
      </x:c>
      <x:c r="D590" s="40" t="n">
        <x:v>268.9</x:v>
      </x:c>
      <x:c r="E590" s="44" t="n">
        <x:f>C590*D590</x:f>
        <x:v>1344.5</x:v>
      </x:c>
      <x:c r="F590" s="40" t="n">
        <x:v>185.66</x:v>
      </x:c>
      <x:c r="G590" s="44" t="n">
        <x:f>C590*F590</x:f>
        <x:v>928.3</x:v>
      </x:c>
      <x:c r="H590" s="44" t="n">
        <x:f>E590-G590</x:f>
        <x:v>416.20000000000005</x:v>
      </x:c>
      <x:c r="I590" s="14" t="str">
        <x:v>Distributor</x:v>
      </x:c>
      <x:c r="J590" s="14" t="str">
        <x:v>Northeast</x:v>
      </x:c>
    </x:row>
    <x:row r="591">
      <x:c r="A591" s="50" t="n">
        <x:v>46242</x:v>
      </x:c>
      <x:c r="B591" s="14" t="str">
        <x:v>SKU-0095</x:v>
      </x:c>
      <x:c r="C591" s="52" t="n">
        <x:v>29</x:v>
      </x:c>
      <x:c r="D591" s="40" t="n">
        <x:v>295.81</x:v>
      </x:c>
      <x:c r="E591" s="44" t="n">
        <x:f>C591*D591</x:f>
        <x:v>8578.49</x:v>
      </x:c>
      <x:c r="F591" s="40" t="n">
        <x:v>225.04</x:v>
      </x:c>
      <x:c r="G591" s="44" t="n">
        <x:f>C591*F591</x:f>
        <x:v>6526.16</x:v>
      </x:c>
      <x:c r="H591" s="44" t="n">
        <x:f>E591-G591</x:f>
        <x:v>2052.33</x:v>
      </x:c>
      <x:c r="I591" s="14" t="str">
        <x:v>Internal Use</x:v>
      </x:c>
      <x:c r="J591" s="14" t="str">
        <x:v>Southeast</x:v>
      </x:c>
    </x:row>
    <x:row r="592">
      <x:c r="A592" s="50" t="n">
        <x:v>46061</x:v>
      </x:c>
      <x:c r="B592" s="14" t="str">
        <x:v>SKU-0113</x:v>
      </x:c>
      <x:c r="C592" s="52" t="n">
        <x:v>20</x:v>
      </x:c>
      <x:c r="D592" s="40" t="n">
        <x:v>270.63</x:v>
      </x:c>
      <x:c r="E592" s="44" t="n">
        <x:f>C592*D592</x:f>
        <x:v>5412.6</x:v>
      </x:c>
      <x:c r="F592" s="40" t="n">
        <x:v>222.58</x:v>
      </x:c>
      <x:c r="G592" s="44" t="n">
        <x:f>C592*F592</x:f>
        <x:v>4451.6</x:v>
      </x:c>
      <x:c r="H592" s="44" t="n">
        <x:f>E592-G592</x:f>
        <x:v>961</x:v>
      </x:c>
      <x:c r="I592" s="14" t="str">
        <x:v>Internal Use</x:v>
      </x:c>
      <x:c r="J592" s="14" t="str">
        <x:v>Southeast</x:v>
      </x:c>
    </x:row>
    <x:row r="593">
      <x:c r="A593" s="50" t="n">
        <x:v>46205</x:v>
      </x:c>
      <x:c r="B593" s="14" t="str">
        <x:v>SKU-0079</x:v>
      </x:c>
      <x:c r="C593" s="52" t="n">
        <x:v>7</x:v>
      </x:c>
      <x:c r="D593" s="40" t="n">
        <x:v>209.63</x:v>
      </x:c>
      <x:c r="E593" s="44" t="n">
        <x:f>C593*D593</x:f>
        <x:v>1467.4099999999999</x:v>
      </x:c>
      <x:c r="F593" s="40" t="n">
        <x:v>124.08</x:v>
      </x:c>
      <x:c r="G593" s="44" t="n">
        <x:f>C593*F593</x:f>
        <x:v>868.56</x:v>
      </x:c>
      <x:c r="H593" s="44" t="n">
        <x:f>E593-G593</x:f>
        <x:v>598.8499999999999</x:v>
      </x:c>
      <x:c r="I593" s="14" t="str">
        <x:v>Enterprise</x:v>
      </x:c>
      <x:c r="J593" s="14" t="str">
        <x:v>Northeast</x:v>
      </x:c>
    </x:row>
    <x:row r="594">
      <x:c r="A594" s="50" t="n">
        <x:v>45927</x:v>
      </x:c>
      <x:c r="B594" s="14" t="str">
        <x:v>SKU-0062</x:v>
      </x:c>
      <x:c r="C594" s="52" t="n">
        <x:v>19</x:v>
      </x:c>
      <x:c r="D594" s="40" t="n">
        <x:v>114.71</x:v>
      </x:c>
      <x:c r="E594" s="44" t="n">
        <x:f>C594*D594</x:f>
        <x:v>2179.49</x:v>
      </x:c>
      <x:c r="F594" s="40" t="n">
        <x:v>63.99</x:v>
      </x:c>
      <x:c r="G594" s="44" t="n">
        <x:f>C594*F594</x:f>
        <x:v>1215.81</x:v>
      </x:c>
      <x:c r="H594" s="44" t="n">
        <x:f>E594-G594</x:f>
        <x:v>963.6799999999998</x:v>
      </x:c>
      <x:c r="I594" s="14" t="str">
        <x:v>Enterprise</x:v>
      </x:c>
      <x:c r="J594" s="14" t="str">
        <x:v>West</x:v>
      </x:c>
    </x:row>
    <x:row r="595">
      <x:c r="A595" s="50" t="n">
        <x:v>45949</x:v>
      </x:c>
      <x:c r="B595" s="14" t="str">
        <x:v>SKU-0131</x:v>
      </x:c>
      <x:c r="C595" s="52" t="n">
        <x:v>8</x:v>
      </x:c>
      <x:c r="D595" s="40" t="n">
        <x:v>457.45</x:v>
      </x:c>
      <x:c r="E595" s="44" t="n">
        <x:f>C595*D595</x:f>
        <x:v>3659.6</x:v>
      </x:c>
      <x:c r="F595" s="40" t="n">
        <x:v>258.95</x:v>
      </x:c>
      <x:c r="G595" s="44" t="n">
        <x:f>C595*F595</x:f>
        <x:v>2071.6</x:v>
      </x:c>
      <x:c r="H595" s="44" t="n">
        <x:f>E595-G595</x:f>
        <x:v>1588</x:v>
      </x:c>
      <x:c r="I595" s="14" t="str">
        <x:v>Enterprise</x:v>
      </x:c>
      <x:c r="J595" s="14" t="str">
        <x:v>West</x:v>
      </x:c>
    </x:row>
    <x:row r="596">
      <x:c r="A596" s="50" t="n">
        <x:v>46195</x:v>
      </x:c>
      <x:c r="B596" s="14" t="str">
        <x:v>SKU-0004</x:v>
      </x:c>
      <x:c r="C596" s="52" t="n">
        <x:v>2</x:v>
      </x:c>
      <x:c r="D596" s="40" t="n">
        <x:v>350.31</x:v>
      </x:c>
      <x:c r="E596" s="44" t="n">
        <x:f>C596*D596</x:f>
        <x:v>700.62</x:v>
      </x:c>
      <x:c r="F596" s="40" t="n">
        <x:v>164.72</x:v>
      </x:c>
      <x:c r="G596" s="44" t="n">
        <x:f>C596*F596</x:f>
        <x:v>329.44</x:v>
      </x:c>
      <x:c r="H596" s="44" t="n">
        <x:f>E596-G596</x:f>
        <x:v>371.18</x:v>
      </x:c>
      <x:c r="I596" s="14" t="str">
        <x:v>Distributor</x:v>
      </x:c>
      <x:c r="J596" s="14" t="str">
        <x:v>Southeast</x:v>
      </x:c>
    </x:row>
    <x:row r="597">
      <x:c r="A597" s="50" t="n">
        <x:v>46230</x:v>
      </x:c>
      <x:c r="B597" s="14" t="str">
        <x:v>SKU-0136</x:v>
      </x:c>
      <x:c r="C597" s="52" t="n">
        <x:v>13</x:v>
      </x:c>
      <x:c r="D597" s="40" t="n">
        <x:v>156.62</x:v>
      </x:c>
      <x:c r="E597" s="44" t="n">
        <x:f>C597*D597</x:f>
        <x:v>2036.06</x:v>
      </x:c>
      <x:c r="F597" s="40" t="n">
        <x:v>105.97</x:v>
      </x:c>
      <x:c r="G597" s="44" t="n">
        <x:f>C597*F597</x:f>
        <x:v>1377.61</x:v>
      </x:c>
      <x:c r="H597" s="44" t="n">
        <x:f>E597-G597</x:f>
        <x:v>658.45</x:v>
      </x:c>
      <x:c r="I597" s="14" t="str">
        <x:v>SMB</x:v>
      </x:c>
      <x:c r="J597" s="14" t="str">
        <x:v>Southeast</x:v>
      </x:c>
    </x:row>
    <x:row r="598">
      <x:c r="A598" s="50" t="n">
        <x:v>46067</x:v>
      </x:c>
      <x:c r="B598" s="14" t="str">
        <x:v>SKU-0020</x:v>
      </x:c>
      <x:c r="C598" s="52" t="n">
        <x:v>23</x:v>
      </x:c>
      <x:c r="D598" s="40" t="n">
        <x:v>282.23</x:v>
      </x:c>
      <x:c r="E598" s="44" t="n">
        <x:f>C598*D598</x:f>
        <x:v>6491.290000000001</x:v>
      </x:c>
      <x:c r="F598" s="40" t="n">
        <x:v>163.22</x:v>
      </x:c>
      <x:c r="G598" s="44" t="n">
        <x:f>C598*F598</x:f>
        <x:v>3754.06</x:v>
      </x:c>
      <x:c r="H598" s="44" t="n">
        <x:f>E598-G598</x:f>
        <x:v>2737.230000000001</x:v>
      </x:c>
      <x:c r="I598" s="14" t="str">
        <x:v>Internal Use</x:v>
      </x:c>
      <x:c r="J598" s="14" t="str">
        <x:v>West</x:v>
      </x:c>
    </x:row>
    <x:row r="599">
      <x:c r="A599" s="50" t="n">
        <x:v>45967</x:v>
      </x:c>
      <x:c r="B599" s="14" t="str">
        <x:v>SKU-0098</x:v>
      </x:c>
      <x:c r="C599" s="52" t="n">
        <x:v>7</x:v>
      </x:c>
      <x:c r="D599" s="40" t="n">
        <x:v>400.32</x:v>
      </x:c>
      <x:c r="E599" s="44" t="n">
        <x:f>C599*D599</x:f>
        <x:v>2802.24</x:v>
      </x:c>
      <x:c r="F599" s="40" t="n">
        <x:v>270.95</x:v>
      </x:c>
      <x:c r="G599" s="44" t="n">
        <x:f>C599*F599</x:f>
        <x:v>1896.6499999999999</x:v>
      </x:c>
      <x:c r="H599" s="44" t="n">
        <x:f>E599-G599</x:f>
        <x:v>905.5899999999999</x:v>
      </x:c>
      <x:c r="I599" s="14" t="str">
        <x:v>SMB</x:v>
      </x:c>
      <x:c r="J599" s="14" t="str">
        <x:v>Northeast</x:v>
      </x:c>
    </x:row>
    <x:row r="600">
      <x:c r="A600" s="50" t="n">
        <x:v>46033</x:v>
      </x:c>
      <x:c r="B600" s="14" t="str">
        <x:v>SKU-0075</x:v>
      </x:c>
      <x:c r="C600" s="52" t="n">
        <x:v>8</x:v>
      </x:c>
      <x:c r="D600" s="40" t="n">
        <x:v>23.77</x:v>
      </x:c>
      <x:c r="E600" s="44" t="n">
        <x:f>C600*D600</x:f>
        <x:v>190.16</x:v>
      </x:c>
      <x:c r="F600" s="40" t="n">
        <x:v>13.66</x:v>
      </x:c>
      <x:c r="G600" s="44" t="n">
        <x:f>C600*F600</x:f>
        <x:v>109.28</x:v>
      </x:c>
      <x:c r="H600" s="44" t="n">
        <x:f>E600-G600</x:f>
        <x:v>80.88</x:v>
      </x:c>
      <x:c r="I600" s="14" t="str">
        <x:v>Internal Use</x:v>
      </x:c>
      <x:c r="J600" s="14" t="str">
        <x:v>Southeast</x:v>
      </x:c>
    </x:row>
    <x:row r="601">
      <x:c r="A601" s="50" t="n">
        <x:v>46209</x:v>
      </x:c>
      <x:c r="B601" s="14" t="str">
        <x:v>SKU-0079</x:v>
      </x:c>
      <x:c r="C601" s="52" t="n">
        <x:v>11</x:v>
      </x:c>
      <x:c r="D601" s="40" t="n">
        <x:v>238.73</x:v>
      </x:c>
      <x:c r="E601" s="44" t="n">
        <x:f>C601*D601</x:f>
        <x:v>2626.0299999999997</x:v>
      </x:c>
      <x:c r="F601" s="40" t="n">
        <x:v>124.08</x:v>
      </x:c>
      <x:c r="G601" s="44" t="n">
        <x:f>C601*F601</x:f>
        <x:v>1364.8799999999999</x:v>
      </x:c>
      <x:c r="H601" s="44" t="n">
        <x:f>E601-G601</x:f>
        <x:v>1261.1499999999999</x:v>
      </x:c>
      <x:c r="I601" s="14" t="str">
        <x:v>Internal Use</x:v>
      </x:c>
      <x:c r="J601" s="14" t="str">
        <x:v>Northeast</x:v>
      </x:c>
    </x:row>
    <x:row r="602">
      <x:c r="A602" s="50" t="n">
        <x:v>45883</x:v>
      </x:c>
      <x:c r="B602" s="14" t="str">
        <x:v>SKU-0092</x:v>
      </x:c>
      <x:c r="C602" s="52" t="n">
        <x:v>11</x:v>
      </x:c>
      <x:c r="D602" s="40" t="n">
        <x:v>174.85</x:v>
      </x:c>
      <x:c r="E602" s="44" t="n">
        <x:f>C602*D602</x:f>
        <x:v>1923.35</x:v>
      </x:c>
      <x:c r="F602" s="40" t="n">
        <x:v>125.08</x:v>
      </x:c>
      <x:c r="G602" s="44" t="n">
        <x:f>C602*F602</x:f>
        <x:v>1375.8799999999999</x:v>
      </x:c>
      <x:c r="H602" s="44" t="n">
        <x:f>E602-G602</x:f>
        <x:v>547.47</x:v>
      </x:c>
      <x:c r="I602" s="14" t="str">
        <x:v>Enterprise</x:v>
      </x:c>
      <x:c r="J602" s="14" t="str">
        <x:v>Midwest</x:v>
      </x:c>
    </x:row>
    <x:row r="603">
      <x:c r="A603" s="50" t="n">
        <x:v>46085</x:v>
      </x:c>
      <x:c r="B603" s="14" t="str">
        <x:v>SKU-0048</x:v>
      </x:c>
      <x:c r="C603" s="52" t="n">
        <x:v>7</x:v>
      </x:c>
      <x:c r="D603" s="40" t="n">
        <x:v>430.5</x:v>
      </x:c>
      <x:c r="E603" s="44" t="n">
        <x:f>C603*D603</x:f>
        <x:v>3013.5</x:v>
      </x:c>
      <x:c r="F603" s="40" t="n">
        <x:v>211.59</x:v>
      </x:c>
      <x:c r="G603" s="44" t="n">
        <x:f>C603*F603</x:f>
        <x:v>1481.13</x:v>
      </x:c>
      <x:c r="H603" s="44" t="n">
        <x:f>E603-G603</x:f>
        <x:v>1532.37</x:v>
      </x:c>
      <x:c r="I603" s="14" t="str">
        <x:v>Enterprise</x:v>
      </x:c>
      <x:c r="J603" s="14" t="str">
        <x:v>Southeast</x:v>
      </x:c>
    </x:row>
    <x:row r="604">
      <x:c r="A604" s="50" t="n">
        <x:v>45943</x:v>
      </x:c>
      <x:c r="B604" s="14" t="str">
        <x:v>SKU-0106</x:v>
      </x:c>
      <x:c r="C604" s="52" t="n">
        <x:v>14</x:v>
      </x:c>
      <x:c r="D604" s="40" t="n">
        <x:v>296.65</x:v>
      </x:c>
      <x:c r="E604" s="44" t="n">
        <x:f>C604*D604</x:f>
        <x:v>4153.099999999999</x:v>
      </x:c>
      <x:c r="F604" s="40" t="n">
        <x:v>220.84</x:v>
      </x:c>
      <x:c r="G604" s="44" t="n">
        <x:f>C604*F604</x:f>
        <x:v>3091.76</x:v>
      </x:c>
      <x:c r="H604" s="44" t="n">
        <x:f>E604-G604</x:f>
        <x:v>1061.3399999999992</x:v>
      </x:c>
      <x:c r="I604" s="14" t="str">
        <x:v>Distributor</x:v>
      </x:c>
      <x:c r="J604" s="14" t="str">
        <x:v>Midwest</x:v>
      </x:c>
    </x:row>
    <x:row r="605">
      <x:c r="A605" s="50" t="n">
        <x:v>46099</x:v>
      </x:c>
      <x:c r="B605" s="14" t="str">
        <x:v>SKU-0094</x:v>
      </x:c>
      <x:c r="C605" s="52" t="n">
        <x:v>28</x:v>
      </x:c>
      <x:c r="D605" s="40" t="n">
        <x:v>9.42</x:v>
      </x:c>
      <x:c r="E605" s="44" t="n">
        <x:f>C605*D605</x:f>
        <x:v>263.76</x:v>
      </x:c>
      <x:c r="F605" s="40" t="n">
        <x:v>4.75</x:v>
      </x:c>
      <x:c r="G605" s="44" t="n">
        <x:f>C605*F605</x:f>
        <x:v>133</x:v>
      </x:c>
      <x:c r="H605" s="44" t="n">
        <x:f>E605-G605</x:f>
        <x:v>130.76</x:v>
      </x:c>
      <x:c r="I605" s="14" t="str">
        <x:v>Internal Use</x:v>
      </x:c>
      <x:c r="J605" s="14" t="str">
        <x:v>West</x:v>
      </x:c>
    </x:row>
    <x:row r="606">
      <x:c r="A606" s="50" t="n">
        <x:v>45951</x:v>
      </x:c>
      <x:c r="B606" s="14" t="str">
        <x:v>SKU-0042</x:v>
      </x:c>
      <x:c r="C606" s="52" t="n">
        <x:v>6</x:v>
      </x:c>
      <x:c r="D606" s="40" t="n">
        <x:v>284.56</x:v>
      </x:c>
      <x:c r="E606" s="44" t="n">
        <x:f>C606*D606</x:f>
        <x:v>1707.3600000000001</x:v>
      </x:c>
      <x:c r="F606" s="40" t="n">
        <x:v>218.51</x:v>
      </x:c>
      <x:c r="G606" s="44" t="n">
        <x:f>C606*F606</x:f>
        <x:v>1311.06</x:v>
      </x:c>
      <x:c r="H606" s="44" t="n">
        <x:f>E606-G606</x:f>
        <x:v>396.3000000000002</x:v>
      </x:c>
      <x:c r="I606" s="14" t="str">
        <x:v>SMB</x:v>
      </x:c>
      <x:c r="J606" s="14" t="str">
        <x:v>Northeast</x:v>
      </x:c>
    </x:row>
    <x:row r="607">
      <x:c r="A607" s="50" t="n">
        <x:v>46025</x:v>
      </x:c>
      <x:c r="B607" s="14" t="str">
        <x:v>SKU-0049</x:v>
      </x:c>
      <x:c r="C607" s="52" t="n">
        <x:v>3</x:v>
      </x:c>
      <x:c r="D607" s="40" t="n">
        <x:v>99.32</x:v>
      </x:c>
      <x:c r="E607" s="44" t="n">
        <x:f>C607*D607</x:f>
        <x:v>297.96</x:v>
      </x:c>
      <x:c r="F607" s="40" t="n">
        <x:v>63.39</x:v>
      </x:c>
      <x:c r="G607" s="44" t="n">
        <x:f>C607*F607</x:f>
        <x:v>190.17000000000002</x:v>
      </x:c>
      <x:c r="H607" s="44" t="n">
        <x:f>E607-G607</x:f>
        <x:v>107.78999999999996</x:v>
      </x:c>
      <x:c r="I607" s="14" t="str">
        <x:v>Enterprise</x:v>
      </x:c>
      <x:c r="J607" s="14" t="str">
        <x:v>Southeast</x:v>
      </x:c>
    </x:row>
    <x:row r="608">
      <x:c r="A608" s="50" t="n">
        <x:v>46125</x:v>
      </x:c>
      <x:c r="B608" s="14" t="str">
        <x:v>SKU-0051</x:v>
      </x:c>
      <x:c r="C608" s="52" t="n">
        <x:v>3</x:v>
      </x:c>
      <x:c r="D608" s="40" t="n">
        <x:v>105.61</x:v>
      </x:c>
      <x:c r="E608" s="44" t="n">
        <x:f>C608*D608</x:f>
        <x:v>316.83</x:v>
      </x:c>
      <x:c r="F608" s="40" t="n">
        <x:v>74.69</x:v>
      </x:c>
      <x:c r="G608" s="44" t="n">
        <x:f>C608*F608</x:f>
        <x:v>224.07</x:v>
      </x:c>
      <x:c r="H608" s="44" t="n">
        <x:f>E608-G608</x:f>
        <x:v>92.75999999999999</x:v>
      </x:c>
      <x:c r="I608" s="14" t="str">
        <x:v>SMB</x:v>
      </x:c>
      <x:c r="J608" s="14" t="str">
        <x:v>Midwest</x:v>
      </x:c>
    </x:row>
    <x:row r="609">
      <x:c r="A609" s="50" t="n">
        <x:v>46136</x:v>
      </x:c>
      <x:c r="B609" s="14" t="str">
        <x:v>SKU-0103</x:v>
      </x:c>
      <x:c r="C609" s="52" t="n">
        <x:v>30</x:v>
      </x:c>
      <x:c r="D609" s="40" t="n">
        <x:v>281.53</x:v>
      </x:c>
      <x:c r="E609" s="44" t="n">
        <x:f>C609*D609</x:f>
        <x:v>8445.9</x:v>
      </x:c>
      <x:c r="F609" s="40" t="n">
        <x:v>208.48</x:v>
      </x:c>
      <x:c r="G609" s="44" t="n">
        <x:f>C609*F609</x:f>
        <x:v>6254.4</x:v>
      </x:c>
      <x:c r="H609" s="44" t="n">
        <x:f>E609-G609</x:f>
        <x:v>2191.5</x:v>
      </x:c>
      <x:c r="I609" s="14" t="str">
        <x:v>SMB</x:v>
      </x:c>
      <x:c r="J609" s="14" t="str">
        <x:v>Northeast</x:v>
      </x:c>
    </x:row>
    <x:row r="610">
      <x:c r="A610" s="50" t="n">
        <x:v>45890</x:v>
      </x:c>
      <x:c r="B610" s="14" t="str">
        <x:v>SKU-0028</x:v>
      </x:c>
      <x:c r="C610" s="52" t="n">
        <x:v>4</x:v>
      </x:c>
      <x:c r="D610" s="40" t="n">
        <x:v>327.67</x:v>
      </x:c>
      <x:c r="E610" s="44" t="n">
        <x:f>C610*D610</x:f>
        <x:v>1310.68</x:v>
      </x:c>
      <x:c r="F610" s="40" t="n">
        <x:v>274.39</x:v>
      </x:c>
      <x:c r="G610" s="44" t="n">
        <x:f>C610*F610</x:f>
        <x:v>1097.56</x:v>
      </x:c>
      <x:c r="H610" s="44" t="n">
        <x:f>E610-G610</x:f>
        <x:v>213.12000000000012</x:v>
      </x:c>
      <x:c r="I610" s="14" t="str">
        <x:v>SMB</x:v>
      </x:c>
      <x:c r="J610" s="14" t="str">
        <x:v>Northeast</x:v>
      </x:c>
    </x:row>
    <x:row r="611">
      <x:c r="A611" s="50" t="n">
        <x:v>46099</x:v>
      </x:c>
      <x:c r="B611" s="14" t="str">
        <x:v>SKU-0088</x:v>
      </x:c>
      <x:c r="C611" s="52" t="n">
        <x:v>7</x:v>
      </x:c>
      <x:c r="D611" s="40" t="n">
        <x:v>36.84</x:v>
      </x:c>
      <x:c r="E611" s="44" t="n">
        <x:f>C611*D611</x:f>
        <x:v>257.88</x:v>
      </x:c>
      <x:c r="F611" s="40" t="n">
        <x:v>21.49</x:v>
      </x:c>
      <x:c r="G611" s="44" t="n">
        <x:f>C611*F611</x:f>
        <x:v>150.42999999999998</x:v>
      </x:c>
      <x:c r="H611" s="44" t="n">
        <x:f>E611-G611</x:f>
        <x:v>107.45000000000002</x:v>
      </x:c>
      <x:c r="I611" s="14" t="str">
        <x:v>Internal Use</x:v>
      </x:c>
      <x:c r="J611" s="14" t="str">
        <x:v>Southeast</x:v>
      </x:c>
    </x:row>
    <x:row r="612">
      <x:c r="A612" s="50" t="n">
        <x:v>46141</x:v>
      </x:c>
      <x:c r="B612" s="14" t="str">
        <x:v>SKU-0040</x:v>
      </x:c>
      <x:c r="C612" s="52" t="n">
        <x:v>4</x:v>
      </x:c>
      <x:c r="D612" s="40" t="n">
        <x:v>405.37</x:v>
      </x:c>
      <x:c r="E612" s="44" t="n">
        <x:f>C612*D612</x:f>
        <x:v>1621.48</x:v>
      </x:c>
      <x:c r="F612" s="40" t="n">
        <x:v>229.61</x:v>
      </x:c>
      <x:c r="G612" s="44" t="n">
        <x:f>C612*F612</x:f>
        <x:v>918.44</x:v>
      </x:c>
      <x:c r="H612" s="44" t="n">
        <x:f>E612-G612</x:f>
        <x:v>703.04</x:v>
      </x:c>
      <x:c r="I612" s="14" t="str">
        <x:v>Distributor</x:v>
      </x:c>
      <x:c r="J612" s="14" t="str">
        <x:v>Southeast</x:v>
      </x:c>
    </x:row>
    <x:row r="613">
      <x:c r="A613" s="50" t="n">
        <x:v>45981</x:v>
      </x:c>
      <x:c r="B613" s="14" t="str">
        <x:v>SKU-0110</x:v>
      </x:c>
      <x:c r="C613" s="52" t="n">
        <x:v>7</x:v>
      </x:c>
      <x:c r="D613" s="40" t="n">
        <x:v>26.26</x:v>
      </x:c>
      <x:c r="E613" s="44" t="n">
        <x:f>C613*D613</x:f>
        <x:v>183.82000000000002</x:v>
      </x:c>
      <x:c r="F613" s="40" t="n">
        <x:v>14.53</x:v>
      </x:c>
      <x:c r="G613" s="44" t="n">
        <x:f>C613*F613</x:f>
        <x:v>101.71</x:v>
      </x:c>
      <x:c r="H613" s="44" t="n">
        <x:f>E613-G613</x:f>
        <x:v>82.11000000000003</x:v>
      </x:c>
      <x:c r="I613" s="14" t="str">
        <x:v>SMB</x:v>
      </x:c>
      <x:c r="J613" s="14" t="str">
        <x:v>Southeast</x:v>
      </x:c>
    </x:row>
    <x:row r="614">
      <x:c r="A614" s="50" t="n">
        <x:v>45997</x:v>
      </x:c>
      <x:c r="B614" s="14" t="str">
        <x:v>SKU-0039</x:v>
      </x:c>
      <x:c r="C614" s="52" t="n">
        <x:v>3</x:v>
      </x:c>
      <x:c r="D614" s="40" t="n">
        <x:v>214.15</x:v>
      </x:c>
      <x:c r="E614" s="44" t="n">
        <x:f>C614*D614</x:f>
        <x:v>642.45</x:v>
      </x:c>
      <x:c r="F614" s="40" t="n">
        <x:v>125.1</x:v>
      </x:c>
      <x:c r="G614" s="44" t="n">
        <x:f>C614*F614</x:f>
        <x:v>375.29999999999995</x:v>
      </x:c>
      <x:c r="H614" s="44" t="n">
        <x:f>E614-G614</x:f>
        <x:v>267.1500000000001</x:v>
      </x:c>
      <x:c r="I614" s="14" t="str">
        <x:v>SMB</x:v>
      </x:c>
      <x:c r="J614" s="14" t="str">
        <x:v>Southeast</x:v>
      </x:c>
    </x:row>
    <x:row r="615">
      <x:c r="A615" s="50" t="n">
        <x:v>45889</x:v>
      </x:c>
      <x:c r="B615" s="14" t="str">
        <x:v>SKU-0110</x:v>
      </x:c>
      <x:c r="C615" s="52" t="n">
        <x:v>10</x:v>
      </x:c>
      <x:c r="D615" s="40" t="n">
        <x:v>26.03</x:v>
      </x:c>
      <x:c r="E615" s="44" t="n">
        <x:f>C615*D615</x:f>
        <x:v>260.3</x:v>
      </x:c>
      <x:c r="F615" s="40" t="n">
        <x:v>14.53</x:v>
      </x:c>
      <x:c r="G615" s="44" t="n">
        <x:f>C615*F615</x:f>
        <x:v>145.29999999999998</x:v>
      </x:c>
      <x:c r="H615" s="44" t="n">
        <x:f>E615-G615</x:f>
        <x:v>115.00000000000003</x:v>
      </x:c>
      <x:c r="I615" s="14" t="str">
        <x:v>Internal Use</x:v>
      </x:c>
      <x:c r="J615" s="14" t="str">
        <x:v>Midwest</x:v>
      </x:c>
    </x:row>
    <x:row r="616">
      <x:c r="A616" s="50" t="n">
        <x:v>45993</x:v>
      </x:c>
      <x:c r="B616" s="14" t="str">
        <x:v>SKU-0060</x:v>
      </x:c>
      <x:c r="C616" s="52" t="n">
        <x:v>5</x:v>
      </x:c>
      <x:c r="D616" s="40" t="n">
        <x:v>119.63</x:v>
      </x:c>
      <x:c r="E616" s="44" t="n">
        <x:f>C616*D616</x:f>
        <x:v>598.15</x:v>
      </x:c>
      <x:c r="F616" s="40" t="n">
        <x:v>61.36</x:v>
      </x:c>
      <x:c r="G616" s="44" t="n">
        <x:f>C616*F616</x:f>
        <x:v>306.8</x:v>
      </x:c>
      <x:c r="H616" s="44" t="n">
        <x:f>E616-G616</x:f>
        <x:v>291.34999999999997</x:v>
      </x:c>
      <x:c r="I616" s="14" t="str">
        <x:v>Enterprise</x:v>
      </x:c>
      <x:c r="J616" s="14" t="str">
        <x:v>Midwest</x:v>
      </x:c>
    </x:row>
    <x:row r="617">
      <x:c r="A617" s="50" t="n">
        <x:v>46017</x:v>
      </x:c>
      <x:c r="B617" s="14" t="str">
        <x:v>SKU-0029</x:v>
      </x:c>
      <x:c r="C617" s="52" t="n">
        <x:v>13</x:v>
      </x:c>
      <x:c r="D617" s="40" t="n">
        <x:v>19.23</x:v>
      </x:c>
      <x:c r="E617" s="44" t="n">
        <x:f>C617*D617</x:f>
        <x:v>249.99</x:v>
      </x:c>
      <x:c r="F617" s="40" t="n">
        <x:v>12.5</x:v>
      </x:c>
      <x:c r="G617" s="44" t="n">
        <x:f>C617*F617</x:f>
        <x:v>162.5</x:v>
      </x:c>
      <x:c r="H617" s="44" t="n">
        <x:f>E617-G617</x:f>
        <x:v>87.49000000000001</x:v>
      </x:c>
      <x:c r="I617" s="14" t="str">
        <x:v>SMB</x:v>
      </x:c>
      <x:c r="J617" s="14" t="str">
        <x:v>Northeast</x:v>
      </x:c>
    </x:row>
    <x:row r="618">
      <x:c r="A618" s="50" t="n">
        <x:v>45906</x:v>
      </x:c>
      <x:c r="B618" s="14" t="str">
        <x:v>SKU-0001</x:v>
      </x:c>
      <x:c r="C618" s="52" t="n">
        <x:v>12</x:v>
      </x:c>
      <x:c r="D618" s="40" t="n">
        <x:v>277.87</x:v>
      </x:c>
      <x:c r="E618" s="44" t="n">
        <x:f>C618*D618</x:f>
        <x:v>3334.44</x:v>
      </x:c>
      <x:c r="F618" s="40" t="n">
        <x:v>178.71</x:v>
      </x:c>
      <x:c r="G618" s="44" t="n">
        <x:f>C618*F618</x:f>
        <x:v>2144.52</x:v>
      </x:c>
      <x:c r="H618" s="44" t="n">
        <x:f>E618-G618</x:f>
        <x:v>1189.92</x:v>
      </x:c>
      <x:c r="I618" s="14" t="str">
        <x:v>Distributor</x:v>
      </x:c>
      <x:c r="J618" s="14" t="str">
        <x:v>Northeast</x:v>
      </x:c>
    </x:row>
    <x:row r="619">
      <x:c r="A619" s="50" t="n">
        <x:v>45974</x:v>
      </x:c>
      <x:c r="B619" s="14" t="str">
        <x:v>SKU-0111</x:v>
      </x:c>
      <x:c r="C619" s="52" t="n">
        <x:v>4</x:v>
      </x:c>
      <x:c r="D619" s="40" t="n">
        <x:v>147.74</x:v>
      </x:c>
      <x:c r="E619" s="44" t="n">
        <x:f>C619*D619</x:f>
        <x:v>590.96</x:v>
      </x:c>
      <x:c r="F619" s="40" t="n">
        <x:v>120.79</x:v>
      </x:c>
      <x:c r="G619" s="44" t="n">
        <x:f>C619*F619</x:f>
        <x:v>483.16</x:v>
      </x:c>
      <x:c r="H619" s="44" t="n">
        <x:f>E619-G619</x:f>
        <x:v>107.80000000000001</x:v>
      </x:c>
      <x:c r="I619" s="14" t="str">
        <x:v>Enterprise</x:v>
      </x:c>
      <x:c r="J619" s="14" t="str">
        <x:v>Northeast</x:v>
      </x:c>
    </x:row>
    <x:row r="620">
      <x:c r="A620" s="50" t="n">
        <x:v>46229</x:v>
      </x:c>
      <x:c r="B620" s="14" t="str">
        <x:v>SKU-0004</x:v>
      </x:c>
      <x:c r="C620" s="52" t="n">
        <x:v>15</x:v>
      </x:c>
      <x:c r="D620" s="40" t="n">
        <x:v>339.43</x:v>
      </x:c>
      <x:c r="E620" s="44" t="n">
        <x:f>C620*D620</x:f>
        <x:v>5091.45</x:v>
      </x:c>
      <x:c r="F620" s="40" t="n">
        <x:v>164.72</x:v>
      </x:c>
      <x:c r="G620" s="44" t="n">
        <x:f>C620*F620</x:f>
        <x:v>2470.8</x:v>
      </x:c>
      <x:c r="H620" s="44" t="n">
        <x:f>E620-G620</x:f>
        <x:v>2620.6499999999996</x:v>
      </x:c>
      <x:c r="I620" s="14" t="str">
        <x:v>Distributor</x:v>
      </x:c>
      <x:c r="J620" s="14" t="str">
        <x:v>Midwest</x:v>
      </x:c>
    </x:row>
    <x:row r="621">
      <x:c r="A621" s="50" t="n">
        <x:v>46212</x:v>
      </x:c>
      <x:c r="B621" s="14" t="str">
        <x:v>SKU-0061</x:v>
      </x:c>
      <x:c r="C621" s="52" t="n">
        <x:v>4</x:v>
      </x:c>
      <x:c r="D621" s="40" t="n">
        <x:v>295.78</x:v>
      </x:c>
      <x:c r="E621" s="44" t="n">
        <x:f>C621*D621</x:f>
        <x:v>1183.12</x:v>
      </x:c>
      <x:c r="F621" s="40" t="n">
        <x:v>202.32</x:v>
      </x:c>
      <x:c r="G621" s="44" t="n">
        <x:f>C621*F621</x:f>
        <x:v>809.28</x:v>
      </x:c>
      <x:c r="H621" s="44" t="n">
        <x:f>E621-G621</x:f>
        <x:v>373.8399999999999</x:v>
      </x:c>
      <x:c r="I621" s="14" t="str">
        <x:v>Enterprise</x:v>
      </x:c>
      <x:c r="J621" s="14" t="str">
        <x:v>Southeast</x:v>
      </x:c>
    </x:row>
    <x:row r="622">
      <x:c r="A622" s="50" t="n">
        <x:v>45901</x:v>
      </x:c>
      <x:c r="B622" s="14" t="str">
        <x:v>SKU-0031</x:v>
      </x:c>
      <x:c r="C622" s="52" t="n">
        <x:v>34</x:v>
      </x:c>
      <x:c r="D622" s="40" t="n">
        <x:v>304.46</x:v>
      </x:c>
      <x:c r="E622" s="44" t="n">
        <x:f>C622*D622</x:f>
        <x:v>10351.64</x:v>
      </x:c>
      <x:c r="F622" s="40" t="n">
        <x:v>247.09</x:v>
      </x:c>
      <x:c r="G622" s="44" t="n">
        <x:f>C622*F622</x:f>
        <x:v>8401.06</x:v>
      </x:c>
      <x:c r="H622" s="44" t="n">
        <x:f>E622-G622</x:f>
        <x:v>1950.58</x:v>
      </x:c>
      <x:c r="I622" s="14" t="str">
        <x:v>SMB</x:v>
      </x:c>
      <x:c r="J622" s="14" t="str">
        <x:v>Southeast</x:v>
      </x:c>
    </x:row>
    <x:row r="623">
      <x:c r="A623" s="50" t="n">
        <x:v>45930</x:v>
      </x:c>
      <x:c r="B623" s="14" t="str">
        <x:v>SKU-0115</x:v>
      </x:c>
      <x:c r="C623" s="52" t="n">
        <x:v>2</x:v>
      </x:c>
      <x:c r="D623" s="40" t="n">
        <x:v>33.67</x:v>
      </x:c>
      <x:c r="E623" s="44" t="n">
        <x:f>C623*D623</x:f>
        <x:v>67.34</x:v>
      </x:c>
      <x:c r="F623" s="40" t="n">
        <x:v>27.81</x:v>
      </x:c>
      <x:c r="G623" s="44" t="n">
        <x:f>C623*F623</x:f>
        <x:v>55.62</x:v>
      </x:c>
      <x:c r="H623" s="44" t="n">
        <x:f>E623-G623</x:f>
        <x:v>11.720000000000006</x:v>
      </x:c>
      <x:c r="I623" s="14" t="str">
        <x:v>Internal Use</x:v>
      </x:c>
      <x:c r="J623" s="14" t="str">
        <x:v>Southeast</x:v>
      </x:c>
    </x:row>
    <x:row r="624">
      <x:c r="A624" s="50" t="n">
        <x:v>45958</x:v>
      </x:c>
      <x:c r="B624" s="14" t="str">
        <x:v>SKU-0137</x:v>
      </x:c>
      <x:c r="C624" s="52" t="n">
        <x:v>9</x:v>
      </x:c>
      <x:c r="D624" s="40" t="n">
        <x:v>162.46</x:v>
      </x:c>
      <x:c r="E624" s="44" t="n">
        <x:f>C624*D624</x:f>
        <x:v>1462.14</x:v>
      </x:c>
      <x:c r="F624" s="40" t="n">
        <x:v>93.99</x:v>
      </x:c>
      <x:c r="G624" s="44" t="n">
        <x:f>C624*F624</x:f>
        <x:v>845.91</x:v>
      </x:c>
      <x:c r="H624" s="44" t="n">
        <x:f>E624-G624</x:f>
        <x:v>616.2300000000001</x:v>
      </x:c>
      <x:c r="I624" s="14" t="str">
        <x:v>Distributor</x:v>
      </x:c>
      <x:c r="J624" s="14" t="str">
        <x:v>Midwest</x:v>
      </x:c>
    </x:row>
    <x:row r="625">
      <x:c r="A625" s="50" t="n">
        <x:v>46202</x:v>
      </x:c>
      <x:c r="B625" s="14" t="str">
        <x:v>SKU-0115</x:v>
      </x:c>
      <x:c r="C625" s="52" t="n">
        <x:v>3</x:v>
      </x:c>
      <x:c r="D625" s="40" t="n">
        <x:v>36.79</x:v>
      </x:c>
      <x:c r="E625" s="44" t="n">
        <x:f>C625*D625</x:f>
        <x:v>110.37</x:v>
      </x:c>
      <x:c r="F625" s="40" t="n">
        <x:v>27.81</x:v>
      </x:c>
      <x:c r="G625" s="44" t="n">
        <x:f>C625*F625</x:f>
        <x:v>83.42999999999999</x:v>
      </x:c>
      <x:c r="H625" s="44" t="n">
        <x:f>E625-G625</x:f>
        <x:v>26.940000000000012</x:v>
      </x:c>
      <x:c r="I625" s="14" t="str">
        <x:v>Enterprise</x:v>
      </x:c>
      <x:c r="J625" s="14" t="str">
        <x:v>Southeast</x:v>
      </x:c>
    </x:row>
    <x:row r="626">
      <x:c r="A626" s="50" t="n">
        <x:v>46236</x:v>
      </x:c>
      <x:c r="B626" s="14" t="str">
        <x:v>SKU-0071</x:v>
      </x:c>
      <x:c r="C626" s="52" t="n">
        <x:v>22</x:v>
      </x:c>
      <x:c r="D626" s="40" t="n">
        <x:v>384.73</x:v>
      </x:c>
      <x:c r="E626" s="44" t="n">
        <x:f>C626*D626</x:f>
        <x:v>8464.060000000001</x:v>
      </x:c>
      <x:c r="F626" s="40" t="n">
        <x:v>198.68</x:v>
      </x:c>
      <x:c r="G626" s="44" t="n">
        <x:f>C626*F626</x:f>
        <x:v>4370.96</x:v>
      </x:c>
      <x:c r="H626" s="44" t="n">
        <x:f>E626-G626</x:f>
        <x:v>4093.1000000000013</x:v>
      </x:c>
      <x:c r="I626" s="14" t="str">
        <x:v>Enterprise</x:v>
      </x:c>
      <x:c r="J626" s="14" t="str">
        <x:v>Southeast</x:v>
      </x:c>
    </x:row>
    <x:row r="627">
      <x:c r="A627" s="50" t="n">
        <x:v>46133</x:v>
      </x:c>
      <x:c r="B627" s="14" t="str">
        <x:v>SKU-0102</x:v>
      </x:c>
      <x:c r="C627" s="52" t="n">
        <x:v>63</x:v>
      </x:c>
      <x:c r="D627" s="40" t="n">
        <x:v>377</x:v>
      </x:c>
      <x:c r="E627" s="44" t="n">
        <x:f>C627*D627</x:f>
        <x:v>23751</x:v>
      </x:c>
      <x:c r="F627" s="40" t="n">
        <x:v>278.87</x:v>
      </x:c>
      <x:c r="G627" s="44" t="n">
        <x:f>C627*F627</x:f>
        <x:v>17568.81</x:v>
      </x:c>
      <x:c r="H627" s="44" t="n">
        <x:f>E627-G627</x:f>
        <x:v>6182.189999999999</x:v>
      </x:c>
      <x:c r="I627" s="14" t="str">
        <x:v>SMB</x:v>
      </x:c>
      <x:c r="J627" s="14" t="str">
        <x:v>West</x:v>
      </x:c>
    </x:row>
    <x:row r="628">
      <x:c r="A628" s="50" t="n">
        <x:v>46076</x:v>
      </x:c>
      <x:c r="B628" s="14" t="str">
        <x:v>SKU-0131</x:v>
      </x:c>
      <x:c r="C628" s="52" t="n">
        <x:v>10</x:v>
      </x:c>
      <x:c r="D628" s="40" t="n">
        <x:v>431.9</x:v>
      </x:c>
      <x:c r="E628" s="44" t="n">
        <x:f>C628*D628</x:f>
        <x:v>4319</x:v>
      </x:c>
      <x:c r="F628" s="40" t="n">
        <x:v>258.95</x:v>
      </x:c>
      <x:c r="G628" s="44" t="n">
        <x:f>C628*F628</x:f>
        <x:v>2589.5</x:v>
      </x:c>
      <x:c r="H628" s="44" t="n">
        <x:f>E628-G628</x:f>
        <x:v>1729.5</x:v>
      </x:c>
      <x:c r="I628" s="14" t="str">
        <x:v>SMB</x:v>
      </x:c>
      <x:c r="J628" s="14" t="str">
        <x:v>Southeast</x:v>
      </x:c>
    </x:row>
    <x:row r="629">
      <x:c r="A629" s="50" t="n">
        <x:v>45961</x:v>
      </x:c>
      <x:c r="B629" s="14" t="str">
        <x:v>SKU-0001</x:v>
      </x:c>
      <x:c r="C629" s="52" t="n">
        <x:v>11</x:v>
      </x:c>
      <x:c r="D629" s="40" t="n">
        <x:v>265.65</x:v>
      </x:c>
      <x:c r="E629" s="44" t="n">
        <x:f>C629*D629</x:f>
        <x:v>2922.1499999999996</x:v>
      </x:c>
      <x:c r="F629" s="40" t="n">
        <x:v>178.71</x:v>
      </x:c>
      <x:c r="G629" s="44" t="n">
        <x:f>C629*F629</x:f>
        <x:v>1965.8100000000002</x:v>
      </x:c>
      <x:c r="H629" s="44" t="n">
        <x:f>E629-G629</x:f>
        <x:v>956.3399999999995</x:v>
      </x:c>
      <x:c r="I629" s="14" t="str">
        <x:v>Internal Use</x:v>
      </x:c>
      <x:c r="J629" s="14" t="str">
        <x:v>Midwest</x:v>
      </x:c>
    </x:row>
    <x:row r="630">
      <x:c r="A630" s="50" t="n">
        <x:v>45992</x:v>
      </x:c>
      <x:c r="B630" s="14" t="str">
        <x:v>SKU-0078</x:v>
      </x:c>
      <x:c r="C630" s="52" t="n">
        <x:v>6</x:v>
      </x:c>
      <x:c r="D630" s="40" t="n">
        <x:v>26.28</x:v>
      </x:c>
      <x:c r="E630" s="44" t="n">
        <x:f>C630*D630</x:f>
        <x:v>157.68</x:v>
      </x:c>
      <x:c r="F630" s="40" t="n">
        <x:v>17.54</x:v>
      </x:c>
      <x:c r="G630" s="44" t="n">
        <x:f>C630*F630</x:f>
        <x:v>105.24</x:v>
      </x:c>
      <x:c r="H630" s="44" t="n">
        <x:f>E630-G630</x:f>
        <x:v>52.44000000000001</x:v>
      </x:c>
      <x:c r="I630" s="14" t="str">
        <x:v>SMB</x:v>
      </x:c>
      <x:c r="J630" s="14" t="str">
        <x:v>Northeast</x:v>
      </x:c>
    </x:row>
    <x:row r="631">
      <x:c r="A631" s="50" t="n">
        <x:v>46001</x:v>
      </x:c>
      <x:c r="B631" s="14" t="str">
        <x:v>SKU-0137</x:v>
      </x:c>
      <x:c r="C631" s="52" t="n">
        <x:v>4</x:v>
      </x:c>
      <x:c r="D631" s="40" t="n">
        <x:v>164</x:v>
      </x:c>
      <x:c r="E631" s="44" t="n">
        <x:f>C631*D631</x:f>
        <x:v>656</x:v>
      </x:c>
      <x:c r="F631" s="40" t="n">
        <x:v>93.99</x:v>
      </x:c>
      <x:c r="G631" s="44" t="n">
        <x:f>C631*F631</x:f>
        <x:v>375.96</x:v>
      </x:c>
      <x:c r="H631" s="44" t="n">
        <x:f>E631-G631</x:f>
        <x:v>280.04</x:v>
      </x:c>
      <x:c r="I631" s="14" t="str">
        <x:v>Distributor</x:v>
      </x:c>
      <x:c r="J631" s="14" t="str">
        <x:v>Southeast</x:v>
      </x:c>
    </x:row>
    <x:row r="632">
      <x:c r="A632" s="50" t="n">
        <x:v>45906</x:v>
      </x:c>
      <x:c r="B632" s="14" t="str">
        <x:v>SKU-0070</x:v>
      </x:c>
      <x:c r="C632" s="52" t="n">
        <x:v>11</x:v>
      </x:c>
      <x:c r="D632" s="40" t="n">
        <x:v>117.96</x:v>
      </x:c>
      <x:c r="E632" s="44" t="n">
        <x:f>C632*D632</x:f>
        <x:v>1297.56</x:v>
      </x:c>
      <x:c r="F632" s="40" t="n">
        <x:v>69.06</x:v>
      </x:c>
      <x:c r="G632" s="44" t="n">
        <x:f>C632*F632</x:f>
        <x:v>759.6600000000001</x:v>
      </x:c>
      <x:c r="H632" s="44" t="n">
        <x:f>E632-G632</x:f>
        <x:v>537.8999999999999</x:v>
      </x:c>
      <x:c r="I632" s="14" t="str">
        <x:v>Enterprise</x:v>
      </x:c>
      <x:c r="J632" s="14" t="str">
        <x:v>Northeast</x:v>
      </x:c>
    </x:row>
    <x:row r="633">
      <x:c r="A633" s="50" t="n">
        <x:v>46203</x:v>
      </x:c>
      <x:c r="B633" s="14" t="str">
        <x:v>SKU-0089</x:v>
      </x:c>
      <x:c r="C633" s="52" t="n">
        <x:v>11</x:v>
      </x:c>
      <x:c r="D633" s="40" t="n">
        <x:v>63.43</x:v>
      </x:c>
      <x:c r="E633" s="44" t="n">
        <x:f>C633*D633</x:f>
        <x:v>697.73</x:v>
      </x:c>
      <x:c r="F633" s="40" t="n">
        <x:v>48.67</x:v>
      </x:c>
      <x:c r="G633" s="44" t="n">
        <x:f>C633*F633</x:f>
        <x:v>535.37</x:v>
      </x:c>
      <x:c r="H633" s="44" t="n">
        <x:f>E633-G633</x:f>
        <x:v>162.36</x:v>
      </x:c>
      <x:c r="I633" s="14" t="str">
        <x:v>Distributor</x:v>
      </x:c>
      <x:c r="J633" s="14" t="str">
        <x:v>Southeast</x:v>
      </x:c>
    </x:row>
    <x:row r="634">
      <x:c r="A634" s="50" t="n">
        <x:v>46193</x:v>
      </x:c>
      <x:c r="B634" s="14" t="str">
        <x:v>SKU-0105</x:v>
      </x:c>
      <x:c r="C634" s="52" t="n">
        <x:v>4</x:v>
      </x:c>
      <x:c r="D634" s="40" t="n">
        <x:v>143.03</x:v>
      </x:c>
      <x:c r="E634" s="44" t="n">
        <x:f>C634*D634</x:f>
        <x:v>572.12</x:v>
      </x:c>
      <x:c r="F634" s="40" t="n">
        <x:v>112.98</x:v>
      </x:c>
      <x:c r="G634" s="44" t="n">
        <x:f>C634*F634</x:f>
        <x:v>451.92</x:v>
      </x:c>
      <x:c r="H634" s="44" t="n">
        <x:f>E634-G634</x:f>
        <x:v>120.19999999999999</x:v>
      </x:c>
      <x:c r="I634" s="14" t="str">
        <x:v>Distributor</x:v>
      </x:c>
      <x:c r="J634" s="14" t="str">
        <x:v>Northeast</x:v>
      </x:c>
    </x:row>
    <x:row r="635">
      <x:c r="A635" s="50" t="n">
        <x:v>46216</x:v>
      </x:c>
      <x:c r="B635" s="14" t="str">
        <x:v>SKU-0138</x:v>
      </x:c>
      <x:c r="C635" s="52" t="n">
        <x:v>13</x:v>
      </x:c>
      <x:c r="D635" s="40" t="n">
        <x:v>416.65</x:v>
      </x:c>
      <x:c r="E635" s="44" t="n">
        <x:f>C635*D635</x:f>
        <x:v>5416.45</x:v>
      </x:c>
      <x:c r="F635" s="40" t="n">
        <x:v>186.65</x:v>
      </x:c>
      <x:c r="G635" s="44" t="n">
        <x:f>C635*F635</x:f>
        <x:v>2426.4500000000003</x:v>
      </x:c>
      <x:c r="H635" s="44" t="n">
        <x:f>E635-G635</x:f>
        <x:v>2989.9999999999995</x:v>
      </x:c>
      <x:c r="I635" s="14" t="str">
        <x:v>Internal Use</x:v>
      </x:c>
      <x:c r="J635" s="14" t="str">
        <x:v>Midwest</x:v>
      </x:c>
    </x:row>
    <x:row r="636">
      <x:c r="A636" s="50" t="n">
        <x:v>45985</x:v>
      </x:c>
      <x:c r="B636" s="14" t="str">
        <x:v>SKU-0142</x:v>
      </x:c>
      <x:c r="C636" s="52" t="n">
        <x:v>15</x:v>
      </x:c>
      <x:c r="D636" s="40" t="n">
        <x:v>175.71</x:v>
      </x:c>
      <x:c r="E636" s="44" t="n">
        <x:f>C636*D636</x:f>
        <x:v>2635.65</x:v>
      </x:c>
      <x:c r="F636" s="40" t="n">
        <x:v>95.95</x:v>
      </x:c>
      <x:c r="G636" s="44" t="n">
        <x:f>C636*F636</x:f>
        <x:v>1439.25</x:v>
      </x:c>
      <x:c r="H636" s="44" t="n">
        <x:f>E636-G636</x:f>
        <x:v>1196.4</x:v>
      </x:c>
      <x:c r="I636" s="14" t="str">
        <x:v>Internal Use</x:v>
      </x:c>
      <x:c r="J636" s="14" t="str">
        <x:v>Southeast</x:v>
      </x:c>
    </x:row>
    <x:row r="637">
      <x:c r="A637" s="50" t="n">
        <x:v>45998</x:v>
      </x:c>
      <x:c r="B637" s="14" t="str">
        <x:v>SKU-0115</x:v>
      </x:c>
      <x:c r="C637" s="52" t="n">
        <x:v>15</x:v>
      </x:c>
      <x:c r="D637" s="40" t="n">
        <x:v>32.64</x:v>
      </x:c>
      <x:c r="E637" s="44" t="n">
        <x:f>C637*D637</x:f>
        <x:v>489.6</x:v>
      </x:c>
      <x:c r="F637" s="40" t="n">
        <x:v>27.81</x:v>
      </x:c>
      <x:c r="G637" s="44" t="n">
        <x:f>C637*F637</x:f>
        <x:v>417.15</x:v>
      </x:c>
      <x:c r="H637" s="44" t="n">
        <x:f>E637-G637</x:f>
        <x:v>72.45000000000005</x:v>
      </x:c>
      <x:c r="I637" s="14" t="str">
        <x:v>Internal Use</x:v>
      </x:c>
      <x:c r="J637" s="14" t="str">
        <x:v>Northeast</x:v>
      </x:c>
    </x:row>
    <x:row r="638">
      <x:c r="A638" s="50" t="n">
        <x:v>45972</x:v>
      </x:c>
      <x:c r="B638" s="14" t="str">
        <x:v>SKU-0127</x:v>
      </x:c>
      <x:c r="C638" s="52" t="n">
        <x:v>6</x:v>
      </x:c>
      <x:c r="D638" s="40" t="n">
        <x:v>245.54</x:v>
      </x:c>
      <x:c r="E638" s="44" t="n">
        <x:f>C638*D638</x:f>
        <x:v>1473.24</x:v>
      </x:c>
      <x:c r="F638" s="40" t="n">
        <x:v>114.9</x:v>
      </x:c>
      <x:c r="G638" s="44" t="n">
        <x:f>C638*F638</x:f>
        <x:v>689.4000000000001</x:v>
      </x:c>
      <x:c r="H638" s="44" t="n">
        <x:f>E638-G638</x:f>
        <x:v>783.8399999999999</x:v>
      </x:c>
      <x:c r="I638" s="14" t="str">
        <x:v>Internal Use</x:v>
      </x:c>
      <x:c r="J638" s="14" t="str">
        <x:v>Southeast</x:v>
      </x:c>
    </x:row>
    <x:row r="639">
      <x:c r="A639" s="50" t="n">
        <x:v>45890</x:v>
      </x:c>
      <x:c r="B639" s="14" t="str">
        <x:v>SKU-0073</x:v>
      </x:c>
      <x:c r="C639" s="52" t="n">
        <x:v>1</x:v>
      </x:c>
      <x:c r="D639" s="40" t="n">
        <x:v>69.51</x:v>
      </x:c>
      <x:c r="E639" s="44" t="n">
        <x:f>C639*D639</x:f>
        <x:v>69.51</x:v>
      </x:c>
      <x:c r="F639" s="40" t="n">
        <x:v>37.01</x:v>
      </x:c>
      <x:c r="G639" s="44" t="n">
        <x:f>C639*F639</x:f>
        <x:v>37.01</x:v>
      </x:c>
      <x:c r="H639" s="44" t="n">
        <x:f>E639-G639</x:f>
        <x:v>32.50000000000001</x:v>
      </x:c>
      <x:c r="I639" s="14" t="str">
        <x:v>SMB</x:v>
      </x:c>
      <x:c r="J639" s="14" t="str">
        <x:v>Northeast</x:v>
      </x:c>
    </x:row>
    <x:row r="640">
      <x:c r="A640" s="50" t="n">
        <x:v>45916</x:v>
      </x:c>
      <x:c r="B640" s="14" t="str">
        <x:v>SKU-0037</x:v>
      </x:c>
      <x:c r="C640" s="52" t="n">
        <x:v>7</x:v>
      </x:c>
      <x:c r="D640" s="40" t="n">
        <x:v>175.19</x:v>
      </x:c>
      <x:c r="E640" s="44" t="n">
        <x:f>C640*D640</x:f>
        <x:v>1226.33</x:v>
      </x:c>
      <x:c r="F640" s="40" t="n">
        <x:v>115.83</x:v>
      </x:c>
      <x:c r="G640" s="44" t="n">
        <x:f>C640*F640</x:f>
        <x:v>810.81</x:v>
      </x:c>
      <x:c r="H640" s="44" t="n">
        <x:f>E640-G640</x:f>
        <x:v>415.52</x:v>
      </x:c>
      <x:c r="I640" s="14" t="str">
        <x:v>Internal Use</x:v>
      </x:c>
      <x:c r="J640" s="14" t="str">
        <x:v>Northeast</x:v>
      </x:c>
    </x:row>
    <x:row r="641">
      <x:c r="A641" s="50" t="n">
        <x:v>45950</x:v>
      </x:c>
      <x:c r="B641" s="14" t="str">
        <x:v>SKU-0135</x:v>
      </x:c>
      <x:c r="C641" s="52" t="n">
        <x:v>45</x:v>
      </x:c>
      <x:c r="D641" s="40" t="n">
        <x:v>346.56</x:v>
      </x:c>
      <x:c r="E641" s="44" t="n">
        <x:f>C641*D641</x:f>
        <x:v>15595.2</x:v>
      </x:c>
      <x:c r="F641" s="40" t="n">
        <x:v>275.11</x:v>
      </x:c>
      <x:c r="G641" s="44" t="n">
        <x:f>C641*F641</x:f>
        <x:v>12379.95</x:v>
      </x:c>
      <x:c r="H641" s="44" t="n">
        <x:f>E641-G641</x:f>
        <x:v>3215.25</x:v>
      </x:c>
      <x:c r="I641" s="14" t="str">
        <x:v>Internal Use</x:v>
      </x:c>
      <x:c r="J641" s="14" t="str">
        <x:v>West</x:v>
      </x:c>
    </x:row>
    <x:row r="642">
      <x:c r="A642" s="50" t="n">
        <x:v>45936</x:v>
      </x:c>
      <x:c r="B642" s="14" t="str">
        <x:v>SKU-0006</x:v>
      </x:c>
      <x:c r="C642" s="52" t="n">
        <x:v>60</x:v>
      </x:c>
      <x:c r="D642" s="40" t="n">
        <x:v>295.02</x:v>
      </x:c>
      <x:c r="E642" s="44" t="n">
        <x:f>C642*D642</x:f>
        <x:v>17701.199999999997</x:v>
      </x:c>
      <x:c r="F642" s="40" t="n">
        <x:v>241.37</x:v>
      </x:c>
      <x:c r="G642" s="44" t="n">
        <x:f>C642*F642</x:f>
        <x:v>14482.2</x:v>
      </x:c>
      <x:c r="H642" s="44" t="n">
        <x:f>E642-G642</x:f>
        <x:v>3218.9999999999964</x:v>
      </x:c>
      <x:c r="I642" s="14" t="str">
        <x:v>Enterprise</x:v>
      </x:c>
      <x:c r="J642" s="14" t="str">
        <x:v>Southeast</x:v>
      </x:c>
    </x:row>
    <x:row r="643">
      <x:c r="A643" s="50" t="n">
        <x:v>45922</x:v>
      </x:c>
      <x:c r="B643" s="14" t="str">
        <x:v>SKU-0064</x:v>
      </x:c>
      <x:c r="C643" s="52" t="n">
        <x:v>17</x:v>
      </x:c>
      <x:c r="D643" s="40" t="n">
        <x:v>90.02</x:v>
      </x:c>
      <x:c r="E643" s="44" t="n">
        <x:f>C643*D643</x:f>
        <x:v>1530.34</x:v>
      </x:c>
      <x:c r="F643" s="40" t="n">
        <x:v>62.55</x:v>
      </x:c>
      <x:c r="G643" s="44" t="n">
        <x:f>C643*F643</x:f>
        <x:v>1063.35</x:v>
      </x:c>
      <x:c r="H643" s="44" t="n">
        <x:f>E643-G643</x:f>
        <x:v>466.99</x:v>
      </x:c>
      <x:c r="I643" s="14" t="str">
        <x:v>Enterprise</x:v>
      </x:c>
      <x:c r="J643" s="14" t="str">
        <x:v>Midwest</x:v>
      </x:c>
    </x:row>
    <x:row r="644">
      <x:c r="A644" s="50" t="n">
        <x:v>45983</x:v>
      </x:c>
      <x:c r="B644" s="14" t="str">
        <x:v>SKU-0022</x:v>
      </x:c>
      <x:c r="C644" s="52" t="n">
        <x:v>5</x:v>
      </x:c>
      <x:c r="D644" s="40" t="n">
        <x:v>274.11</x:v>
      </x:c>
      <x:c r="E644" s="44" t="n">
        <x:f>C644*D644</x:f>
        <x:v>1370.5500000000002</x:v>
      </x:c>
      <x:c r="F644" s="40" t="n">
        <x:v>167.48</x:v>
      </x:c>
      <x:c r="G644" s="44" t="n">
        <x:f>C644*F644</x:f>
        <x:v>837.4</x:v>
      </x:c>
      <x:c r="H644" s="44" t="n">
        <x:f>E644-G644</x:f>
        <x:v>533.1500000000002</x:v>
      </x:c>
      <x:c r="I644" s="14" t="str">
        <x:v>Distributor</x:v>
      </x:c>
      <x:c r="J644" s="14" t="str">
        <x:v>Northeast</x:v>
      </x:c>
    </x:row>
    <x:row r="645">
      <x:c r="A645" s="50" t="n">
        <x:v>45902</x:v>
      </x:c>
      <x:c r="B645" s="14" t="str">
        <x:v>SKU-0006</x:v>
      </x:c>
      <x:c r="C645" s="52" t="n">
        <x:v>4</x:v>
      </x:c>
      <x:c r="D645" s="40" t="n">
        <x:v>289.12</x:v>
      </x:c>
      <x:c r="E645" s="44" t="n">
        <x:f>C645*D645</x:f>
        <x:v>1156.48</x:v>
      </x:c>
      <x:c r="F645" s="40" t="n">
        <x:v>241.37</x:v>
      </x:c>
      <x:c r="G645" s="44" t="n">
        <x:f>C645*F645</x:f>
        <x:v>965.48</x:v>
      </x:c>
      <x:c r="H645" s="44" t="n">
        <x:f>E645-G645</x:f>
        <x:v>191</x:v>
      </x:c>
      <x:c r="I645" s="14" t="str">
        <x:v>Internal Use</x:v>
      </x:c>
      <x:c r="J645" s="14" t="str">
        <x:v>Southeast</x:v>
      </x:c>
    </x:row>
    <x:row r="646">
      <x:c r="A646" s="50" t="n">
        <x:v>45994</x:v>
      </x:c>
      <x:c r="B646" s="14" t="str">
        <x:v>SKU-0001</x:v>
      </x:c>
      <x:c r="C646" s="52" t="n">
        <x:v>2</x:v>
      </x:c>
      <x:c r="D646" s="40" t="n">
        <x:v>271.77</x:v>
      </x:c>
      <x:c r="E646" s="44" t="n">
        <x:f>C646*D646</x:f>
        <x:v>543.54</x:v>
      </x:c>
      <x:c r="F646" s="40" t="n">
        <x:v>178.71</x:v>
      </x:c>
      <x:c r="G646" s="44" t="n">
        <x:f>C646*F646</x:f>
        <x:v>357.42</x:v>
      </x:c>
      <x:c r="H646" s="44" t="n">
        <x:f>E646-G646</x:f>
        <x:v>186.11999999999995</x:v>
      </x:c>
      <x:c r="I646" s="14" t="str">
        <x:v>Distributor</x:v>
      </x:c>
      <x:c r="J646" s="14" t="str">
        <x:v>Southeast</x:v>
      </x:c>
    </x:row>
    <x:row r="647">
      <x:c r="A647" s="50" t="n">
        <x:v>46231</x:v>
      </x:c>
      <x:c r="B647" s="14" t="str">
        <x:v>SKU-0099</x:v>
      </x:c>
      <x:c r="C647" s="52" t="n">
        <x:v>4</x:v>
      </x:c>
      <x:c r="D647" s="40" t="n">
        <x:v>189.22</x:v>
      </x:c>
      <x:c r="E647" s="44" t="n">
        <x:f>C647*D647</x:f>
        <x:v>756.88</x:v>
      </x:c>
      <x:c r="F647" s="40" t="n">
        <x:v>104</x:v>
      </x:c>
      <x:c r="G647" s="44" t="n">
        <x:f>C647*F647</x:f>
        <x:v>416</x:v>
      </x:c>
      <x:c r="H647" s="44" t="n">
        <x:f>E647-G647</x:f>
        <x:v>340.88</x:v>
      </x:c>
      <x:c r="I647" s="14" t="str">
        <x:v>Enterprise</x:v>
      </x:c>
      <x:c r="J647" s="14" t="str">
        <x:v>Midwest</x:v>
      </x:c>
    </x:row>
    <x:row r="648">
      <x:c r="A648" s="50" t="n">
        <x:v>45919</x:v>
      </x:c>
      <x:c r="B648" s="14" t="str">
        <x:v>SKU-0092</x:v>
      </x:c>
      <x:c r="C648" s="52" t="n">
        <x:v>10</x:v>
      </x:c>
      <x:c r="D648" s="40" t="n">
        <x:v>190.52</x:v>
      </x:c>
      <x:c r="E648" s="44" t="n">
        <x:f>C648*D648</x:f>
        <x:v>1905.2</x:v>
      </x:c>
      <x:c r="F648" s="40" t="n">
        <x:v>125.08</x:v>
      </x:c>
      <x:c r="G648" s="44" t="n">
        <x:f>C648*F648</x:f>
        <x:v>1250.8</x:v>
      </x:c>
      <x:c r="H648" s="44" t="n">
        <x:f>E648-G648</x:f>
        <x:v>654.4000000000001</x:v>
      </x:c>
      <x:c r="I648" s="14" t="str">
        <x:v>Enterprise</x:v>
      </x:c>
      <x:c r="J648" s="14" t="str">
        <x:v>Northeast</x:v>
      </x:c>
    </x:row>
    <x:row r="649">
      <x:c r="A649" s="50" t="n">
        <x:v>45971</x:v>
      </x:c>
      <x:c r="B649" s="14" t="str">
        <x:v>SKU-0039</x:v>
      </x:c>
      <x:c r="C649" s="52" t="n">
        <x:v>7</x:v>
      </x:c>
      <x:c r="D649" s="40" t="n">
        <x:v>210.99</x:v>
      </x:c>
      <x:c r="E649" s="44" t="n">
        <x:f>C649*D649</x:f>
        <x:v>1476.93</x:v>
      </x:c>
      <x:c r="F649" s="40" t="n">
        <x:v>125.1</x:v>
      </x:c>
      <x:c r="G649" s="44" t="n">
        <x:f>C649*F649</x:f>
        <x:v>875.6999999999999</x:v>
      </x:c>
      <x:c r="H649" s="44" t="n">
        <x:f>E649-G649</x:f>
        <x:v>601.2300000000001</x:v>
      </x:c>
      <x:c r="I649" s="14" t="str">
        <x:v>Internal Use</x:v>
      </x:c>
      <x:c r="J649" s="14" t="str">
        <x:v>Southeast</x:v>
      </x:c>
    </x:row>
    <x:row r="650">
      <x:c r="A650" s="50" t="n">
        <x:v>46199</x:v>
      </x:c>
      <x:c r="B650" s="14" t="str">
        <x:v>SKU-0078</x:v>
      </x:c>
      <x:c r="C650" s="52" t="n">
        <x:v>17</x:v>
      </x:c>
      <x:c r="D650" s="40" t="n">
        <x:v>26.21</x:v>
      </x:c>
      <x:c r="E650" s="44" t="n">
        <x:f>C650*D650</x:f>
        <x:v>445.57</x:v>
      </x:c>
      <x:c r="F650" s="40" t="n">
        <x:v>17.54</x:v>
      </x:c>
      <x:c r="G650" s="44" t="n">
        <x:f>C650*F650</x:f>
        <x:v>298.18</x:v>
      </x:c>
      <x:c r="H650" s="44" t="n">
        <x:f>E650-G650</x:f>
        <x:v>147.39</x:v>
      </x:c>
      <x:c r="I650" s="14" t="str">
        <x:v>Internal Use</x:v>
      </x:c>
      <x:c r="J650" s="14" t="str">
        <x:v>Midwest</x:v>
      </x:c>
    </x:row>
    <x:row r="651">
      <x:c r="A651" s="50" t="n">
        <x:v>46244</x:v>
      </x:c>
      <x:c r="B651" s="14" t="str">
        <x:v>SKU-0068</x:v>
      </x:c>
      <x:c r="C651" s="52" t="n">
        <x:v>62</x:v>
      </x:c>
      <x:c r="D651" s="40" t="n">
        <x:v>247.85</x:v>
      </x:c>
      <x:c r="E651" s="44" t="n">
        <x:f>C651*D651</x:f>
        <x:v>15366.699999999999</x:v>
      </x:c>
      <x:c r="F651" s="40" t="n">
        <x:v>157.37</x:v>
      </x:c>
      <x:c r="G651" s="44" t="n">
        <x:f>C651*F651</x:f>
        <x:v>9756.94</x:v>
      </x:c>
      <x:c r="H651" s="44" t="n">
        <x:f>E651-G651</x:f>
        <x:v>5609.759999999998</x:v>
      </x:c>
      <x:c r="I651" s="14" t="str">
        <x:v>SMB</x:v>
      </x:c>
      <x:c r="J651" s="14" t="str">
        <x:v>Southeast</x:v>
      </x:c>
    </x:row>
    <x:row r="652">
      <x:c r="A652" s="50" t="n">
        <x:v>45955</x:v>
      </x:c>
      <x:c r="B652" s="14" t="str">
        <x:v>SKU-0082</x:v>
      </x:c>
      <x:c r="C652" s="52" t="n">
        <x:v>5</x:v>
      </x:c>
      <x:c r="D652" s="40" t="n">
        <x:v>159.86</x:v>
      </x:c>
      <x:c r="E652" s="44" t="n">
        <x:f>C652*D652</x:f>
        <x:v>799.3000000000001</x:v>
      </x:c>
      <x:c r="F652" s="40" t="n">
        <x:v>79.16</x:v>
      </x:c>
      <x:c r="G652" s="44" t="n">
        <x:f>C652*F652</x:f>
        <x:v>395.79999999999995</x:v>
      </x:c>
      <x:c r="H652" s="44" t="n">
        <x:f>E652-G652</x:f>
        <x:v>403.5000000000001</x:v>
      </x:c>
      <x:c r="I652" s="14" t="str">
        <x:v>Internal Use</x:v>
      </x:c>
      <x:c r="J652" s="14" t="str">
        <x:v>Northeast</x:v>
      </x:c>
    </x:row>
    <x:row r="653">
      <x:c r="A653" s="50" t="n">
        <x:v>46175</x:v>
      </x:c>
      <x:c r="B653" s="14" t="str">
        <x:v>SKU-0029</x:v>
      </x:c>
      <x:c r="C653" s="52" t="n">
        <x:v>6</x:v>
      </x:c>
      <x:c r="D653" s="40" t="n">
        <x:v>17.13</x:v>
      </x:c>
      <x:c r="E653" s="44" t="n">
        <x:f>C653*D653</x:f>
        <x:v>102.78</x:v>
      </x:c>
      <x:c r="F653" s="40" t="n">
        <x:v>12.5</x:v>
      </x:c>
      <x:c r="G653" s="44" t="n">
        <x:f>C653*F653</x:f>
        <x:v>75</x:v>
      </x:c>
      <x:c r="H653" s="44" t="n">
        <x:f>E653-G653</x:f>
        <x:v>27.78</x:v>
      </x:c>
      <x:c r="I653" s="14" t="str">
        <x:v>Distributor</x:v>
      </x:c>
      <x:c r="J653" s="14" t="str">
        <x:v>Southeast</x:v>
      </x:c>
    </x:row>
    <x:row r="654">
      <x:c r="A654" s="50" t="n">
        <x:v>46077</x:v>
      </x:c>
      <x:c r="B654" s="14" t="str">
        <x:v>SKU-0047</x:v>
      </x:c>
      <x:c r="C654" s="52" t="n">
        <x:v>6</x:v>
      </x:c>
      <x:c r="D654" s="40" t="n">
        <x:v>341.96</x:v>
      </x:c>
      <x:c r="E654" s="44" t="n">
        <x:f>C654*D654</x:f>
        <x:v>2051.7599999999998</x:v>
      </x:c>
      <x:c r="F654" s="40" t="n">
        <x:v>233.63</x:v>
      </x:c>
      <x:c r="G654" s="44" t="n">
        <x:f>C654*F654</x:f>
        <x:v>1401.78</x:v>
      </x:c>
      <x:c r="H654" s="44" t="n">
        <x:f>E654-G654</x:f>
        <x:v>649.9799999999998</x:v>
      </x:c>
      <x:c r="I654" s="14" t="str">
        <x:v>Internal Use</x:v>
      </x:c>
      <x:c r="J654" s="14" t="str">
        <x:v>Midwest</x:v>
      </x:c>
    </x:row>
    <x:row r="655">
      <x:c r="A655" s="50" t="n">
        <x:v>46214</x:v>
      </x:c>
      <x:c r="B655" s="14" t="str">
        <x:v>SKU-0036</x:v>
      </x:c>
      <x:c r="C655" s="52" t="n">
        <x:v>23</x:v>
      </x:c>
      <x:c r="D655" s="40" t="n">
        <x:v>272.54</x:v>
      </x:c>
      <x:c r="E655" s="44" t="n">
        <x:f>C655*D655</x:f>
        <x:v>6268.42</x:v>
      </x:c>
      <x:c r="F655" s="40" t="n">
        <x:v>122.19</x:v>
      </x:c>
      <x:c r="G655" s="44" t="n">
        <x:f>C655*F655</x:f>
        <x:v>2810.37</x:v>
      </x:c>
      <x:c r="H655" s="44" t="n">
        <x:f>E655-G655</x:f>
        <x:v>3458.05</x:v>
      </x:c>
      <x:c r="I655" s="14" t="str">
        <x:v>Internal Use</x:v>
      </x:c>
      <x:c r="J655" s="14" t="str">
        <x:v>Southeast</x:v>
      </x:c>
    </x:row>
    <x:row r="656">
      <x:c r="A656" s="50" t="n">
        <x:v>45922</x:v>
      </x:c>
      <x:c r="B656" s="14" t="str">
        <x:v>SKU-0099</x:v>
      </x:c>
      <x:c r="C656" s="52" t="n">
        <x:v>10</x:v>
      </x:c>
      <x:c r="D656" s="40" t="n">
        <x:v>203.71</x:v>
      </x:c>
      <x:c r="E656" s="44" t="n">
        <x:f>C656*D656</x:f>
        <x:v>2037.1000000000001</x:v>
      </x:c>
      <x:c r="F656" s="40" t="n">
        <x:v>104</x:v>
      </x:c>
      <x:c r="G656" s="44" t="n">
        <x:f>C656*F656</x:f>
        <x:v>1040</x:v>
      </x:c>
      <x:c r="H656" s="44" t="n">
        <x:f>E656-G656</x:f>
        <x:v>997.1000000000001</x:v>
      </x:c>
      <x:c r="I656" s="14" t="str">
        <x:v>SMB</x:v>
      </x:c>
      <x:c r="J656" s="14" t="str">
        <x:v>Northeast</x:v>
      </x:c>
    </x:row>
    <x:row r="657">
      <x:c r="A657" s="50" t="n">
        <x:v>46065</x:v>
      </x:c>
      <x:c r="B657" s="14" t="str">
        <x:v>SKU-0061</x:v>
      </x:c>
      <x:c r="C657" s="52" t="n">
        <x:v>3</x:v>
      </x:c>
      <x:c r="D657" s="40" t="n">
        <x:v>332.79</x:v>
      </x:c>
      <x:c r="E657" s="44" t="n">
        <x:f>C657*D657</x:f>
        <x:v>998.3700000000001</x:v>
      </x:c>
      <x:c r="F657" s="40" t="n">
        <x:v>202.32</x:v>
      </x:c>
      <x:c r="G657" s="44" t="n">
        <x:f>C657*F657</x:f>
        <x:v>606.96</x:v>
      </x:c>
      <x:c r="H657" s="44" t="n">
        <x:f>E657-G657</x:f>
        <x:v>391.4100000000001</x:v>
      </x:c>
      <x:c r="I657" s="14" t="str">
        <x:v>SMB</x:v>
      </x:c>
      <x:c r="J657" s="14" t="str">
        <x:v>Midwest</x:v>
      </x:c>
    </x:row>
    <x:row r="658">
      <x:c r="A658" s="50" t="n">
        <x:v>45953</x:v>
      </x:c>
      <x:c r="B658" s="14" t="str">
        <x:v>SKU-0118</x:v>
      </x:c>
      <x:c r="C658" s="52" t="n">
        <x:v>25</x:v>
      </x:c>
      <x:c r="D658" s="40" t="n">
        <x:v>572.88</x:v>
      </x:c>
      <x:c r="E658" s="44" t="n">
        <x:f>C658*D658</x:f>
        <x:v>14322</x:v>
      </x:c>
      <x:c r="F658" s="40" t="n">
        <x:v>237.03</x:v>
      </x:c>
      <x:c r="G658" s="44" t="n">
        <x:f>C658*F658</x:f>
        <x:v>5925.75</x:v>
      </x:c>
      <x:c r="H658" s="44" t="n">
        <x:f>E658-G658</x:f>
        <x:v>8396.25</x:v>
      </x:c>
      <x:c r="I658" s="14" t="str">
        <x:v>Internal Use</x:v>
      </x:c>
      <x:c r="J658" s="14" t="str">
        <x:v>Southeast</x:v>
      </x:c>
    </x:row>
    <x:row r="659">
      <x:c r="A659" s="50" t="n">
        <x:v>45994</x:v>
      </x:c>
      <x:c r="B659" s="14" t="str">
        <x:v>SKU-0054</x:v>
      </x:c>
      <x:c r="C659" s="52" t="n">
        <x:v>7</x:v>
      </x:c>
      <x:c r="D659" s="40" t="n">
        <x:v>88.81</x:v>
      </x:c>
      <x:c r="E659" s="44" t="n">
        <x:f>C659*D659</x:f>
        <x:v>621.6700000000001</x:v>
      </x:c>
      <x:c r="F659" s="40" t="n">
        <x:v>49.06</x:v>
      </x:c>
      <x:c r="G659" s="44" t="n">
        <x:f>C659*F659</x:f>
        <x:v>343.42</x:v>
      </x:c>
      <x:c r="H659" s="44" t="n">
        <x:f>E659-G659</x:f>
        <x:v>278.25000000000006</x:v>
      </x:c>
      <x:c r="I659" s="14" t="str">
        <x:v>Distributor</x:v>
      </x:c>
      <x:c r="J659" s="14" t="str">
        <x:v>Northeast</x:v>
      </x:c>
    </x:row>
    <x:row r="660">
      <x:c r="A660" s="50" t="n">
        <x:v>46219</x:v>
      </x:c>
      <x:c r="B660" s="14" t="str">
        <x:v>SKU-0028</x:v>
      </x:c>
      <x:c r="C660" s="52" t="n">
        <x:v>11</x:v>
      </x:c>
      <x:c r="D660" s="40" t="n">
        <x:v>359.29</x:v>
      </x:c>
      <x:c r="E660" s="44" t="n">
        <x:f>C660*D660</x:f>
        <x:v>3952.19</x:v>
      </x:c>
      <x:c r="F660" s="40" t="n">
        <x:v>274.39</x:v>
      </x:c>
      <x:c r="G660" s="44" t="n">
        <x:f>C660*F660</x:f>
        <x:v>3018.29</x:v>
      </x:c>
      <x:c r="H660" s="44" t="n">
        <x:f>E660-G660</x:f>
        <x:v>933.9000000000001</x:v>
      </x:c>
      <x:c r="I660" s="14" t="str">
        <x:v>SMB</x:v>
      </x:c>
      <x:c r="J660" s="14" t="str">
        <x:v>Northeast</x:v>
      </x:c>
    </x:row>
    <x:row r="661">
      <x:c r="A661" s="50" t="n">
        <x:v>46067</x:v>
      </x:c>
      <x:c r="B661" s="14" t="str">
        <x:v>SKU-0038</x:v>
      </x:c>
      <x:c r="C661" s="52" t="n">
        <x:v>4</x:v>
      </x:c>
      <x:c r="D661" s="40" t="n">
        <x:v>220.03</x:v>
      </x:c>
      <x:c r="E661" s="44" t="n">
        <x:f>C661*D661</x:f>
        <x:v>880.12</x:v>
      </x:c>
      <x:c r="F661" s="40" t="n">
        <x:v>160.43</x:v>
      </x:c>
      <x:c r="G661" s="44" t="n">
        <x:f>C661*F661</x:f>
        <x:v>641.72</x:v>
      </x:c>
      <x:c r="H661" s="44" t="n">
        <x:f>E661-G661</x:f>
        <x:v>238.39999999999998</x:v>
      </x:c>
      <x:c r="I661" s="14" t="str">
        <x:v>Internal Use</x:v>
      </x:c>
      <x:c r="J661" s="14" t="str">
        <x:v>Southeast</x:v>
      </x:c>
    </x:row>
    <x:row r="662">
      <x:c r="A662" s="50" t="n">
        <x:v>46120</x:v>
      </x:c>
      <x:c r="B662" s="14" t="str">
        <x:v>SKU-0047</x:v>
      </x:c>
      <x:c r="C662" s="52" t="n">
        <x:v>34</x:v>
      </x:c>
      <x:c r="D662" s="40" t="n">
        <x:v>353.42</x:v>
      </x:c>
      <x:c r="E662" s="44" t="n">
        <x:f>C662*D662</x:f>
        <x:v>12016.28</x:v>
      </x:c>
      <x:c r="F662" s="40" t="n">
        <x:v>233.63</x:v>
      </x:c>
      <x:c r="G662" s="44" t="n">
        <x:f>C662*F662</x:f>
        <x:v>7943.42</x:v>
      </x:c>
      <x:c r="H662" s="44" t="n">
        <x:f>E662-G662</x:f>
        <x:v>4072.8600000000006</x:v>
      </x:c>
      <x:c r="I662" s="14" t="str">
        <x:v>Distributor</x:v>
      </x:c>
      <x:c r="J662" s="14" t="str">
        <x:v>West</x:v>
      </x:c>
    </x:row>
    <x:row r="663">
      <x:c r="A663" s="50" t="n">
        <x:v>46052</x:v>
      </x:c>
      <x:c r="B663" s="14" t="str">
        <x:v>SKU-0106</x:v>
      </x:c>
      <x:c r="C663" s="52" t="n">
        <x:v>7</x:v>
      </x:c>
      <x:c r="D663" s="40" t="n">
        <x:v>275.67</x:v>
      </x:c>
      <x:c r="E663" s="44" t="n">
        <x:f>C663*D663</x:f>
        <x:v>1929.69</x:v>
      </x:c>
      <x:c r="F663" s="40" t="n">
        <x:v>220.84</x:v>
      </x:c>
      <x:c r="G663" s="44" t="n">
        <x:f>C663*F663</x:f>
        <x:v>1545.88</x:v>
      </x:c>
      <x:c r="H663" s="44" t="n">
        <x:f>E663-G663</x:f>
        <x:v>383.80999999999995</x:v>
      </x:c>
      <x:c r="I663" s="14" t="str">
        <x:v>Enterprise</x:v>
      </x:c>
      <x:c r="J663" s="14" t="str">
        <x:v>Southeast</x:v>
      </x:c>
    </x:row>
    <x:row r="664">
      <x:c r="A664" s="50" t="n">
        <x:v>46208</x:v>
      </x:c>
      <x:c r="B664" s="14" t="str">
        <x:v>SKU-0016</x:v>
      </x:c>
      <x:c r="C664" s="52" t="n">
        <x:v>9</x:v>
      </x:c>
      <x:c r="D664" s="40" t="n">
        <x:v>419.54</x:v>
      </x:c>
      <x:c r="E664" s="44" t="n">
        <x:f>C664*D664</x:f>
        <x:v>3775.86</x:v>
      </x:c>
      <x:c r="F664" s="40" t="n">
        <x:v>204.58</x:v>
      </x:c>
      <x:c r="G664" s="44" t="n">
        <x:f>C664*F664</x:f>
        <x:v>1841.22</x:v>
      </x:c>
      <x:c r="H664" s="44" t="n">
        <x:f>E664-G664</x:f>
        <x:v>1934.64</x:v>
      </x:c>
      <x:c r="I664" s="14" t="str">
        <x:v>Internal Use</x:v>
      </x:c>
      <x:c r="J664" s="14" t="str">
        <x:v>Midwest</x:v>
      </x:c>
    </x:row>
    <x:row r="665">
      <x:c r="A665" s="50" t="n">
        <x:v>46136</x:v>
      </x:c>
      <x:c r="B665" s="14" t="str">
        <x:v>SKU-0147</x:v>
      </x:c>
      <x:c r="C665" s="52" t="n">
        <x:v>6</x:v>
      </x:c>
      <x:c r="D665" s="40" t="n">
        <x:v>63.76</x:v>
      </x:c>
      <x:c r="E665" s="44" t="n">
        <x:f>C665*D665</x:f>
        <x:v>382.56</x:v>
      </x:c>
      <x:c r="F665" s="40" t="n">
        <x:v>27.95</x:v>
      </x:c>
      <x:c r="G665" s="44" t="n">
        <x:f>C665*F665</x:f>
        <x:v>167.7</x:v>
      </x:c>
      <x:c r="H665" s="44" t="n">
        <x:f>E665-G665</x:f>
        <x:v>214.86</x:v>
      </x:c>
      <x:c r="I665" s="14" t="str">
        <x:v>Distributor</x:v>
      </x:c>
      <x:c r="J665" s="14" t="str">
        <x:v>Northeast</x:v>
      </x:c>
    </x:row>
    <x:row r="666">
      <x:c r="A666" s="50" t="n">
        <x:v>46073</x:v>
      </x:c>
      <x:c r="B666" s="14" t="str">
        <x:v>SKU-0134</x:v>
      </x:c>
      <x:c r="C666" s="52" t="n">
        <x:v>3</x:v>
      </x:c>
      <x:c r="D666" s="40" t="n">
        <x:v>401.88</x:v>
      </x:c>
      <x:c r="E666" s="44" t="n">
        <x:f>C666*D666</x:f>
        <x:v>1205.6399999999999</x:v>
      </x:c>
      <x:c r="F666" s="40" t="n">
        <x:v>254.76</x:v>
      </x:c>
      <x:c r="G666" s="44" t="n">
        <x:f>C666*F666</x:f>
        <x:v>764.28</x:v>
      </x:c>
      <x:c r="H666" s="44" t="n">
        <x:f>E666-G666</x:f>
        <x:v>441.3599999999999</x:v>
      </x:c>
      <x:c r="I666" s="14" t="str">
        <x:v>SMB</x:v>
      </x:c>
      <x:c r="J666" s="14" t="str">
        <x:v>Northeast</x:v>
      </x:c>
    </x:row>
    <x:row r="667">
      <x:c r="A667" s="50" t="n">
        <x:v>46124</x:v>
      </x:c>
      <x:c r="B667" s="14" t="str">
        <x:v>SKU-0120</x:v>
      </x:c>
      <x:c r="C667" s="52" t="n">
        <x:v>4</x:v>
      </x:c>
      <x:c r="D667" s="40" t="n">
        <x:v>75.66</x:v>
      </x:c>
      <x:c r="E667" s="44" t="n">
        <x:f>C667*D667</x:f>
        <x:v>302.64</x:v>
      </x:c>
      <x:c r="F667" s="40" t="n">
        <x:v>41.87</x:v>
      </x:c>
      <x:c r="G667" s="44" t="n">
        <x:f>C667*F667</x:f>
        <x:v>167.48</x:v>
      </x:c>
      <x:c r="H667" s="44" t="n">
        <x:f>E667-G667</x:f>
        <x:v>135.16</x:v>
      </x:c>
      <x:c r="I667" s="14" t="str">
        <x:v>SMB</x:v>
      </x:c>
      <x:c r="J667" s="14" t="str">
        <x:v>Northeast</x:v>
      </x:c>
    </x:row>
    <x:row r="668">
      <x:c r="A668" s="50" t="n">
        <x:v>46211</x:v>
      </x:c>
      <x:c r="B668" s="14" t="str">
        <x:v>SKU-0096</x:v>
      </x:c>
      <x:c r="C668" s="52" t="n">
        <x:v>7</x:v>
      </x:c>
      <x:c r="D668" s="40" t="n">
        <x:v>47.4</x:v>
      </x:c>
      <x:c r="E668" s="44" t="n">
        <x:f>C668*D668</x:f>
        <x:v>331.8</x:v>
      </x:c>
      <x:c r="F668" s="40" t="n">
        <x:v>29.46</x:v>
      </x:c>
      <x:c r="G668" s="44" t="n">
        <x:f>C668*F668</x:f>
        <x:v>206.22</x:v>
      </x:c>
      <x:c r="H668" s="44" t="n">
        <x:f>E668-G668</x:f>
        <x:v>125.58000000000001</x:v>
      </x:c>
      <x:c r="I668" s="14" t="str">
        <x:v>Distributor</x:v>
      </x:c>
      <x:c r="J668" s="14" t="str">
        <x:v>Midwest</x:v>
      </x:c>
    </x:row>
    <x:row r="669">
      <x:c r="A669" s="50" t="n">
        <x:v>46002</x:v>
      </x:c>
      <x:c r="B669" s="14" t="str">
        <x:v>SKU-0008</x:v>
      </x:c>
      <x:c r="C669" s="52" t="n">
        <x:v>4</x:v>
      </x:c>
      <x:c r="D669" s="40" t="n">
        <x:v>176.17</x:v>
      </x:c>
      <x:c r="E669" s="44" t="n">
        <x:f>C669*D669</x:f>
        <x:v>704.68</x:v>
      </x:c>
      <x:c r="F669" s="40" t="n">
        <x:v>143.38</x:v>
      </x:c>
      <x:c r="G669" s="44" t="n">
        <x:f>C669*F669</x:f>
        <x:v>573.52</x:v>
      </x:c>
      <x:c r="H669" s="44" t="n">
        <x:f>E669-G669</x:f>
        <x:v>131.15999999999997</x:v>
      </x:c>
      <x:c r="I669" s="14" t="str">
        <x:v>Enterprise</x:v>
      </x:c>
      <x:c r="J669" s="14" t="str">
        <x:v>Midwest</x:v>
      </x:c>
    </x:row>
    <x:row r="670">
      <x:c r="A670" s="50" t="n">
        <x:v>46162</x:v>
      </x:c>
      <x:c r="B670" s="14" t="str">
        <x:v>SKU-0049</x:v>
      </x:c>
      <x:c r="C670" s="52" t="n">
        <x:v>6</x:v>
      </x:c>
      <x:c r="D670" s="40" t="n">
        <x:v>96.76</x:v>
      </x:c>
      <x:c r="E670" s="44" t="n">
        <x:f>C670*D670</x:f>
        <x:v>580.5600000000001</x:v>
      </x:c>
      <x:c r="F670" s="40" t="n">
        <x:v>63.39</x:v>
      </x:c>
      <x:c r="G670" s="44" t="n">
        <x:f>C670*F670</x:f>
        <x:v>380.34000000000003</x:v>
      </x:c>
      <x:c r="H670" s="44" t="n">
        <x:f>E670-G670</x:f>
        <x:v>200.22000000000003</x:v>
      </x:c>
      <x:c r="I670" s="14" t="str">
        <x:v>Enterprise</x:v>
      </x:c>
      <x:c r="J670" s="14" t="str">
        <x:v>West</x:v>
      </x:c>
    </x:row>
    <x:row r="671">
      <x:c r="A671" s="50" t="n">
        <x:v>45904</x:v>
      </x:c>
      <x:c r="B671" s="14" t="str">
        <x:v>SKU-0012</x:v>
      </x:c>
      <x:c r="C671" s="52" t="n">
        <x:v>3</x:v>
      </x:c>
      <x:c r="D671" s="40" t="n">
        <x:v>371.61</x:v>
      </x:c>
      <x:c r="E671" s="44" t="n">
        <x:f>C671*D671</x:f>
        <x:v>1114.83</x:v>
      </x:c>
      <x:c r="F671" s="40" t="n">
        <x:v>252.14</x:v>
      </x:c>
      <x:c r="G671" s="44" t="n">
        <x:f>C671*F671</x:f>
        <x:v>756.42</x:v>
      </x:c>
      <x:c r="H671" s="44" t="n">
        <x:f>E671-G671</x:f>
        <x:v>358.40999999999997</x:v>
      </x:c>
      <x:c r="I671" s="14" t="str">
        <x:v>Internal Use</x:v>
      </x:c>
      <x:c r="J671" s="14" t="str">
        <x:v>Southeast</x:v>
      </x:c>
    </x:row>
    <x:row r="672">
      <x:c r="A672" s="50" t="n">
        <x:v>46080</x:v>
      </x:c>
      <x:c r="B672" s="14" t="str">
        <x:v>SKU-0081</x:v>
      </x:c>
      <x:c r="C672" s="52" t="n">
        <x:v>12</x:v>
      </x:c>
      <x:c r="D672" s="40" t="n">
        <x:v>291.43</x:v>
      </x:c>
      <x:c r="E672" s="44" t="n">
        <x:f>C672*D672</x:f>
        <x:v>3497.16</x:v>
      </x:c>
      <x:c r="F672" s="40" t="n">
        <x:v>198.25</x:v>
      </x:c>
      <x:c r="G672" s="44" t="n">
        <x:f>C672*F672</x:f>
        <x:v>2379</x:v>
      </x:c>
      <x:c r="H672" s="44" t="n">
        <x:f>E672-G672</x:f>
        <x:v>1118.1599999999999</x:v>
      </x:c>
      <x:c r="I672" s="14" t="str">
        <x:v>Enterprise</x:v>
      </x:c>
      <x:c r="J672" s="14" t="str">
        <x:v>Southeast</x:v>
      </x:c>
    </x:row>
    <x:row r="673">
      <x:c r="A673" s="50" t="n">
        <x:v>46180</x:v>
      </x:c>
      <x:c r="B673" s="14" t="str">
        <x:v>SKU-0007</x:v>
      </x:c>
      <x:c r="C673" s="52" t="n">
        <x:v>19</x:v>
      </x:c>
      <x:c r="D673" s="40" t="n">
        <x:v>198.72</x:v>
      </x:c>
      <x:c r="E673" s="44" t="n">
        <x:f>C673*D673</x:f>
        <x:v>3775.68</x:v>
      </x:c>
      <x:c r="F673" s="40" t="n">
        <x:v>123.15</x:v>
      </x:c>
      <x:c r="G673" s="44" t="n">
        <x:f>C673*F673</x:f>
        <x:v>2339.85</x:v>
      </x:c>
      <x:c r="H673" s="44" t="n">
        <x:f>E673-G673</x:f>
        <x:v>1435.83</x:v>
      </x:c>
      <x:c r="I673" s="14" t="str">
        <x:v>Enterprise</x:v>
      </x:c>
      <x:c r="J673" s="14" t="str">
        <x:v>Midwest</x:v>
      </x:c>
    </x:row>
    <x:row r="674">
      <x:c r="A674" s="50" t="n">
        <x:v>45957</x:v>
      </x:c>
      <x:c r="B674" s="14" t="str">
        <x:v>SKU-0042</x:v>
      </x:c>
      <x:c r="C674" s="52" t="n">
        <x:v>11</x:v>
      </x:c>
      <x:c r="D674" s="40" t="n">
        <x:v>296.5</x:v>
      </x:c>
      <x:c r="E674" s="44" t="n">
        <x:f>C674*D674</x:f>
        <x:v>3261.5</x:v>
      </x:c>
      <x:c r="F674" s="40" t="n">
        <x:v>218.51</x:v>
      </x:c>
      <x:c r="G674" s="44" t="n">
        <x:f>C674*F674</x:f>
        <x:v>2403.6099999999997</x:v>
      </x:c>
      <x:c r="H674" s="44" t="n">
        <x:f>E674-G674</x:f>
        <x:v>857.8900000000003</x:v>
      </x:c>
      <x:c r="I674" s="14" t="str">
        <x:v>SMB</x:v>
      </x:c>
      <x:c r="J674" s="14" t="str">
        <x:v>Southeast</x:v>
      </x:c>
    </x:row>
    <x:row r="675">
      <x:c r="A675" s="50" t="n">
        <x:v>45962</x:v>
      </x:c>
      <x:c r="B675" s="14" t="str">
        <x:v>SKU-0037</x:v>
      </x:c>
      <x:c r="C675" s="52" t="n">
        <x:v>10</x:v>
      </x:c>
      <x:c r="D675" s="40" t="n">
        <x:v>169.98</x:v>
      </x:c>
      <x:c r="E675" s="44" t="n">
        <x:f>C675*D675</x:f>
        <x:v>1699.8</x:v>
      </x:c>
      <x:c r="F675" s="40" t="n">
        <x:v>115.83</x:v>
      </x:c>
      <x:c r="G675" s="44" t="n">
        <x:f>C675*F675</x:f>
        <x:v>1158.3</x:v>
      </x:c>
      <x:c r="H675" s="44" t="n">
        <x:f>E675-G675</x:f>
        <x:v>541.5</x:v>
      </x:c>
      <x:c r="I675" s="14" t="str">
        <x:v>SMB</x:v>
      </x:c>
      <x:c r="J675" s="14" t="str">
        <x:v>Midwest</x:v>
      </x:c>
    </x:row>
    <x:row r="676">
      <x:c r="A676" s="50" t="n">
        <x:v>46064</x:v>
      </x:c>
      <x:c r="B676" s="14" t="str">
        <x:v>SKU-0075</x:v>
      </x:c>
      <x:c r="C676" s="52" t="n">
        <x:v>12</x:v>
      </x:c>
      <x:c r="D676" s="40" t="n">
        <x:v>27.71</x:v>
      </x:c>
      <x:c r="E676" s="44" t="n">
        <x:f>C676*D676</x:f>
        <x:v>332.52</x:v>
      </x:c>
      <x:c r="F676" s="40" t="n">
        <x:v>13.66</x:v>
      </x:c>
      <x:c r="G676" s="44" t="n">
        <x:f>C676*F676</x:f>
        <x:v>163.92000000000002</x:v>
      </x:c>
      <x:c r="H676" s="44" t="n">
        <x:f>E676-G676</x:f>
        <x:v>168.59999999999997</x:v>
      </x:c>
      <x:c r="I676" s="14" t="str">
        <x:v>Enterprise</x:v>
      </x:c>
      <x:c r="J676" s="14" t="str">
        <x:v>Southeast</x:v>
      </x:c>
    </x:row>
    <x:row r="677">
      <x:c r="A677" s="50" t="n">
        <x:v>46201</x:v>
      </x:c>
      <x:c r="B677" s="14" t="str">
        <x:v>SKU-0146</x:v>
      </x:c>
      <x:c r="C677" s="52" t="n">
        <x:v>1</x:v>
      </x:c>
      <x:c r="D677" s="40" t="n">
        <x:v>498.48</x:v>
      </x:c>
      <x:c r="E677" s="44" t="n">
        <x:f>C677*D677</x:f>
        <x:v>498.48</x:v>
      </x:c>
      <x:c r="F677" s="40" t="n">
        <x:v>261.77</x:v>
      </x:c>
      <x:c r="G677" s="44" t="n">
        <x:f>C677*F677</x:f>
        <x:v>261.77</x:v>
      </x:c>
      <x:c r="H677" s="44" t="n">
        <x:f>E677-G677</x:f>
        <x:v>236.71000000000004</x:v>
      </x:c>
      <x:c r="I677" s="14" t="str">
        <x:v>Enterprise</x:v>
      </x:c>
      <x:c r="J677" s="14" t="str">
        <x:v>West</x:v>
      </x:c>
    </x:row>
    <x:row r="678">
      <x:c r="A678" s="50" t="n">
        <x:v>46112</x:v>
      </x:c>
      <x:c r="B678" s="14" t="str">
        <x:v>SKU-0025</x:v>
      </x:c>
      <x:c r="C678" s="52" t="n">
        <x:v>4</x:v>
      </x:c>
      <x:c r="D678" s="40" t="n">
        <x:v>528.97</x:v>
      </x:c>
      <x:c r="E678" s="44" t="n">
        <x:f>C678*D678</x:f>
        <x:v>2115.88</x:v>
      </x:c>
      <x:c r="F678" s="40" t="n">
        <x:v>275.52</x:v>
      </x:c>
      <x:c r="G678" s="44" t="n">
        <x:f>C678*F678</x:f>
        <x:v>1102.08</x:v>
      </x:c>
      <x:c r="H678" s="44" t="n">
        <x:f>E678-G678</x:f>
        <x:v>1013.8000000000002</x:v>
      </x:c>
      <x:c r="I678" s="14" t="str">
        <x:v>Enterprise</x:v>
      </x:c>
      <x:c r="J678" s="14" t="str">
        <x:v>Northeast</x:v>
      </x:c>
    </x:row>
    <x:row r="679">
      <x:c r="A679" s="50" t="n">
        <x:v>46243</x:v>
      </x:c>
      <x:c r="B679" s="14" t="str">
        <x:v>SKU-0046</x:v>
      </x:c>
      <x:c r="C679" s="52" t="n">
        <x:v>14</x:v>
      </x:c>
      <x:c r="D679" s="40" t="n">
        <x:v>119.36</x:v>
      </x:c>
      <x:c r="E679" s="44" t="n">
        <x:f>C679*D679</x:f>
        <x:v>1671.04</x:v>
      </x:c>
      <x:c r="F679" s="40" t="n">
        <x:v>66.68</x:v>
      </x:c>
      <x:c r="G679" s="44" t="n">
        <x:f>C679*F679</x:f>
        <x:v>933.5200000000001</x:v>
      </x:c>
      <x:c r="H679" s="44" t="n">
        <x:f>E679-G679</x:f>
        <x:v>737.5199999999999</x:v>
      </x:c>
      <x:c r="I679" s="14" t="str">
        <x:v>Distributor</x:v>
      </x:c>
      <x:c r="J679" s="14" t="str">
        <x:v>West</x:v>
      </x:c>
    </x:row>
    <x:row r="680">
      <x:c r="A680" s="50" t="n">
        <x:v>45943</x:v>
      </x:c>
      <x:c r="B680" s="14" t="str">
        <x:v>SKU-0036</x:v>
      </x:c>
      <x:c r="C680" s="52" t="n">
        <x:v>31</x:v>
      </x:c>
      <x:c r="D680" s="40" t="n">
        <x:v>264.8</x:v>
      </x:c>
      <x:c r="E680" s="44" t="n">
        <x:f>C680*D680</x:f>
        <x:v>8208.800000000001</x:v>
      </x:c>
      <x:c r="F680" s="40" t="n">
        <x:v>122.19</x:v>
      </x:c>
      <x:c r="G680" s="44" t="n">
        <x:f>C680*F680</x:f>
        <x:v>3787.89</x:v>
      </x:c>
      <x:c r="H680" s="44" t="n">
        <x:f>E680-G680</x:f>
        <x:v>4420.910000000002</x:v>
      </x:c>
      <x:c r="I680" s="14" t="str">
        <x:v>Distributor</x:v>
      </x:c>
      <x:c r="J680" s="14" t="str">
        <x:v>West</x:v>
      </x:c>
    </x:row>
    <x:row r="681">
      <x:c r="A681" s="50" t="n">
        <x:v>46197</x:v>
      </x:c>
      <x:c r="B681" s="14" t="str">
        <x:v>SKU-0105</x:v>
      </x:c>
      <x:c r="C681" s="52" t="n">
        <x:v>2</x:v>
      </x:c>
      <x:c r="D681" s="40" t="n">
        <x:v>158.34</x:v>
      </x:c>
      <x:c r="E681" s="44" t="n">
        <x:f>C681*D681</x:f>
        <x:v>316.68</x:v>
      </x:c>
      <x:c r="F681" s="40" t="n">
        <x:v>112.98</x:v>
      </x:c>
      <x:c r="G681" s="44" t="n">
        <x:f>C681*F681</x:f>
        <x:v>225.96</x:v>
      </x:c>
      <x:c r="H681" s="44" t="n">
        <x:f>E681-G681</x:f>
        <x:v>90.72</x:v>
      </x:c>
      <x:c r="I681" s="14" t="str">
        <x:v>Distributor</x:v>
      </x:c>
      <x:c r="J681" s="14" t="str">
        <x:v>Northeast</x:v>
      </x:c>
    </x:row>
    <x:row r="682">
      <x:c r="A682" s="50" t="n">
        <x:v>46139</x:v>
      </x:c>
      <x:c r="B682" s="14" t="str">
        <x:v>SKU-0106</x:v>
      </x:c>
      <x:c r="C682" s="52" t="n">
        <x:v>5</x:v>
      </x:c>
      <x:c r="D682" s="40" t="n">
        <x:v>320.51</x:v>
      </x:c>
      <x:c r="E682" s="44" t="n">
        <x:f>C682*D682</x:f>
        <x:v>1602.55</x:v>
      </x:c>
      <x:c r="F682" s="40" t="n">
        <x:v>220.84</x:v>
      </x:c>
      <x:c r="G682" s="44" t="n">
        <x:f>C682*F682</x:f>
        <x:v>1104.2</x:v>
      </x:c>
      <x:c r="H682" s="44" t="n">
        <x:f>E682-G682</x:f>
        <x:v>498.3499999999999</x:v>
      </x:c>
      <x:c r="I682" s="14" t="str">
        <x:v>Enterprise</x:v>
      </x:c>
      <x:c r="J682" s="14" t="str">
        <x:v>Northeast</x:v>
      </x:c>
    </x:row>
    <x:row r="683">
      <x:c r="A683" s="50" t="n">
        <x:v>46238</x:v>
      </x:c>
      <x:c r="B683" s="14" t="str">
        <x:v>SKU-0063</x:v>
      </x:c>
      <x:c r="C683" s="52" t="n">
        <x:v>17</x:v>
      </x:c>
      <x:c r="D683" s="40" t="n">
        <x:v>256.42</x:v>
      </x:c>
      <x:c r="E683" s="44" t="n">
        <x:f>C683*D683</x:f>
        <x:v>4359.14</x:v>
      </x:c>
      <x:c r="F683" s="40" t="n">
        <x:v>197.54</x:v>
      </x:c>
      <x:c r="G683" s="44" t="n">
        <x:f>C683*F683</x:f>
        <x:v>3358.18</x:v>
      </x:c>
      <x:c r="H683" s="44" t="n">
        <x:f>E683-G683</x:f>
        <x:v>1000.9600000000005</x:v>
      </x:c>
      <x:c r="I683" s="14" t="str">
        <x:v>Internal Use</x:v>
      </x:c>
      <x:c r="J683" s="14" t="str">
        <x:v>Northeast</x:v>
      </x:c>
    </x:row>
    <x:row r="684">
      <x:c r="A684" s="50" t="n">
        <x:v>46078</x:v>
      </x:c>
      <x:c r="B684" s="14" t="str">
        <x:v>SKU-0058</x:v>
      </x:c>
      <x:c r="C684" s="52" t="n">
        <x:v>42</x:v>
      </x:c>
      <x:c r="D684" s="40" t="n">
        <x:v>357.14</x:v>
      </x:c>
      <x:c r="E684" s="44" t="n">
        <x:f>C684*D684</x:f>
        <x:v>14999.88</x:v>
      </x:c>
      <x:c r="F684" s="40" t="n">
        <x:v>226.78</x:v>
      </x:c>
      <x:c r="G684" s="44" t="n">
        <x:f>C684*F684</x:f>
        <x:v>9524.76</x:v>
      </x:c>
      <x:c r="H684" s="44" t="n">
        <x:f>E684-G684</x:f>
        <x:v>5475.119999999999</x:v>
      </x:c>
      <x:c r="I684" s="14" t="str">
        <x:v>Internal Use</x:v>
      </x:c>
      <x:c r="J684" s="14" t="str">
        <x:v>West</x:v>
      </x:c>
    </x:row>
    <x:row r="685">
      <x:c r="A685" s="50" t="n">
        <x:v>45923</x:v>
      </x:c>
      <x:c r="B685" s="14" t="str">
        <x:v>SKU-0028</x:v>
      </x:c>
      <x:c r="C685" s="52" t="n">
        <x:v>5</x:v>
      </x:c>
      <x:c r="D685" s="40" t="n">
        <x:v>379.21</x:v>
      </x:c>
      <x:c r="E685" s="44" t="n">
        <x:f>C685*D685</x:f>
        <x:v>1896.05</x:v>
      </x:c>
      <x:c r="F685" s="40" t="n">
        <x:v>274.39</x:v>
      </x:c>
      <x:c r="G685" s="44" t="n">
        <x:f>C685*F685</x:f>
        <x:v>1371.9499999999998</x:v>
      </x:c>
      <x:c r="H685" s="44" t="n">
        <x:f>E685-G685</x:f>
        <x:v>524.1000000000001</x:v>
      </x:c>
      <x:c r="I685" s="14" t="str">
        <x:v>Internal Use</x:v>
      </x:c>
      <x:c r="J685" s="14" t="str">
        <x:v>West</x:v>
      </x:c>
    </x:row>
    <x:row r="686">
      <x:c r="A686" s="50" t="n">
        <x:v>46085</x:v>
      </x:c>
      <x:c r="B686" s="14" t="str">
        <x:v>SKU-0052</x:v>
      </x:c>
      <x:c r="C686" s="52" t="n">
        <x:v>6</x:v>
      </x:c>
      <x:c r="D686" s="40" t="n">
        <x:v>276.23</x:v>
      </x:c>
      <x:c r="E686" s="44" t="n">
        <x:f>C686*D686</x:f>
        <x:v>1657.38</x:v>
      </x:c>
      <x:c r="F686" s="40" t="n">
        <x:v>210.35</x:v>
      </x:c>
      <x:c r="G686" s="44" t="n">
        <x:f>C686*F686</x:f>
        <x:v>1262.1</x:v>
      </x:c>
      <x:c r="H686" s="44" t="n">
        <x:f>E686-G686</x:f>
        <x:v>395.2800000000002</x:v>
      </x:c>
      <x:c r="I686" s="14" t="str">
        <x:v>Internal Use</x:v>
      </x:c>
      <x:c r="J686" s="14" t="str">
        <x:v>Southeast</x:v>
      </x:c>
    </x:row>
    <x:row r="687">
      <x:c r="A687" s="50" t="n">
        <x:v>45938</x:v>
      </x:c>
      <x:c r="B687" s="14" t="str">
        <x:v>SKU-0122</x:v>
      </x:c>
      <x:c r="C687" s="52" t="n">
        <x:v>3</x:v>
      </x:c>
      <x:c r="D687" s="40" t="n">
        <x:v>38.95</x:v>
      </x:c>
      <x:c r="E687" s="44" t="n">
        <x:f>C687*D687</x:f>
        <x:v>116.85000000000001</x:v>
      </x:c>
      <x:c r="F687" s="40" t="n">
        <x:v>25.14</x:v>
      </x:c>
      <x:c r="G687" s="44" t="n">
        <x:f>C687*F687</x:f>
        <x:v>75.42</x:v>
      </x:c>
      <x:c r="H687" s="44" t="n">
        <x:f>E687-G687</x:f>
        <x:v>41.43000000000001</x:v>
      </x:c>
      <x:c r="I687" s="14" t="str">
        <x:v>Distributor</x:v>
      </x:c>
      <x:c r="J687" s="14" t="str">
        <x:v>Northeast</x:v>
      </x:c>
    </x:row>
    <x:row r="688">
      <x:c r="A688" s="50" t="n">
        <x:v>45911</x:v>
      </x:c>
      <x:c r="B688" s="14" t="str">
        <x:v>SKU-0098</x:v>
      </x:c>
      <x:c r="C688" s="52" t="n">
        <x:v>23</x:v>
      </x:c>
      <x:c r="D688" s="40" t="n">
        <x:v>372.3</x:v>
      </x:c>
      <x:c r="E688" s="44" t="n">
        <x:f>C688*D688</x:f>
        <x:v>8562.9</x:v>
      </x:c>
      <x:c r="F688" s="40" t="n">
        <x:v>270.95</x:v>
      </x:c>
      <x:c r="G688" s="44" t="n">
        <x:f>C688*F688</x:f>
        <x:v>6231.849999999999</x:v>
      </x:c>
      <x:c r="H688" s="44" t="n">
        <x:f>E688-G688</x:f>
        <x:v>2331.05</x:v>
      </x:c>
      <x:c r="I688" s="14" t="str">
        <x:v>Internal Use</x:v>
      </x:c>
      <x:c r="J688" s="14" t="str">
        <x:v>Southeast</x:v>
      </x:c>
    </x:row>
    <x:row r="689">
      <x:c r="A689" s="50" t="n">
        <x:v>45988</x:v>
      </x:c>
      <x:c r="B689" s="14" t="str">
        <x:v>SKU-0014</x:v>
      </x:c>
      <x:c r="C689" s="52" t="n">
        <x:v>12</x:v>
      </x:c>
      <x:c r="D689" s="40" t="n">
        <x:v>285.37</x:v>
      </x:c>
      <x:c r="E689" s="44" t="n">
        <x:f>C689*D689</x:f>
        <x:v>3424.44</x:v>
      </x:c>
      <x:c r="F689" s="40" t="n">
        <x:v>152.14</x:v>
      </x:c>
      <x:c r="G689" s="44" t="n">
        <x:f>C689*F689</x:f>
        <x:v>1825.6799999999998</x:v>
      </x:c>
      <x:c r="H689" s="44" t="n">
        <x:f>E689-G689</x:f>
        <x:v>1598.7600000000002</x:v>
      </x:c>
      <x:c r="I689" s="14" t="str">
        <x:v>Enterprise</x:v>
      </x:c>
      <x:c r="J689" s="14" t="str">
        <x:v>Southeast</x:v>
      </x:c>
    </x:row>
    <x:row r="690">
      <x:c r="A690" s="50" t="n">
        <x:v>46020</x:v>
      </x:c>
      <x:c r="B690" s="14" t="str">
        <x:v>SKU-0018</x:v>
      </x:c>
      <x:c r="C690" s="52" t="n">
        <x:v>7</x:v>
      </x:c>
      <x:c r="D690" s="40" t="n">
        <x:v>78.28</x:v>
      </x:c>
      <x:c r="E690" s="44" t="n">
        <x:f>C690*D690</x:f>
        <x:v>547.96</x:v>
      </x:c>
      <x:c r="F690" s="40" t="n">
        <x:v>48.65</x:v>
      </x:c>
      <x:c r="G690" s="44" t="n">
        <x:f>C690*F690</x:f>
        <x:v>340.55</x:v>
      </x:c>
      <x:c r="H690" s="44" t="n">
        <x:f>E690-G690</x:f>
        <x:v>207.41000000000003</x:v>
      </x:c>
      <x:c r="I690" s="14" t="str">
        <x:v>Internal Use</x:v>
      </x:c>
      <x:c r="J690" s="14" t="str">
        <x:v>Southeast</x:v>
      </x:c>
    </x:row>
    <x:row r="691">
      <x:c r="A691" s="50" t="n">
        <x:v>45974</x:v>
      </x:c>
      <x:c r="B691" s="14" t="str">
        <x:v>SKU-0067</x:v>
      </x:c>
      <x:c r="C691" s="52" t="n">
        <x:v>20</x:v>
      </x:c>
      <x:c r="D691" s="40" t="n">
        <x:v>145.73</x:v>
      </x:c>
      <x:c r="E691" s="44" t="n">
        <x:f>C691*D691</x:f>
        <x:v>2914.6</x:v>
      </x:c>
      <x:c r="F691" s="40" t="n">
        <x:v>113.7</x:v>
      </x:c>
      <x:c r="G691" s="44" t="n">
        <x:f>C691*F691</x:f>
        <x:v>2274</x:v>
      </x:c>
      <x:c r="H691" s="44" t="n">
        <x:f>E691-G691</x:f>
        <x:v>640.5999999999999</x:v>
      </x:c>
      <x:c r="I691" s="14" t="str">
        <x:v>SMB</x:v>
      </x:c>
      <x:c r="J691" s="14" t="str">
        <x:v>Southeast</x:v>
      </x:c>
    </x:row>
    <x:row r="692">
      <x:c r="A692" s="50" t="n">
        <x:v>46094</x:v>
      </x:c>
      <x:c r="B692" s="14" t="str">
        <x:v>SKU-0090</x:v>
      </x:c>
      <x:c r="C692" s="52" t="n">
        <x:v>8</x:v>
      </x:c>
      <x:c r="D692" s="40" t="n">
        <x:v>217.24</x:v>
      </x:c>
      <x:c r="E692" s="44" t="n">
        <x:f>C692*D692</x:f>
        <x:v>1737.92</x:v>
      </x:c>
      <x:c r="F692" s="40" t="n">
        <x:v>116.84</x:v>
      </x:c>
      <x:c r="G692" s="44" t="n">
        <x:f>C692*F692</x:f>
        <x:v>934.72</x:v>
      </x:c>
      <x:c r="H692" s="44" t="n">
        <x:f>E692-G692</x:f>
        <x:v>803.2</x:v>
      </x:c>
      <x:c r="I692" s="14" t="str">
        <x:v>Internal Use</x:v>
      </x:c>
      <x:c r="J692" s="14" t="str">
        <x:v>Midwest</x:v>
      </x:c>
    </x:row>
    <x:row r="693">
      <x:c r="A693" s="50" t="n">
        <x:v>46079</x:v>
      </x:c>
      <x:c r="B693" s="14" t="str">
        <x:v>SKU-0147</x:v>
      </x:c>
      <x:c r="C693" s="52" t="n">
        <x:v>24</x:v>
      </x:c>
      <x:c r="D693" s="40" t="n">
        <x:v>63.41</x:v>
      </x:c>
      <x:c r="E693" s="44" t="n">
        <x:f>C693*D693</x:f>
        <x:v>1521.84</x:v>
      </x:c>
      <x:c r="F693" s="40" t="n">
        <x:v>27.95</x:v>
      </x:c>
      <x:c r="G693" s="44" t="n">
        <x:f>C693*F693</x:f>
        <x:v>670.8</x:v>
      </x:c>
      <x:c r="H693" s="44" t="n">
        <x:f>E693-G693</x:f>
        <x:v>851.04</x:v>
      </x:c>
      <x:c r="I693" s="14" t="str">
        <x:v>SMB</x:v>
      </x:c>
      <x:c r="J693" s="14" t="str">
        <x:v>Northeast</x:v>
      </x:c>
    </x:row>
    <x:row r="694">
      <x:c r="A694" s="50" t="n">
        <x:v>46195</x:v>
      </x:c>
      <x:c r="B694" s="14" t="str">
        <x:v>SKU-0149</x:v>
      </x:c>
      <x:c r="C694" s="52" t="n">
        <x:v>2</x:v>
      </x:c>
      <x:c r="D694" s="40" t="n">
        <x:v>416.99</x:v>
      </x:c>
      <x:c r="E694" s="44" t="n">
        <x:f>C694*D694</x:f>
        <x:v>833.98</x:v>
      </x:c>
      <x:c r="F694" s="40" t="n">
        <x:v>257.08</x:v>
      </x:c>
      <x:c r="G694" s="44" t="n">
        <x:f>C694*F694</x:f>
        <x:v>514.16</x:v>
      </x:c>
      <x:c r="H694" s="44" t="n">
        <x:f>E694-G694</x:f>
        <x:v>319.82000000000005</x:v>
      </x:c>
      <x:c r="I694" s="14" t="str">
        <x:v>Distributor</x:v>
      </x:c>
      <x:c r="J694" s="14" t="str">
        <x:v>Northeast</x:v>
      </x:c>
    </x:row>
    <x:row r="695">
      <x:c r="A695" s="50" t="n">
        <x:v>46114</x:v>
      </x:c>
      <x:c r="B695" s="14" t="str">
        <x:v>SKU-0039</x:v>
      </x:c>
      <x:c r="C695" s="52" t="n">
        <x:v>29</x:v>
      </x:c>
      <x:c r="D695" s="40" t="n">
        <x:v>215.6</x:v>
      </x:c>
      <x:c r="E695" s="44" t="n">
        <x:f>C695*D695</x:f>
        <x:v>6252.4</x:v>
      </x:c>
      <x:c r="F695" s="40" t="n">
        <x:v>125.1</x:v>
      </x:c>
      <x:c r="G695" s="44" t="n">
        <x:f>C695*F695</x:f>
        <x:v>3627.8999999999996</x:v>
      </x:c>
      <x:c r="H695" s="44" t="n">
        <x:f>E695-G695</x:f>
        <x:v>2624.5</x:v>
      </x:c>
      <x:c r="I695" s="14" t="str">
        <x:v>Internal Use</x:v>
      </x:c>
      <x:c r="J695" s="14" t="str">
        <x:v>Midwest</x:v>
      </x:c>
    </x:row>
    <x:row r="696">
      <x:c r="A696" s="50" t="n">
        <x:v>45881</x:v>
      </x:c>
      <x:c r="B696" s="14" t="str">
        <x:v>SKU-0134</x:v>
      </x:c>
      <x:c r="C696" s="52" t="n">
        <x:v>34</x:v>
      </x:c>
      <x:c r="D696" s="40" t="n">
        <x:v>429.03</x:v>
      </x:c>
      <x:c r="E696" s="44" t="n">
        <x:f>C696*D696</x:f>
        <x:v>14587.019999999999</x:v>
      </x:c>
      <x:c r="F696" s="40" t="n">
        <x:v>254.76</x:v>
      </x:c>
      <x:c r="G696" s="44" t="n">
        <x:f>C696*F696</x:f>
        <x:v>8661.84</x:v>
      </x:c>
      <x:c r="H696" s="44" t="n">
        <x:f>E696-G696</x:f>
        <x:v>5925.1799999999985</x:v>
      </x:c>
      <x:c r="I696" s="14" t="str">
        <x:v>Enterprise</x:v>
      </x:c>
      <x:c r="J696" s="14" t="str">
        <x:v>Northeast</x:v>
      </x:c>
    </x:row>
    <x:row r="697">
      <x:c r="A697" s="50" t="n">
        <x:v>45976</x:v>
      </x:c>
      <x:c r="B697" s="14" t="str">
        <x:v>SKU-0056</x:v>
      </x:c>
      <x:c r="C697" s="52" t="n">
        <x:v>7</x:v>
      </x:c>
      <x:c r="D697" s="40" t="n">
        <x:v>298.31</x:v>
      </x:c>
      <x:c r="E697" s="44" t="n">
        <x:f>C697*D697</x:f>
        <x:v>2088.17</x:v>
      </x:c>
      <x:c r="F697" s="40" t="n">
        <x:v>219.68</x:v>
      </x:c>
      <x:c r="G697" s="44" t="n">
        <x:f>C697*F697</x:f>
        <x:v>1537.76</x:v>
      </x:c>
      <x:c r="H697" s="44" t="n">
        <x:f>E697-G697</x:f>
        <x:v>550.4100000000001</x:v>
      </x:c>
      <x:c r="I697" s="14" t="str">
        <x:v>Internal Use</x:v>
      </x:c>
      <x:c r="J697" s="14" t="str">
        <x:v>Southeast</x:v>
      </x:c>
    </x:row>
    <x:row r="698">
      <x:c r="A698" s="50" t="n">
        <x:v>45987</x:v>
      </x:c>
      <x:c r="B698" s="14" t="str">
        <x:v>SKU-0090</x:v>
      </x:c>
      <x:c r="C698" s="52" t="n">
        <x:v>10</x:v>
      </x:c>
      <x:c r="D698" s="40" t="n">
        <x:v>218.2</x:v>
      </x:c>
      <x:c r="E698" s="44" t="n">
        <x:f>C698*D698</x:f>
        <x:v>2182</x:v>
      </x:c>
      <x:c r="F698" s="40" t="n">
        <x:v>116.84</x:v>
      </x:c>
      <x:c r="G698" s="44" t="n">
        <x:f>C698*F698</x:f>
        <x:v>1168.4</x:v>
      </x:c>
      <x:c r="H698" s="44" t="n">
        <x:f>E698-G698</x:f>
        <x:v>1013.5999999999999</x:v>
      </x:c>
      <x:c r="I698" s="14" t="str">
        <x:v>Enterprise</x:v>
      </x:c>
      <x:c r="J698" s="14" t="str">
        <x:v>Midwest</x:v>
      </x:c>
    </x:row>
    <x:row r="699">
      <x:c r="A699" s="50" t="n">
        <x:v>46137</x:v>
      </x:c>
      <x:c r="B699" s="14" t="str">
        <x:v>SKU-0079</x:v>
      </x:c>
      <x:c r="C699" s="52" t="n">
        <x:v>14</x:v>
      </x:c>
      <x:c r="D699" s="40" t="n">
        <x:v>223.71</x:v>
      </x:c>
      <x:c r="E699" s="44" t="n">
        <x:f>C699*D699</x:f>
        <x:v>3131.94</x:v>
      </x:c>
      <x:c r="F699" s="40" t="n">
        <x:v>124.08</x:v>
      </x:c>
      <x:c r="G699" s="44" t="n">
        <x:f>C699*F699</x:f>
        <x:v>1737.12</x:v>
      </x:c>
      <x:c r="H699" s="44" t="n">
        <x:f>E699-G699</x:f>
        <x:v>1394.8200000000002</x:v>
      </x:c>
      <x:c r="I699" s="14" t="str">
        <x:v>Internal Use</x:v>
      </x:c>
      <x:c r="J699" s="14" t="str">
        <x:v>West</x:v>
      </x:c>
    </x:row>
    <x:row r="700">
      <x:c r="A700" s="50" t="n">
        <x:v>46060</x:v>
      </x:c>
      <x:c r="B700" s="14" t="str">
        <x:v>SKU-0106</x:v>
      </x:c>
      <x:c r="C700" s="52" t="n">
        <x:v>5</x:v>
      </x:c>
      <x:c r="D700" s="40" t="n">
        <x:v>299.05</x:v>
      </x:c>
      <x:c r="E700" s="44" t="n">
        <x:f>C700*D700</x:f>
        <x:v>1495.25</x:v>
      </x:c>
      <x:c r="F700" s="40" t="n">
        <x:v>220.84</x:v>
      </x:c>
      <x:c r="G700" s="44" t="n">
        <x:f>C700*F700</x:f>
        <x:v>1104.2</x:v>
      </x:c>
      <x:c r="H700" s="44" t="n">
        <x:f>E700-G700</x:f>
        <x:v>391.04999999999995</x:v>
      </x:c>
      <x:c r="I700" s="14" t="str">
        <x:v>Distributor</x:v>
      </x:c>
      <x:c r="J700" s="14" t="str">
        <x:v>Northeast</x:v>
      </x:c>
    </x:row>
    <x:row r="701">
      <x:c r="A701" s="50" t="n">
        <x:v>46114</x:v>
      </x:c>
      <x:c r="B701" s="14" t="str">
        <x:v>SKU-0046</x:v>
      </x:c>
      <x:c r="C701" s="52" t="n">
        <x:v>8</x:v>
      </x:c>
      <x:c r="D701" s="40" t="n">
        <x:v>121.61</x:v>
      </x:c>
      <x:c r="E701" s="44" t="n">
        <x:f>C701*D701</x:f>
        <x:v>972.88</x:v>
      </x:c>
      <x:c r="F701" s="40" t="n">
        <x:v>66.68</x:v>
      </x:c>
      <x:c r="G701" s="44" t="n">
        <x:f>C701*F701</x:f>
        <x:v>533.44</x:v>
      </x:c>
      <x:c r="H701" s="44" t="n">
        <x:f>E701-G701</x:f>
        <x:v>439.43999999999994</x:v>
      </x:c>
      <x:c r="I701" s="14" t="str">
        <x:v>Internal Use</x:v>
      </x:c>
      <x:c r="J701" s="14" t="str">
        <x:v>West</x:v>
      </x:c>
    </x:row>
    <x:row r="702">
      <x:c r="A702" s="50" t="n">
        <x:v>46217</x:v>
      </x:c>
      <x:c r="B702" s="14" t="str">
        <x:v>SKU-0073</x:v>
      </x:c>
      <x:c r="C702" s="52" t="n">
        <x:v>14</x:v>
      </x:c>
      <x:c r="D702" s="40" t="n">
        <x:v>64.06</x:v>
      </x:c>
      <x:c r="E702" s="44" t="n">
        <x:f>C702*D702</x:f>
        <x:v>896.84</x:v>
      </x:c>
      <x:c r="F702" s="40" t="n">
        <x:v>37.01</x:v>
      </x:c>
      <x:c r="G702" s="44" t="n">
        <x:f>C702*F702</x:f>
        <x:v>518.14</x:v>
      </x:c>
      <x:c r="H702" s="44" t="n">
        <x:f>E702-G702</x:f>
        <x:v>378.70000000000005</x:v>
      </x:c>
      <x:c r="I702" s="14" t="str">
        <x:v>Enterprise</x:v>
      </x:c>
      <x:c r="J702" s="14" t="str">
        <x:v>Northeast</x:v>
      </x:c>
    </x:row>
    <x:row r="703">
      <x:c r="A703" s="50" t="n">
        <x:v>45925</x:v>
      </x:c>
      <x:c r="B703" s="14" t="str">
        <x:v>SKU-0027</x:v>
      </x:c>
      <x:c r="C703" s="52" t="n">
        <x:v>15</x:v>
      </x:c>
      <x:c r="D703" s="40" t="n">
        <x:v>290</x:v>
      </x:c>
      <x:c r="E703" s="44" t="n">
        <x:f>C703*D703</x:f>
        <x:v>4350</x:v>
      </x:c>
      <x:c r="F703" s="40" t="n">
        <x:v>138.07</x:v>
      </x:c>
      <x:c r="G703" s="44" t="n">
        <x:f>C703*F703</x:f>
        <x:v>2071.0499999999997</x:v>
      </x:c>
      <x:c r="H703" s="44" t="n">
        <x:f>E703-G703</x:f>
        <x:v>2278.9500000000003</x:v>
      </x:c>
      <x:c r="I703" s="14" t="str">
        <x:v>Internal Use</x:v>
      </x:c>
      <x:c r="J703" s="14" t="str">
        <x:v>Northeast</x:v>
      </x:c>
    </x:row>
    <x:row r="704">
      <x:c r="A704" s="50" t="n">
        <x:v>46137</x:v>
      </x:c>
      <x:c r="B704" s="14" t="str">
        <x:v>SKU-0114</x:v>
      </x:c>
      <x:c r="C704" s="52" t="n">
        <x:v>10</x:v>
      </x:c>
      <x:c r="D704" s="40" t="n">
        <x:v>331.55</x:v>
      </x:c>
      <x:c r="E704" s="44" t="n">
        <x:f>C704*D704</x:f>
        <x:v>3315.5</x:v>
      </x:c>
      <x:c r="F704" s="40" t="n">
        <x:v>232.11</x:v>
      </x:c>
      <x:c r="G704" s="44" t="n">
        <x:f>C704*F704</x:f>
        <x:v>2321.1000000000004</x:v>
      </x:c>
      <x:c r="H704" s="44" t="n">
        <x:f>E704-G704</x:f>
        <x:v>994.3999999999996</x:v>
      </x:c>
      <x:c r="I704" s="14" t="str">
        <x:v>Internal Use</x:v>
      </x:c>
      <x:c r="J704" s="14" t="str">
        <x:v>Southeast</x:v>
      </x:c>
    </x:row>
    <x:row r="705">
      <x:c r="A705" s="50" t="n">
        <x:v>46112</x:v>
      </x:c>
      <x:c r="B705" s="14" t="str">
        <x:v>SKU-0058</x:v>
      </x:c>
      <x:c r="C705" s="52" t="n">
        <x:v>9</x:v>
      </x:c>
      <x:c r="D705" s="40" t="n">
        <x:v>385.68</x:v>
      </x:c>
      <x:c r="E705" s="44" t="n">
        <x:f>C705*D705</x:f>
        <x:v>3471.12</x:v>
      </x:c>
      <x:c r="F705" s="40" t="n">
        <x:v>226.78</x:v>
      </x:c>
      <x:c r="G705" s="44" t="n">
        <x:f>C705*F705</x:f>
        <x:v>2041.02</x:v>
      </x:c>
      <x:c r="H705" s="44" t="n">
        <x:f>E705-G705</x:f>
        <x:v>1430.1</x:v>
      </x:c>
      <x:c r="I705" s="14" t="str">
        <x:v>Enterprise</x:v>
      </x:c>
      <x:c r="J705" s="14" t="str">
        <x:v>Midwest</x:v>
      </x:c>
    </x:row>
    <x:row r="706">
      <x:c r="A706" s="50" t="n">
        <x:v>46091</x:v>
      </x:c>
      <x:c r="B706" s="14" t="str">
        <x:v>SKU-0119</x:v>
      </x:c>
      <x:c r="C706" s="52" t="n">
        <x:v>43</x:v>
      </x:c>
      <x:c r="D706" s="40" t="n">
        <x:v>99.28</x:v>
      </x:c>
      <x:c r="E706" s="44" t="n">
        <x:f>C706*D706</x:f>
        <x:v>4269.04</x:v>
      </x:c>
      <x:c r="F706" s="40" t="n">
        <x:v>52.57</x:v>
      </x:c>
      <x:c r="G706" s="44" t="n">
        <x:f>C706*F706</x:f>
        <x:v>2260.51</x:v>
      </x:c>
      <x:c r="H706" s="44" t="n">
        <x:f>E706-G706</x:f>
        <x:v>2008.5299999999997</x:v>
      </x:c>
      <x:c r="I706" s="14" t="str">
        <x:v>Internal Use</x:v>
      </x:c>
      <x:c r="J706" s="14" t="str">
        <x:v>Northeast</x:v>
      </x:c>
    </x:row>
    <x:row r="707">
      <x:c r="A707" s="50" t="n">
        <x:v>45994</x:v>
      </x:c>
      <x:c r="B707" s="14" t="str">
        <x:v>SKU-0096</x:v>
      </x:c>
      <x:c r="C707" s="52" t="n">
        <x:v>9</x:v>
      </x:c>
      <x:c r="D707" s="40" t="n">
        <x:v>51.71</x:v>
      </x:c>
      <x:c r="E707" s="44" t="n">
        <x:f>C707*D707</x:f>
        <x:v>465.39</x:v>
      </x:c>
      <x:c r="F707" s="40" t="n">
        <x:v>29.46</x:v>
      </x:c>
      <x:c r="G707" s="44" t="n">
        <x:f>C707*F707</x:f>
        <x:v>265.14</x:v>
      </x:c>
      <x:c r="H707" s="44" t="n">
        <x:f>E707-G707</x:f>
        <x:v>200.25</x:v>
      </x:c>
      <x:c r="I707" s="14" t="str">
        <x:v>Distributor</x:v>
      </x:c>
      <x:c r="J707" s="14" t="str">
        <x:v>West</x:v>
      </x:c>
    </x:row>
    <x:row r="708">
      <x:c r="A708" s="50" t="n">
        <x:v>45882</x:v>
      </x:c>
      <x:c r="B708" s="14" t="str">
        <x:v>SKU-0062</x:v>
      </x:c>
      <x:c r="C708" s="52" t="n">
        <x:v>23</x:v>
      </x:c>
      <x:c r="D708" s="40" t="n">
        <x:v>106.28</x:v>
      </x:c>
      <x:c r="E708" s="44" t="n">
        <x:f>C708*D708</x:f>
        <x:v>2444.44</x:v>
      </x:c>
      <x:c r="F708" s="40" t="n">
        <x:v>63.99</x:v>
      </x:c>
      <x:c r="G708" s="44" t="n">
        <x:f>C708*F708</x:f>
        <x:v>1471.77</x:v>
      </x:c>
      <x:c r="H708" s="44" t="n">
        <x:f>E708-G708</x:f>
        <x:v>972.6700000000001</x:v>
      </x:c>
      <x:c r="I708" s="14" t="str">
        <x:v>SMB</x:v>
      </x:c>
      <x:c r="J708" s="14" t="str">
        <x:v>Midwest</x:v>
      </x:c>
    </x:row>
    <x:row r="709">
      <x:c r="A709" s="50" t="n">
        <x:v>46187</x:v>
      </x:c>
      <x:c r="B709" s="14" t="str">
        <x:v>SKU-0133</x:v>
      </x:c>
      <x:c r="C709" s="52" t="n">
        <x:v>6</x:v>
      </x:c>
      <x:c r="D709" s="40" t="n">
        <x:v>291.39</x:v>
      </x:c>
      <x:c r="E709" s="44" t="n">
        <x:f>C709*D709</x:f>
        <x:v>1748.34</x:v>
      </x:c>
      <x:c r="F709" s="40" t="n">
        <x:v>233.3</x:v>
      </x:c>
      <x:c r="G709" s="44" t="n">
        <x:f>C709*F709</x:f>
        <x:v>1399.8000000000002</x:v>
      </x:c>
      <x:c r="H709" s="44" t="n">
        <x:f>E709-G709</x:f>
        <x:v>348.53999999999974</x:v>
      </x:c>
      <x:c r="I709" s="14" t="str">
        <x:v>Internal Use</x:v>
      </x:c>
      <x:c r="J709" s="14" t="str">
        <x:v>Southeast</x:v>
      </x:c>
    </x:row>
    <x:row r="710">
      <x:c r="A710" s="50" t="n">
        <x:v>46080</x:v>
      </x:c>
      <x:c r="B710" s="14" t="str">
        <x:v>SKU-0143</x:v>
      </x:c>
      <x:c r="C710" s="52" t="n">
        <x:v>2</x:v>
      </x:c>
      <x:c r="D710" s="40" t="n">
        <x:v>193.64</x:v>
      </x:c>
      <x:c r="E710" s="44" t="n">
        <x:f>C710*D710</x:f>
        <x:v>387.28</x:v>
      </x:c>
      <x:c r="F710" s="40" t="n">
        <x:v>123.95</x:v>
      </x:c>
      <x:c r="G710" s="44" t="n">
        <x:f>C710*F710</x:f>
        <x:v>247.9</x:v>
      </x:c>
      <x:c r="H710" s="44" t="n">
        <x:f>E710-G710</x:f>
        <x:v>139.37999999999997</x:v>
      </x:c>
      <x:c r="I710" s="14" t="str">
        <x:v>Internal Use</x:v>
      </x:c>
      <x:c r="J710" s="14" t="str">
        <x:v>Southeast</x:v>
      </x:c>
    </x:row>
    <x:row r="711">
      <x:c r="A711" s="50" t="n">
        <x:v>45968</x:v>
      </x:c>
      <x:c r="B711" s="14" t="str">
        <x:v>SKU-0100</x:v>
      </x:c>
      <x:c r="C711" s="52" t="n">
        <x:v>7</x:v>
      </x:c>
      <x:c r="D711" s="40" t="n">
        <x:v>177.09</x:v>
      </x:c>
      <x:c r="E711" s="44" t="n">
        <x:f>C711*D711</x:f>
        <x:v>1239.63</x:v>
      </x:c>
      <x:c r="F711" s="40" t="n">
        <x:v>108.23</x:v>
      </x:c>
      <x:c r="G711" s="44" t="n">
        <x:f>C711*F711</x:f>
        <x:v>757.61</x:v>
      </x:c>
      <x:c r="H711" s="44" t="n">
        <x:f>E711-G711</x:f>
        <x:v>482.0200000000001</x:v>
      </x:c>
      <x:c r="I711" s="14" t="str">
        <x:v>SMB</x:v>
      </x:c>
      <x:c r="J711" s="14" t="str">
        <x:v>Northeast</x:v>
      </x:c>
    </x:row>
    <x:row r="712">
      <x:c r="A712" s="50" t="n">
        <x:v>46138</x:v>
      </x:c>
      <x:c r="B712" s="14" t="str">
        <x:v>SKU-0033</x:v>
      </x:c>
      <x:c r="C712" s="52" t="n">
        <x:v>2</x:v>
      </x:c>
      <x:c r="D712" s="40" t="n">
        <x:v>269.46</x:v>
      </x:c>
      <x:c r="E712" s="44" t="n">
        <x:f>C712*D712</x:f>
        <x:v>538.92</x:v>
      </x:c>
      <x:c r="F712" s="40" t="n">
        <x:v>185.66</x:v>
      </x:c>
      <x:c r="G712" s="44" t="n">
        <x:f>C712*F712</x:f>
        <x:v>371.32</x:v>
      </x:c>
      <x:c r="H712" s="44" t="n">
        <x:f>E712-G712</x:f>
        <x:v>167.59999999999997</x:v>
      </x:c>
      <x:c r="I712" s="14" t="str">
        <x:v>Distributor</x:v>
      </x:c>
      <x:c r="J712" s="14" t="str">
        <x:v>Southeast</x:v>
      </x:c>
    </x:row>
    <x:row r="713">
      <x:c r="A713" s="50" t="n">
        <x:v>45984</x:v>
      </x:c>
      <x:c r="B713" s="14" t="str">
        <x:v>SKU-0083</x:v>
      </x:c>
      <x:c r="C713" s="52" t="n">
        <x:v>2</x:v>
      </x:c>
      <x:c r="D713" s="40" t="n">
        <x:v>198.14</x:v>
      </x:c>
      <x:c r="E713" s="44" t="n">
        <x:f>C713*D713</x:f>
        <x:v>396.28</x:v>
      </x:c>
      <x:c r="F713" s="40" t="n">
        <x:v>126.42</x:v>
      </x:c>
      <x:c r="G713" s="44" t="n">
        <x:f>C713*F713</x:f>
        <x:v>252.84</x:v>
      </x:c>
      <x:c r="H713" s="44" t="n">
        <x:f>E713-G713</x:f>
        <x:v>143.43999999999997</x:v>
      </x:c>
      <x:c r="I713" s="14" t="str">
        <x:v>Enterprise</x:v>
      </x:c>
      <x:c r="J713" s="14" t="str">
        <x:v>West</x:v>
      </x:c>
    </x:row>
    <x:row r="714">
      <x:c r="A714" s="50" t="n">
        <x:v>45946</x:v>
      </x:c>
      <x:c r="B714" s="14" t="str">
        <x:v>SKU-0007</x:v>
      </x:c>
      <x:c r="C714" s="52" t="n">
        <x:v>14</x:v>
      </x:c>
      <x:c r="D714" s="40" t="n">
        <x:v>192.46</x:v>
      </x:c>
      <x:c r="E714" s="44" t="n">
        <x:f>C714*D714</x:f>
        <x:v>2694.44</x:v>
      </x:c>
      <x:c r="F714" s="40" t="n">
        <x:v>123.15</x:v>
      </x:c>
      <x:c r="G714" s="44" t="n">
        <x:f>C714*F714</x:f>
        <x:v>1724.1000000000001</x:v>
      </x:c>
      <x:c r="H714" s="44" t="n">
        <x:f>E714-G714</x:f>
        <x:v>970.3399999999999</x:v>
      </x:c>
      <x:c r="I714" s="14" t="str">
        <x:v>SMB</x:v>
      </x:c>
      <x:c r="J714" s="14" t="str">
        <x:v>Midwest</x:v>
      </x:c>
    </x:row>
    <x:row r="715">
      <x:c r="A715" s="50" t="n">
        <x:v>46154</x:v>
      </x:c>
      <x:c r="B715" s="14" t="str">
        <x:v>SKU-0050</x:v>
      </x:c>
      <x:c r="C715" s="52" t="n">
        <x:v>49</x:v>
      </x:c>
      <x:c r="D715" s="40" t="n">
        <x:v>336.58</x:v>
      </x:c>
      <x:c r="E715" s="44" t="n">
        <x:f>C715*D715</x:f>
        <x:v>16492.42</x:v>
      </x:c>
      <x:c r="F715" s="40" t="n">
        <x:v>150.72</x:v>
      </x:c>
      <x:c r="G715" s="44" t="n">
        <x:f>C715*F715</x:f>
        <x:v>7385.28</x:v>
      </x:c>
      <x:c r="H715" s="44" t="n">
        <x:f>E715-G715</x:f>
        <x:v>9107.14</x:v>
      </x:c>
      <x:c r="I715" s="14" t="str">
        <x:v>Internal Use</x:v>
      </x:c>
      <x:c r="J715" s="14" t="str">
        <x:v>Midwest</x:v>
      </x:c>
    </x:row>
    <x:row r="716">
      <x:c r="A716" s="50" t="n">
        <x:v>46020</x:v>
      </x:c>
      <x:c r="B716" s="14" t="str">
        <x:v>SKU-0014</x:v>
      </x:c>
      <x:c r="C716" s="52" t="n">
        <x:v>4</x:v>
      </x:c>
      <x:c r="D716" s="40" t="n">
        <x:v>265.8</x:v>
      </x:c>
      <x:c r="E716" s="44" t="n">
        <x:f>C716*D716</x:f>
        <x:v>1063.2</x:v>
      </x:c>
      <x:c r="F716" s="40" t="n">
        <x:v>152.14</x:v>
      </x:c>
      <x:c r="G716" s="44" t="n">
        <x:f>C716*F716</x:f>
        <x:v>608.56</x:v>
      </x:c>
      <x:c r="H716" s="44" t="n">
        <x:f>E716-G716</x:f>
        <x:v>454.6400000000001</x:v>
      </x:c>
      <x:c r="I716" s="14" t="str">
        <x:v>Enterprise</x:v>
      </x:c>
      <x:c r="J716" s="14" t="str">
        <x:v>West</x:v>
      </x:c>
    </x:row>
    <x:row r="717">
      <x:c r="A717" s="50" t="n">
        <x:v>45986</x:v>
      </x:c>
      <x:c r="B717" s="14" t="str">
        <x:v>SKU-0093</x:v>
      </x:c>
      <x:c r="C717" s="52" t="n">
        <x:v>6</x:v>
      </x:c>
      <x:c r="D717" s="40" t="n">
        <x:v>278.08</x:v>
      </x:c>
      <x:c r="E717" s="44" t="n">
        <x:f>C717*D717</x:f>
        <x:v>1668.48</x:v>
      </x:c>
      <x:c r="F717" s="40" t="n">
        <x:v>239.3</x:v>
      </x:c>
      <x:c r="G717" s="44" t="n">
        <x:f>C717*F717</x:f>
        <x:v>1435.8000000000002</x:v>
      </x:c>
      <x:c r="H717" s="44" t="n">
        <x:f>E717-G717</x:f>
        <x:v>232.67999999999984</x:v>
      </x:c>
      <x:c r="I717" s="14" t="str">
        <x:v>Enterprise</x:v>
      </x:c>
      <x:c r="J717" s="14" t="str">
        <x:v>West</x:v>
      </x:c>
    </x:row>
    <x:row r="718">
      <x:c r="A718" s="50" t="n">
        <x:v>45987</x:v>
      </x:c>
      <x:c r="B718" s="14" t="str">
        <x:v>SKU-0020</x:v>
      </x:c>
      <x:c r="C718" s="52" t="n">
        <x:v>13</x:v>
      </x:c>
      <x:c r="D718" s="40" t="n">
        <x:v>256.3</x:v>
      </x:c>
      <x:c r="E718" s="44" t="n">
        <x:f>C718*D718</x:f>
        <x:v>3331.9</x:v>
      </x:c>
      <x:c r="F718" s="40" t="n">
        <x:v>163.22</x:v>
      </x:c>
      <x:c r="G718" s="44" t="n">
        <x:f>C718*F718</x:f>
        <x:v>2121.86</x:v>
      </x:c>
      <x:c r="H718" s="44" t="n">
        <x:f>E718-G718</x:f>
        <x:v>1210.04</x:v>
      </x:c>
      <x:c r="I718" s="14" t="str">
        <x:v>Internal Use</x:v>
      </x:c>
      <x:c r="J718" s="14" t="str">
        <x:v>Southeast</x:v>
      </x:c>
    </x:row>
    <x:row r="719">
      <x:c r="A719" s="50" t="n">
        <x:v>46032</x:v>
      </x:c>
      <x:c r="B719" s="14" t="str">
        <x:v>SKU-0047</x:v>
      </x:c>
      <x:c r="C719" s="52" t="n">
        <x:v>11</x:v>
      </x:c>
      <x:c r="D719" s="40" t="n">
        <x:v>318.23</x:v>
      </x:c>
      <x:c r="E719" s="44" t="n">
        <x:f>C719*D719</x:f>
        <x:v>3500.53</x:v>
      </x:c>
      <x:c r="F719" s="40" t="n">
        <x:v>233.63</x:v>
      </x:c>
      <x:c r="G719" s="44" t="n">
        <x:f>C719*F719</x:f>
        <x:v>2569.93</x:v>
      </x:c>
      <x:c r="H719" s="44" t="n">
        <x:f>E719-G719</x:f>
        <x:v>930.6000000000004</x:v>
      </x:c>
      <x:c r="I719" s="14" t="str">
        <x:v>Distributor</x:v>
      </x:c>
      <x:c r="J719" s="14" t="str">
        <x:v>Midwest</x:v>
      </x:c>
    </x:row>
    <x:row r="720">
      <x:c r="A720" s="50" t="n">
        <x:v>46194</x:v>
      </x:c>
      <x:c r="B720" s="14" t="str">
        <x:v>SKU-0124</x:v>
      </x:c>
      <x:c r="C720" s="52" t="n">
        <x:v>9</x:v>
      </x:c>
      <x:c r="D720" s="40" t="n">
        <x:v>123.08</x:v>
      </x:c>
      <x:c r="E720" s="44" t="n">
        <x:f>C720*D720</x:f>
        <x:v>1107.72</x:v>
      </x:c>
      <x:c r="F720" s="40" t="n">
        <x:v>59.23</x:v>
      </x:c>
      <x:c r="G720" s="44" t="n">
        <x:f>C720*F720</x:f>
        <x:v>533.0699999999999</x:v>
      </x:c>
      <x:c r="H720" s="44" t="n">
        <x:f>E720-G720</x:f>
        <x:v>574.6500000000001</x:v>
      </x:c>
      <x:c r="I720" s="14" t="str">
        <x:v>Enterprise</x:v>
      </x:c>
      <x:c r="J720" s="14" t="str">
        <x:v>Northeast</x:v>
      </x:c>
    </x:row>
    <x:row r="721">
      <x:c r="A721" s="50" t="n">
        <x:v>46142</x:v>
      </x:c>
      <x:c r="B721" s="14" t="str">
        <x:v>SKU-0133</x:v>
      </x:c>
      <x:c r="C721" s="52" t="n">
        <x:v>14</x:v>
      </x:c>
      <x:c r="D721" s="40" t="n">
        <x:v>282.2</x:v>
      </x:c>
      <x:c r="E721" s="44" t="n">
        <x:f>C721*D721</x:f>
        <x:v>3950.7999999999997</x:v>
      </x:c>
      <x:c r="F721" s="40" t="n">
        <x:v>233.3</x:v>
      </x:c>
      <x:c r="G721" s="44" t="n">
        <x:f>C721*F721</x:f>
        <x:v>3266.2000000000003</x:v>
      </x:c>
      <x:c r="H721" s="44" t="n">
        <x:f>E721-G721</x:f>
        <x:v>684.5999999999995</x:v>
      </x:c>
      <x:c r="I721" s="14" t="str">
        <x:v>SMB</x:v>
      </x:c>
      <x:c r="J721" s="14" t="str">
        <x:v>Northeast</x:v>
      </x:c>
    </x:row>
    <x:row r="722">
      <x:c r="A722" s="50" t="n">
        <x:v>45950</x:v>
      </x:c>
      <x:c r="B722" s="14" t="str">
        <x:v>SKU-0084</x:v>
      </x:c>
      <x:c r="C722" s="52" t="n">
        <x:v>2</x:v>
      </x:c>
      <x:c r="D722" s="40" t="n">
        <x:v>237.08</x:v>
      </x:c>
      <x:c r="E722" s="44" t="n">
        <x:f>C722*D722</x:f>
        <x:v>474.16</x:v>
      </x:c>
      <x:c r="F722" s="40" t="n">
        <x:v>108.77</x:v>
      </x:c>
      <x:c r="G722" s="44" t="n">
        <x:f>C722*F722</x:f>
        <x:v>217.54</x:v>
      </x:c>
      <x:c r="H722" s="44" t="n">
        <x:f>E722-G722</x:f>
        <x:v>256.62</x:v>
      </x:c>
      <x:c r="I722" s="14" t="str">
        <x:v>Distributor</x:v>
      </x:c>
      <x:c r="J722" s="14" t="str">
        <x:v>Midwest</x:v>
      </x:c>
    </x:row>
    <x:row r="723">
      <x:c r="A723" s="50" t="n">
        <x:v>45982</x:v>
      </x:c>
      <x:c r="B723" s="14" t="str">
        <x:v>SKU-0124</x:v>
      </x:c>
      <x:c r="C723" s="52" t="n">
        <x:v>23</x:v>
      </x:c>
      <x:c r="D723" s="40" t="n">
        <x:v>131.72</x:v>
      </x:c>
      <x:c r="E723" s="44" t="n">
        <x:f>C723*D723</x:f>
        <x:v>3029.56</x:v>
      </x:c>
      <x:c r="F723" s="40" t="n">
        <x:v>59.23</x:v>
      </x:c>
      <x:c r="G723" s="44" t="n">
        <x:f>C723*F723</x:f>
        <x:v>1362.29</x:v>
      </x:c>
      <x:c r="H723" s="44" t="n">
        <x:f>E723-G723</x:f>
        <x:v>1667.27</x:v>
      </x:c>
      <x:c r="I723" s="14" t="str">
        <x:v>Distributor</x:v>
      </x:c>
      <x:c r="J723" s="14" t="str">
        <x:v>West</x:v>
      </x:c>
    </x:row>
    <x:row r="724">
      <x:c r="A724" s="50" t="n">
        <x:v>46103</x:v>
      </x:c>
      <x:c r="B724" s="14" t="str">
        <x:v>SKU-0127</x:v>
      </x:c>
      <x:c r="C724" s="52" t="n">
        <x:v>9</x:v>
      </x:c>
      <x:c r="D724" s="40" t="n">
        <x:v>246.21</x:v>
      </x:c>
      <x:c r="E724" s="44" t="n">
        <x:f>C724*D724</x:f>
        <x:v>2215.89</x:v>
      </x:c>
      <x:c r="F724" s="40" t="n">
        <x:v>114.9</x:v>
      </x:c>
      <x:c r="G724" s="44" t="n">
        <x:f>C724*F724</x:f>
        <x:v>1034.1000000000001</x:v>
      </x:c>
      <x:c r="H724" s="44" t="n">
        <x:f>E724-G724</x:f>
        <x:v>1181.7899999999997</x:v>
      </x:c>
      <x:c r="I724" s="14" t="str">
        <x:v>SMB</x:v>
      </x:c>
      <x:c r="J724" s="14" t="str">
        <x:v>Southeast</x:v>
      </x:c>
    </x:row>
    <x:row r="725">
      <x:c r="A725" s="50" t="n">
        <x:v>46081</x:v>
      </x:c>
      <x:c r="B725" s="14" t="str">
        <x:v>SKU-0072</x:v>
      </x:c>
      <x:c r="C725" s="52" t="n">
        <x:v>10</x:v>
      </x:c>
      <x:c r="D725" s="40" t="n">
        <x:v>254.93</x:v>
      </x:c>
      <x:c r="E725" s="44" t="n">
        <x:f>C725*D725</x:f>
        <x:v>2549.3</x:v>
      </x:c>
      <x:c r="F725" s="40" t="n">
        <x:v>153.62</x:v>
      </x:c>
      <x:c r="G725" s="44" t="n">
        <x:f>C725*F725</x:f>
        <x:v>1536.2</x:v>
      </x:c>
      <x:c r="H725" s="44" t="n">
        <x:f>E725-G725</x:f>
        <x:v>1013.1000000000001</x:v>
      </x:c>
      <x:c r="I725" s="14" t="str">
        <x:v>Internal Use</x:v>
      </x:c>
      <x:c r="J725" s="14" t="str">
        <x:v>West</x:v>
      </x:c>
    </x:row>
    <x:row r="726">
      <x:c r="A726" s="50" t="n">
        <x:v>46096</x:v>
      </x:c>
      <x:c r="B726" s="14" t="str">
        <x:v>SKU-0115</x:v>
      </x:c>
      <x:c r="C726" s="52" t="n">
        <x:v>10</x:v>
      </x:c>
      <x:c r="D726" s="40" t="n">
        <x:v>33.54</x:v>
      </x:c>
      <x:c r="E726" s="44" t="n">
        <x:f>C726*D726</x:f>
        <x:v>335.4</x:v>
      </x:c>
      <x:c r="F726" s="40" t="n">
        <x:v>27.81</x:v>
      </x:c>
      <x:c r="G726" s="44" t="n">
        <x:f>C726*F726</x:f>
        <x:v>278.09999999999997</x:v>
      </x:c>
      <x:c r="H726" s="44" t="n">
        <x:f>E726-G726</x:f>
        <x:v>57.30000000000001</x:v>
      </x:c>
      <x:c r="I726" s="14" t="str">
        <x:v>Enterprise</x:v>
      </x:c>
      <x:c r="J726" s="14" t="str">
        <x:v>West</x:v>
      </x:c>
    </x:row>
    <x:row r="727">
      <x:c r="A727" s="50" t="n">
        <x:v>45982</x:v>
      </x:c>
      <x:c r="B727" s="14" t="str">
        <x:v>SKU-0110</x:v>
      </x:c>
      <x:c r="C727" s="52" t="n">
        <x:v>10</x:v>
      </x:c>
      <x:c r="D727" s="40" t="n">
        <x:v>28.53</x:v>
      </x:c>
      <x:c r="E727" s="44" t="n">
        <x:f>C727*D727</x:f>
        <x:v>285.3</x:v>
      </x:c>
      <x:c r="F727" s="40" t="n">
        <x:v>14.53</x:v>
      </x:c>
      <x:c r="G727" s="44" t="n">
        <x:f>C727*F727</x:f>
        <x:v>145.29999999999998</x:v>
      </x:c>
      <x:c r="H727" s="44" t="n">
        <x:f>E727-G727</x:f>
        <x:v>140.00000000000003</x:v>
      </x:c>
      <x:c r="I727" s="14" t="str">
        <x:v>Enterprise</x:v>
      </x:c>
      <x:c r="J727" s="14" t="str">
        <x:v>West</x:v>
      </x:c>
    </x:row>
    <x:row r="728">
      <x:c r="A728" s="50" t="n">
        <x:v>45897</x:v>
      </x:c>
      <x:c r="B728" s="14" t="str">
        <x:v>SKU-0043</x:v>
      </x:c>
      <x:c r="C728" s="52" t="n">
        <x:v>20</x:v>
      </x:c>
      <x:c r="D728" s="40" t="n">
        <x:v>391.03</x:v>
      </x:c>
      <x:c r="E728" s="44" t="n">
        <x:f>C728*D728</x:f>
        <x:v>7820.599999999999</x:v>
      </x:c>
      <x:c r="F728" s="40" t="n">
        <x:v>224.89</x:v>
      </x:c>
      <x:c r="G728" s="44" t="n">
        <x:f>C728*F728</x:f>
        <x:v>4497.799999999999</x:v>
      </x:c>
      <x:c r="H728" s="44" t="n">
        <x:f>E728-G728</x:f>
        <x:v>3322.8</x:v>
      </x:c>
      <x:c r="I728" s="14" t="str">
        <x:v>Distributor</x:v>
      </x:c>
      <x:c r="J728" s="14" t="str">
        <x:v>West</x:v>
      </x:c>
    </x:row>
    <x:row r="729">
      <x:c r="A729" s="50" t="n">
        <x:v>45938</x:v>
      </x:c>
      <x:c r="B729" s="14" t="str">
        <x:v>SKU-0008</x:v>
      </x:c>
      <x:c r="C729" s="52" t="n">
        <x:v>4</x:v>
      </x:c>
      <x:c r="D729" s="40" t="n">
        <x:v>197.25</x:v>
      </x:c>
      <x:c r="E729" s="44" t="n">
        <x:f>C729*D729</x:f>
        <x:v>789</x:v>
      </x:c>
      <x:c r="F729" s="40" t="n">
        <x:v>143.38</x:v>
      </x:c>
      <x:c r="G729" s="44" t="n">
        <x:f>C729*F729</x:f>
        <x:v>573.52</x:v>
      </x:c>
      <x:c r="H729" s="44" t="n">
        <x:f>E729-G729</x:f>
        <x:v>215.48000000000002</x:v>
      </x:c>
      <x:c r="I729" s="14" t="str">
        <x:v>Distributor</x:v>
      </x:c>
      <x:c r="J729" s="14" t="str">
        <x:v>Southeast</x:v>
      </x:c>
    </x:row>
    <x:row r="730">
      <x:c r="A730" s="50" t="n">
        <x:v>45990</x:v>
      </x:c>
      <x:c r="B730" s="14" t="str">
        <x:v>SKU-0019</x:v>
      </x:c>
      <x:c r="C730" s="52" t="n">
        <x:v>12</x:v>
      </x:c>
      <x:c r="D730" s="40" t="n">
        <x:v>153.39</x:v>
      </x:c>
      <x:c r="E730" s="44" t="n">
        <x:f>C730*D730</x:f>
        <x:v>1840.6799999999998</x:v>
      </x:c>
      <x:c r="F730" s="40" t="n">
        <x:v>81.66</x:v>
      </x:c>
      <x:c r="G730" s="44" t="n">
        <x:f>C730*F730</x:f>
        <x:v>979.92</x:v>
      </x:c>
      <x:c r="H730" s="44" t="n">
        <x:f>E730-G730</x:f>
        <x:v>860.7599999999999</x:v>
      </x:c>
      <x:c r="I730" s="14" t="str">
        <x:v>Enterprise</x:v>
      </x:c>
      <x:c r="J730" s="14" t="str">
        <x:v>Northeast</x:v>
      </x:c>
    </x:row>
    <x:row r="731">
      <x:c r="A731" s="50" t="n">
        <x:v>46232</x:v>
      </x:c>
      <x:c r="B731" s="14" t="str">
        <x:v>SKU-0082</x:v>
      </x:c>
      <x:c r="C731" s="52" t="n">
        <x:v>3</x:v>
      </x:c>
      <x:c r="D731" s="40" t="n">
        <x:v>152.32</x:v>
      </x:c>
      <x:c r="E731" s="44" t="n">
        <x:f>C731*D731</x:f>
        <x:v>456.96</x:v>
      </x:c>
      <x:c r="F731" s="40" t="n">
        <x:v>79.16</x:v>
      </x:c>
      <x:c r="G731" s="44" t="n">
        <x:f>C731*F731</x:f>
        <x:v>237.48</x:v>
      </x:c>
      <x:c r="H731" s="44" t="n">
        <x:f>E731-G731</x:f>
        <x:v>219.48</x:v>
      </x:c>
      <x:c r="I731" s="14" t="str">
        <x:v>Distributor</x:v>
      </x:c>
      <x:c r="J731" s="14" t="str">
        <x:v>Southeast</x:v>
      </x:c>
    </x:row>
    <x:row r="732">
      <x:c r="A732" s="50" t="n">
        <x:v>45913</x:v>
      </x:c>
      <x:c r="B732" s="14" t="str">
        <x:v>SKU-0144</x:v>
      </x:c>
      <x:c r="C732" s="52" t="n">
        <x:v>6</x:v>
      </x:c>
      <x:c r="D732" s="40" t="n">
        <x:v>155.45</x:v>
      </x:c>
      <x:c r="E732" s="44" t="n">
        <x:f>C732*D732</x:f>
        <x:v>932.6999999999999</x:v>
      </x:c>
      <x:c r="F732" s="40" t="n">
        <x:v>68.87</x:v>
      </x:c>
      <x:c r="G732" s="44" t="n">
        <x:f>C732*F732</x:f>
        <x:v>413.22</x:v>
      </x:c>
      <x:c r="H732" s="44" t="n">
        <x:f>E732-G732</x:f>
        <x:v>519.4799999999999</x:v>
      </x:c>
      <x:c r="I732" s="14" t="str">
        <x:v>Enterprise</x:v>
      </x:c>
      <x:c r="J732" s="14" t="str">
        <x:v>Midwest</x:v>
      </x:c>
    </x:row>
    <x:row r="733">
      <x:c r="A733" s="50" t="n">
        <x:v>46173</x:v>
      </x:c>
      <x:c r="B733" s="14" t="str">
        <x:v>SKU-0020</x:v>
      </x:c>
      <x:c r="C733" s="52" t="n">
        <x:v>22</x:v>
      </x:c>
      <x:c r="D733" s="40" t="n">
        <x:v>274.26</x:v>
      </x:c>
      <x:c r="E733" s="44" t="n">
        <x:f>C733*D733</x:f>
        <x:v>6033.719999999999</x:v>
      </x:c>
      <x:c r="F733" s="40" t="n">
        <x:v>163.22</x:v>
      </x:c>
      <x:c r="G733" s="44" t="n">
        <x:f>C733*F733</x:f>
        <x:v>3590.84</x:v>
      </x:c>
      <x:c r="H733" s="44" t="n">
        <x:f>E733-G733</x:f>
        <x:v>2442.879999999999</x:v>
      </x:c>
      <x:c r="I733" s="14" t="str">
        <x:v>Distributor</x:v>
      </x:c>
      <x:c r="J733" s="14" t="str">
        <x:v>Midwest</x:v>
      </x:c>
    </x:row>
    <x:row r="734">
      <x:c r="A734" s="50" t="n">
        <x:v>45980</x:v>
      </x:c>
      <x:c r="B734" s="14" t="str">
        <x:v>SKU-0051</x:v>
      </x:c>
      <x:c r="C734" s="52" t="n">
        <x:v>2</x:v>
      </x:c>
      <x:c r="D734" s="40" t="n">
        <x:v>98.31</x:v>
      </x:c>
      <x:c r="E734" s="44" t="n">
        <x:f>C734*D734</x:f>
        <x:v>196.62</x:v>
      </x:c>
      <x:c r="F734" s="40" t="n">
        <x:v>74.69</x:v>
      </x:c>
      <x:c r="G734" s="44" t="n">
        <x:f>C734*F734</x:f>
        <x:v>149.38</x:v>
      </x:c>
      <x:c r="H734" s="44" t="n">
        <x:f>E734-G734</x:f>
        <x:v>47.24000000000001</x:v>
      </x:c>
      <x:c r="I734" s="14" t="str">
        <x:v>Distributor</x:v>
      </x:c>
      <x:c r="J734" s="14" t="str">
        <x:v>West</x:v>
      </x:c>
    </x:row>
    <x:row r="735">
      <x:c r="A735" s="50" t="n">
        <x:v>45943</x:v>
      </x:c>
      <x:c r="B735" s="14" t="str">
        <x:v>SKU-0031</x:v>
      </x:c>
      <x:c r="C735" s="52" t="n">
        <x:v>7</x:v>
      </x:c>
      <x:c r="D735" s="40" t="n">
        <x:v>301.57</x:v>
      </x:c>
      <x:c r="E735" s="44" t="n">
        <x:f>C735*D735</x:f>
        <x:v>2110.99</x:v>
      </x:c>
      <x:c r="F735" s="40" t="n">
        <x:v>247.09</x:v>
      </x:c>
      <x:c r="G735" s="44" t="n">
        <x:f>C735*F735</x:f>
        <x:v>1729.63</x:v>
      </x:c>
      <x:c r="H735" s="44" t="n">
        <x:f>E735-G735</x:f>
        <x:v>381.3599999999997</x:v>
      </x:c>
      <x:c r="I735" s="14" t="str">
        <x:v>SMB</x:v>
      </x:c>
      <x:c r="J735" s="14" t="str">
        <x:v>Northeast</x:v>
      </x:c>
    </x:row>
    <x:row r="736">
      <x:c r="A736" s="50" t="n">
        <x:v>45889</x:v>
      </x:c>
      <x:c r="B736" s="14" t="str">
        <x:v>SKU-0073</x:v>
      </x:c>
      <x:c r="C736" s="52" t="n">
        <x:v>35</x:v>
      </x:c>
      <x:c r="D736" s="40" t="n">
        <x:v>71.25</x:v>
      </x:c>
      <x:c r="E736" s="44" t="n">
        <x:f>C736*D736</x:f>
        <x:v>2493.75</x:v>
      </x:c>
      <x:c r="F736" s="40" t="n">
        <x:v>37.01</x:v>
      </x:c>
      <x:c r="G736" s="44" t="n">
        <x:f>C736*F736</x:f>
        <x:v>1295.35</x:v>
      </x:c>
      <x:c r="H736" s="44" t="n">
        <x:f>E736-G736</x:f>
        <x:v>1198.4</x:v>
      </x:c>
      <x:c r="I736" s="14" t="str">
        <x:v>Internal Use</x:v>
      </x:c>
      <x:c r="J736" s="14" t="str">
        <x:v>Midwest</x:v>
      </x:c>
    </x:row>
    <x:row r="737">
      <x:c r="A737" s="50" t="n">
        <x:v>46086</x:v>
      </x:c>
      <x:c r="B737" s="14" t="str">
        <x:v>SKU-0034</x:v>
      </x:c>
      <x:c r="C737" s="52" t="n">
        <x:v>2</x:v>
      </x:c>
      <x:c r="D737" s="40" t="n">
        <x:v>78.24</x:v>
      </x:c>
      <x:c r="E737" s="44" t="n">
        <x:f>C737*D737</x:f>
        <x:v>156.48</x:v>
      </x:c>
      <x:c r="F737" s="40" t="n">
        <x:v>34.51</x:v>
      </x:c>
      <x:c r="G737" s="44" t="n">
        <x:f>C737*F737</x:f>
        <x:v>69.02</x:v>
      </x:c>
      <x:c r="H737" s="44" t="n">
        <x:f>E737-G737</x:f>
        <x:v>87.46</x:v>
      </x:c>
      <x:c r="I737" s="14" t="str">
        <x:v>Distributor</x:v>
      </x:c>
      <x:c r="J737" s="14" t="str">
        <x:v>Northeast</x:v>
      </x:c>
    </x:row>
    <x:row r="738">
      <x:c r="A738" s="50" t="n">
        <x:v>46120</x:v>
      </x:c>
      <x:c r="B738" s="14" t="str">
        <x:v>SKU-0018</x:v>
      </x:c>
      <x:c r="C738" s="52" t="n">
        <x:v>13</x:v>
      </x:c>
      <x:c r="D738" s="40" t="n">
        <x:v>78.76</x:v>
      </x:c>
      <x:c r="E738" s="44" t="n">
        <x:f>C738*D738</x:f>
        <x:v>1023.8800000000001</x:v>
      </x:c>
      <x:c r="F738" s="40" t="n">
        <x:v>48.65</x:v>
      </x:c>
      <x:c r="G738" s="44" t="n">
        <x:f>C738*F738</x:f>
        <x:v>632.4499999999999</x:v>
      </x:c>
      <x:c r="H738" s="44" t="n">
        <x:f>E738-G738</x:f>
        <x:v>391.4300000000002</x:v>
      </x:c>
      <x:c r="I738" s="14" t="str">
        <x:v>Internal Use</x:v>
      </x:c>
      <x:c r="J738" s="14" t="str">
        <x:v>Northeast</x:v>
      </x:c>
    </x:row>
    <x:row r="739">
      <x:c r="A739" s="50" t="n">
        <x:v>46040</x:v>
      </x:c>
      <x:c r="B739" s="14" t="str">
        <x:v>SKU-0143</x:v>
      </x:c>
      <x:c r="C739" s="52" t="n">
        <x:v>8</x:v>
      </x:c>
      <x:c r="D739" s="40" t="n">
        <x:v>178.61</x:v>
      </x:c>
      <x:c r="E739" s="44" t="n">
        <x:f>C739*D739</x:f>
        <x:v>1428.88</x:v>
      </x:c>
      <x:c r="F739" s="40" t="n">
        <x:v>123.95</x:v>
      </x:c>
      <x:c r="G739" s="44" t="n">
        <x:f>C739*F739</x:f>
        <x:v>991.6</x:v>
      </x:c>
      <x:c r="H739" s="44" t="n">
        <x:f>E739-G739</x:f>
        <x:v>437.2800000000001</x:v>
      </x:c>
      <x:c r="I739" s="14" t="str">
        <x:v>Internal Use</x:v>
      </x:c>
      <x:c r="J739" s="14" t="str">
        <x:v>West</x:v>
      </x:c>
    </x:row>
    <x:row r="740">
      <x:c r="A740" s="50" t="n">
        <x:v>46071</x:v>
      </x:c>
      <x:c r="B740" s="14" t="str">
        <x:v>SKU-0032</x:v>
      </x:c>
      <x:c r="C740" s="52" t="n">
        <x:v>54</x:v>
      </x:c>
      <x:c r="D740" s="40" t="n">
        <x:v>265.72</x:v>
      </x:c>
      <x:c r="E740" s="44" t="n">
        <x:f>C740*D740</x:f>
        <x:v>14348.880000000001</x:v>
      </x:c>
      <x:c r="F740" s="40" t="n">
        <x:v>221</x:v>
      </x:c>
      <x:c r="G740" s="44" t="n">
        <x:f>C740*F740</x:f>
        <x:v>11934</x:v>
      </x:c>
      <x:c r="H740" s="44" t="n">
        <x:f>E740-G740</x:f>
        <x:v>2414.880000000001</x:v>
      </x:c>
      <x:c r="I740" s="14" t="str">
        <x:v>Enterprise</x:v>
      </x:c>
      <x:c r="J740" s="14" t="str">
        <x:v>Southeast</x:v>
      </x:c>
    </x:row>
    <x:row r="741">
      <x:c r="A741" s="50" t="n">
        <x:v>46155</x:v>
      </x:c>
      <x:c r="B741" s="14" t="str">
        <x:v>SKU-0095</x:v>
      </x:c>
      <x:c r="C741" s="52" t="n">
        <x:v>17</x:v>
      </x:c>
      <x:c r="D741" s="40" t="n">
        <x:v>312.71</x:v>
      </x:c>
      <x:c r="E741" s="44" t="n">
        <x:f>C741*D741</x:f>
        <x:v>5316.07</x:v>
      </x:c>
      <x:c r="F741" s="40" t="n">
        <x:v>225.04</x:v>
      </x:c>
      <x:c r="G741" s="44" t="n">
        <x:f>C741*F741</x:f>
        <x:v>3825.68</x:v>
      </x:c>
      <x:c r="H741" s="44" t="n">
        <x:f>E741-G741</x:f>
        <x:v>1490.3899999999999</x:v>
      </x:c>
      <x:c r="I741" s="14" t="str">
        <x:v>Enterprise</x:v>
      </x:c>
      <x:c r="J741" s="14" t="str">
        <x:v>Northeast</x:v>
      </x:c>
    </x:row>
    <x:row r="742">
      <x:c r="A742" s="50" t="n">
        <x:v>45918</x:v>
      </x:c>
      <x:c r="B742" s="14" t="str">
        <x:v>SKU-0078</x:v>
      </x:c>
      <x:c r="C742" s="52" t="n">
        <x:v>3</x:v>
      </x:c>
      <x:c r="D742" s="40" t="n">
        <x:v>29.17</x:v>
      </x:c>
      <x:c r="E742" s="44" t="n">
        <x:f>C742*D742</x:f>
        <x:v>87.51</x:v>
      </x:c>
      <x:c r="F742" s="40" t="n">
        <x:v>17.54</x:v>
      </x:c>
      <x:c r="G742" s="44" t="n">
        <x:f>C742*F742</x:f>
        <x:v>52.62</x:v>
      </x:c>
      <x:c r="H742" s="44" t="n">
        <x:f>E742-G742</x:f>
        <x:v>34.89000000000001</x:v>
      </x:c>
      <x:c r="I742" s="14" t="str">
        <x:v>Internal Use</x:v>
      </x:c>
      <x:c r="J742" s="14" t="str">
        <x:v>Midwest</x:v>
      </x:c>
    </x:row>
    <x:row r="743">
      <x:c r="A743" s="50" t="n">
        <x:v>45950</x:v>
      </x:c>
      <x:c r="B743" s="14" t="str">
        <x:v>SKU-0044</x:v>
      </x:c>
      <x:c r="C743" s="52" t="n">
        <x:v>10</x:v>
      </x:c>
      <x:c r="D743" s="40" t="n">
        <x:v>158.21</x:v>
      </x:c>
      <x:c r="E743" s="44" t="n">
        <x:f>C743*D743</x:f>
        <x:v>1582.1000000000001</x:v>
      </x:c>
      <x:c r="F743" s="40" t="n">
        <x:v>126.24</x:v>
      </x:c>
      <x:c r="G743" s="44" t="n">
        <x:f>C743*F743</x:f>
        <x:v>1262.3999999999999</x:v>
      </x:c>
      <x:c r="H743" s="44" t="n">
        <x:f>E743-G743</x:f>
        <x:v>319.7000000000003</x:v>
      </x:c>
      <x:c r="I743" s="14" t="str">
        <x:v>SMB</x:v>
      </x:c>
      <x:c r="J743" s="14" t="str">
        <x:v>West</x:v>
      </x:c>
    </x:row>
    <x:row r="744">
      <x:c r="A744" s="50" t="n">
        <x:v>46222</x:v>
      </x:c>
      <x:c r="B744" s="14" t="str">
        <x:v>SKU-0115</x:v>
      </x:c>
      <x:c r="C744" s="52" t="n">
        <x:v>3</x:v>
      </x:c>
      <x:c r="D744" s="40" t="n">
        <x:v>34.92</x:v>
      </x:c>
      <x:c r="E744" s="44" t="n">
        <x:f>C744*D744</x:f>
        <x:v>104.76</x:v>
      </x:c>
      <x:c r="F744" s="40" t="n">
        <x:v>27.81</x:v>
      </x:c>
      <x:c r="G744" s="44" t="n">
        <x:f>C744*F744</x:f>
        <x:v>83.42999999999999</x:v>
      </x:c>
      <x:c r="H744" s="44" t="n">
        <x:f>E744-G744</x:f>
        <x:v>21.330000000000013</x:v>
      </x:c>
      <x:c r="I744" s="14" t="str">
        <x:v>Internal Use</x:v>
      </x:c>
      <x:c r="J744" s="14" t="str">
        <x:v>Midwest</x:v>
      </x:c>
    </x:row>
    <x:row r="745">
      <x:c r="A745" s="50" t="n">
        <x:v>46127</x:v>
      </x:c>
      <x:c r="B745" s="14" t="str">
        <x:v>SKU-0083</x:v>
      </x:c>
      <x:c r="C745" s="52" t="n">
        <x:v>5</x:v>
      </x:c>
      <x:c r="D745" s="40" t="n">
        <x:v>190.64</x:v>
      </x:c>
      <x:c r="E745" s="44" t="n">
        <x:f>C745*D745</x:f>
        <x:v>953.1999999999999</x:v>
      </x:c>
      <x:c r="F745" s="40" t="n">
        <x:v>126.42</x:v>
      </x:c>
      <x:c r="G745" s="44" t="n">
        <x:f>C745*F745</x:f>
        <x:v>632.1</x:v>
      </x:c>
      <x:c r="H745" s="44" t="n">
        <x:f>E745-G745</x:f>
        <x:v>321.0999999999999</x:v>
      </x:c>
      <x:c r="I745" s="14" t="str">
        <x:v>Enterprise</x:v>
      </x:c>
      <x:c r="J745" s="14" t="str">
        <x:v>Midwest</x:v>
      </x:c>
    </x:row>
    <x:row r="746">
      <x:c r="A746" s="50" t="n">
        <x:v>46004</x:v>
      </x:c>
      <x:c r="B746" s="14" t="str">
        <x:v>SKU-0143</x:v>
      </x:c>
      <x:c r="C746" s="52" t="n">
        <x:v>20</x:v>
      </x:c>
      <x:c r="D746" s="40" t="n">
        <x:v>175.98</x:v>
      </x:c>
      <x:c r="E746" s="44" t="n">
        <x:f>C746*D746</x:f>
        <x:v>3519.6</x:v>
      </x:c>
      <x:c r="F746" s="40" t="n">
        <x:v>123.95</x:v>
      </x:c>
      <x:c r="G746" s="44" t="n">
        <x:f>C746*F746</x:f>
        <x:v>2479</x:v>
      </x:c>
      <x:c r="H746" s="44" t="n">
        <x:f>E746-G746</x:f>
        <x:v>1040.6</x:v>
      </x:c>
      <x:c r="I746" s="14" t="str">
        <x:v>Enterprise</x:v>
      </x:c>
      <x:c r="J746" s="14" t="str">
        <x:v>Northeast</x:v>
      </x:c>
    </x:row>
    <x:row r="747">
      <x:c r="A747" s="50" t="n">
        <x:v>45910</x:v>
      </x:c>
      <x:c r="B747" s="14" t="str">
        <x:v>SKU-0127</x:v>
      </x:c>
      <x:c r="C747" s="52" t="n">
        <x:v>2</x:v>
      </x:c>
      <x:c r="D747" s="40" t="n">
        <x:v>257.15</x:v>
      </x:c>
      <x:c r="E747" s="44" t="n">
        <x:f>C747*D747</x:f>
        <x:v>514.3</x:v>
      </x:c>
      <x:c r="F747" s="40" t="n">
        <x:v>114.9</x:v>
      </x:c>
      <x:c r="G747" s="44" t="n">
        <x:f>C747*F747</x:f>
        <x:v>229.8</x:v>
      </x:c>
      <x:c r="H747" s="44" t="n">
        <x:f>E747-G747</x:f>
        <x:v>284.49999999999994</x:v>
      </x:c>
      <x:c r="I747" s="14" t="str">
        <x:v>Internal Use</x:v>
      </x:c>
      <x:c r="J747" s="14" t="str">
        <x:v>Southeast</x:v>
      </x:c>
    </x:row>
    <x:row r="748">
      <x:c r="A748" s="50" t="n">
        <x:v>45933</x:v>
      </x:c>
      <x:c r="B748" s="14" t="str">
        <x:v>SKU-0125</x:v>
      </x:c>
      <x:c r="C748" s="52" t="n">
        <x:v>2</x:v>
      </x:c>
      <x:c r="D748" s="40" t="n">
        <x:v>64.08</x:v>
      </x:c>
      <x:c r="E748" s="44" t="n">
        <x:f>C748*D748</x:f>
        <x:v>128.16</x:v>
      </x:c>
      <x:c r="F748" s="40" t="n">
        <x:v>38.35</x:v>
      </x:c>
      <x:c r="G748" s="44" t="n">
        <x:f>C748*F748</x:f>
        <x:v>76.7</x:v>
      </x:c>
      <x:c r="H748" s="44" t="n">
        <x:f>E748-G748</x:f>
        <x:v>51.459999999999994</x:v>
      </x:c>
      <x:c r="I748" s="14" t="str">
        <x:v>Distributor</x:v>
      </x:c>
      <x:c r="J748" s="14" t="str">
        <x:v>Midwest</x:v>
      </x:c>
    </x:row>
    <x:row r="749">
      <x:c r="A749" s="50" t="n">
        <x:v>46215</x:v>
      </x:c>
      <x:c r="B749" s="14" t="str">
        <x:v>SKU-0117</x:v>
      </x:c>
      <x:c r="C749" s="52" t="n">
        <x:v>3</x:v>
      </x:c>
      <x:c r="D749" s="40" t="n">
        <x:v>196.06</x:v>
      </x:c>
      <x:c r="E749" s="44" t="n">
        <x:f>C749*D749</x:f>
        <x:v>588.1800000000001</x:v>
      </x:c>
      <x:c r="F749" s="40" t="n">
        <x:v>143.31</x:v>
      </x:c>
      <x:c r="G749" s="44" t="n">
        <x:f>C749*F749</x:f>
        <x:v>429.93</x:v>
      </x:c>
      <x:c r="H749" s="44" t="n">
        <x:f>E749-G749</x:f>
        <x:v>158.25000000000006</x:v>
      </x:c>
      <x:c r="I749" s="14" t="str">
        <x:v>SMB</x:v>
      </x:c>
      <x:c r="J749" s="14" t="str">
        <x:v>Midwest</x:v>
      </x:c>
    </x:row>
    <x:row r="750">
      <x:c r="A750" s="50" t="n">
        <x:v>46111</x:v>
      </x:c>
      <x:c r="B750" s="14" t="str">
        <x:v>SKU-0099</x:v>
      </x:c>
      <x:c r="C750" s="52" t="n">
        <x:v>25</x:v>
      </x:c>
      <x:c r="D750" s="40" t="n">
        <x:v>209.97</x:v>
      </x:c>
      <x:c r="E750" s="44" t="n">
        <x:f>C750*D750</x:f>
        <x:v>5249.25</x:v>
      </x:c>
      <x:c r="F750" s="40" t="n">
        <x:v>104</x:v>
      </x:c>
      <x:c r="G750" s="44" t="n">
        <x:f>C750*F750</x:f>
        <x:v>2600</x:v>
      </x:c>
      <x:c r="H750" s="44" t="n">
        <x:f>E750-G750</x:f>
        <x:v>2649.25</x:v>
      </x:c>
      <x:c r="I750" s="14" t="str">
        <x:v>SMB</x:v>
      </x:c>
      <x:c r="J750" s="14" t="str">
        <x:v>Northeast</x:v>
      </x:c>
    </x:row>
    <x:row r="751">
      <x:c r="A751" s="50" t="n">
        <x:v>46096</x:v>
      </x:c>
      <x:c r="B751" s="14" t="str">
        <x:v>SKU-0072</x:v>
      </x:c>
      <x:c r="C751" s="52" t="n">
        <x:v>4</x:v>
      </x:c>
      <x:c r="D751" s="40" t="n">
        <x:v>282.21</x:v>
      </x:c>
      <x:c r="E751" s="44" t="n">
        <x:f>C751*D751</x:f>
        <x:v>1128.84</x:v>
      </x:c>
      <x:c r="F751" s="40" t="n">
        <x:v>153.62</x:v>
      </x:c>
      <x:c r="G751" s="44" t="n">
        <x:f>C751*F751</x:f>
        <x:v>614.48</x:v>
      </x:c>
      <x:c r="H751" s="44" t="n">
        <x:f>E751-G751</x:f>
        <x:v>514.3599999999999</x:v>
      </x:c>
      <x:c r="I751" s="14" t="str">
        <x:v>Enterprise</x:v>
      </x:c>
      <x:c r="J751" s="14" t="str">
        <x:v>Southeast</x:v>
      </x:c>
    </x:row>
    <x:row r="752">
      <x:c r="A752" s="50" t="n">
        <x:v>45934</x:v>
      </x:c>
      <x:c r="B752" s="14" t="str">
        <x:v>SKU-0119</x:v>
      </x:c>
      <x:c r="C752" s="52" t="n">
        <x:v>14</x:v>
      </x:c>
      <x:c r="D752" s="40" t="n">
        <x:v>100.88</x:v>
      </x:c>
      <x:c r="E752" s="44" t="n">
        <x:f>C752*D752</x:f>
        <x:v>1412.32</x:v>
      </x:c>
      <x:c r="F752" s="40" t="n">
        <x:v>52.57</x:v>
      </x:c>
      <x:c r="G752" s="44" t="n">
        <x:f>C752*F752</x:f>
        <x:v>735.98</x:v>
      </x:c>
      <x:c r="H752" s="44" t="n">
        <x:f>E752-G752</x:f>
        <x:v>676.3399999999999</x:v>
      </x:c>
      <x:c r="I752" s="14" t="str">
        <x:v>SMB</x:v>
      </x:c>
      <x:c r="J752" s="14" t="str">
        <x:v>Midwest</x:v>
      </x:c>
    </x:row>
    <x:row r="753">
      <x:c r="A753" s="50" t="n">
        <x:v>46123</x:v>
      </x:c>
      <x:c r="B753" s="14" t="str">
        <x:v>SKU-0008</x:v>
      </x:c>
      <x:c r="C753" s="52" t="n">
        <x:v>13</x:v>
      </x:c>
      <x:c r="D753" s="40" t="n">
        <x:v>181.99</x:v>
      </x:c>
      <x:c r="E753" s="44" t="n">
        <x:f>C753*D753</x:f>
        <x:v>2365.87</x:v>
      </x:c>
      <x:c r="F753" s="40" t="n">
        <x:v>143.38</x:v>
      </x:c>
      <x:c r="G753" s="44" t="n">
        <x:f>C753*F753</x:f>
        <x:v>1863.94</x:v>
      </x:c>
      <x:c r="H753" s="44" t="n">
        <x:f>E753-G753</x:f>
        <x:v>501.92999999999984</x:v>
      </x:c>
      <x:c r="I753" s="14" t="str">
        <x:v>Enterprise</x:v>
      </x:c>
      <x:c r="J753" s="14" t="str">
        <x:v>Midwest</x:v>
      </x:c>
    </x:row>
    <x:row r="754">
      <x:c r="A754" s="50" t="n">
        <x:v>45988</x:v>
      </x:c>
      <x:c r="B754" s="14" t="str">
        <x:v>SKU-0111</x:v>
      </x:c>
      <x:c r="C754" s="52" t="n">
        <x:v>3</x:v>
      </x:c>
      <x:c r="D754" s="40" t="n">
        <x:v>151.79</x:v>
      </x:c>
      <x:c r="E754" s="44" t="n">
        <x:f>C754*D754</x:f>
        <x:v>455.37</x:v>
      </x:c>
      <x:c r="F754" s="40" t="n">
        <x:v>120.79</x:v>
      </x:c>
      <x:c r="G754" s="44" t="n">
        <x:f>C754*F754</x:f>
        <x:v>362.37</x:v>
      </x:c>
      <x:c r="H754" s="44" t="n">
        <x:f>E754-G754</x:f>
        <x:v>93</x:v>
      </x:c>
      <x:c r="I754" s="14" t="str">
        <x:v>Enterprise</x:v>
      </x:c>
      <x:c r="J754" s="14" t="str">
        <x:v>West</x:v>
      </x:c>
    </x:row>
    <x:row r="755">
      <x:c r="A755" s="50" t="n">
        <x:v>46069</x:v>
      </x:c>
      <x:c r="B755" s="14" t="str">
        <x:v>SKU-0070</x:v>
      </x:c>
      <x:c r="C755" s="52" t="n">
        <x:v>1</x:v>
      </x:c>
      <x:c r="D755" s="40" t="n">
        <x:v>116.38</x:v>
      </x:c>
      <x:c r="E755" s="44" t="n">
        <x:f>C755*D755</x:f>
        <x:v>116.38</x:v>
      </x:c>
      <x:c r="F755" s="40" t="n">
        <x:v>69.06</x:v>
      </x:c>
      <x:c r="G755" s="44" t="n">
        <x:f>C755*F755</x:f>
        <x:v>69.06</x:v>
      </x:c>
      <x:c r="H755" s="44" t="n">
        <x:f>E755-G755</x:f>
        <x:v>47.31999999999999</x:v>
      </x:c>
      <x:c r="I755" s="14" t="str">
        <x:v>Internal Use</x:v>
      </x:c>
      <x:c r="J755" s="14" t="str">
        <x:v>Southeast</x:v>
      </x:c>
    </x:row>
    <x:row r="756">
      <x:c r="A756" s="50" t="n">
        <x:v>45976</x:v>
      </x:c>
      <x:c r="B756" s="14" t="str">
        <x:v>SKU-0076</x:v>
      </x:c>
      <x:c r="C756" s="52" t="n">
        <x:v>6</x:v>
      </x:c>
      <x:c r="D756" s="40" t="n">
        <x:v>198.27</x:v>
      </x:c>
      <x:c r="E756" s="44" t="n">
        <x:f>C756*D756</x:f>
        <x:v>1189.6200000000001</x:v>
      </x:c>
      <x:c r="F756" s="40" t="n">
        <x:v>132.93</x:v>
      </x:c>
      <x:c r="G756" s="44" t="n">
        <x:f>C756*F756</x:f>
        <x:v>797.58</x:v>
      </x:c>
      <x:c r="H756" s="44" t="n">
        <x:f>E756-G756</x:f>
        <x:v>392.0400000000001</x:v>
      </x:c>
      <x:c r="I756" s="14" t="str">
        <x:v>Internal Use</x:v>
      </x:c>
      <x:c r="J756" s="14" t="str">
        <x:v>West</x:v>
      </x:c>
    </x:row>
    <x:row r="757">
      <x:c r="A757" s="50" t="n">
        <x:v>46228</x:v>
      </x:c>
      <x:c r="B757" s="14" t="str">
        <x:v>SKU-0028</x:v>
      </x:c>
      <x:c r="C757" s="52" t="n">
        <x:v>3</x:v>
      </x:c>
      <x:c r="D757" s="40" t="n">
        <x:v>332.98</x:v>
      </x:c>
      <x:c r="E757" s="44" t="n">
        <x:f>C757*D757</x:f>
        <x:v>998.94</x:v>
      </x:c>
      <x:c r="F757" s="40" t="n">
        <x:v>274.39</x:v>
      </x:c>
      <x:c r="G757" s="44" t="n">
        <x:f>C757*F757</x:f>
        <x:v>823.17</x:v>
      </x:c>
      <x:c r="H757" s="44" t="n">
        <x:f>E757-G757</x:f>
        <x:v>175.7700000000001</x:v>
      </x:c>
      <x:c r="I757" s="14" t="str">
        <x:v>Enterprise</x:v>
      </x:c>
      <x:c r="J757" s="14" t="str">
        <x:v>Northeast</x:v>
      </x:c>
    </x:row>
    <x:row r="758">
      <x:c r="A758" s="50" t="n">
        <x:v>46174</x:v>
      </x:c>
      <x:c r="B758" s="14" t="str">
        <x:v>SKU-0010</x:v>
      </x:c>
      <x:c r="C758" s="52" t="n">
        <x:v>6</x:v>
      </x:c>
      <x:c r="D758" s="40" t="n">
        <x:v>158.66</x:v>
      </x:c>
      <x:c r="E758" s="44" t="n">
        <x:f>C758*D758</x:f>
        <x:v>951.96</x:v>
      </x:c>
      <x:c r="F758" s="40" t="n">
        <x:v>137.36</x:v>
      </x:c>
      <x:c r="G758" s="44" t="n">
        <x:f>C758*F758</x:f>
        <x:v>824.1600000000001</x:v>
      </x:c>
      <x:c r="H758" s="44" t="n">
        <x:f>E758-G758</x:f>
        <x:v>127.79999999999995</x:v>
      </x:c>
      <x:c r="I758" s="14" t="str">
        <x:v>SMB</x:v>
      </x:c>
      <x:c r="J758" s="14" t="str">
        <x:v>West</x:v>
      </x:c>
    </x:row>
    <x:row r="759">
      <x:c r="A759" s="50" t="n">
        <x:v>46081</x:v>
      </x:c>
      <x:c r="B759" s="14" t="str">
        <x:v>SKU-0101</x:v>
      </x:c>
      <x:c r="C759" s="52" t="n">
        <x:v>18</x:v>
      </x:c>
      <x:c r="D759" s="40" t="n">
        <x:v>74.88</x:v>
      </x:c>
      <x:c r="E759" s="44" t="n">
        <x:f>C759*D759</x:f>
        <x:v>1347.84</x:v>
      </x:c>
      <x:c r="F759" s="40" t="n">
        <x:v>63.93</x:v>
      </x:c>
      <x:c r="G759" s="44" t="n">
        <x:f>C759*F759</x:f>
        <x:v>1150.74</x:v>
      </x:c>
      <x:c r="H759" s="44" t="n">
        <x:f>E759-G759</x:f>
        <x:v>197.0999999999999</x:v>
      </x:c>
      <x:c r="I759" s="14" t="str">
        <x:v>SMB</x:v>
      </x:c>
      <x:c r="J759" s="14" t="str">
        <x:v>Midwest</x:v>
      </x:c>
    </x:row>
    <x:row r="760">
      <x:c r="A760" s="50" t="n">
        <x:v>46241</x:v>
      </x:c>
      <x:c r="B760" s="14" t="str">
        <x:v>SKU-0074</x:v>
      </x:c>
      <x:c r="C760" s="52" t="n">
        <x:v>14</x:v>
      </x:c>
      <x:c r="D760" s="40" t="n">
        <x:v>326.03</x:v>
      </x:c>
      <x:c r="E760" s="44" t="n">
        <x:f>C760*D760</x:f>
        <x:v>4564.42</x:v>
      </x:c>
      <x:c r="F760" s="40" t="n">
        <x:v>206.33</x:v>
      </x:c>
      <x:c r="G760" s="44" t="n">
        <x:f>C760*F760</x:f>
        <x:v>2888.6200000000003</x:v>
      </x:c>
      <x:c r="H760" s="44" t="n">
        <x:f>E760-G760</x:f>
        <x:v>1675.7999999999997</x:v>
      </x:c>
      <x:c r="I760" s="14" t="str">
        <x:v>Internal Use</x:v>
      </x:c>
      <x:c r="J760" s="14" t="str">
        <x:v>Midwest</x:v>
      </x:c>
    </x:row>
    <x:row r="761">
      <x:c r="A761" s="50" t="n">
        <x:v>45967</x:v>
      </x:c>
      <x:c r="B761" s="14" t="str">
        <x:v>SKU-0062</x:v>
      </x:c>
      <x:c r="C761" s="52" t="n">
        <x:v>6</x:v>
      </x:c>
      <x:c r="D761" s="40" t="n">
        <x:v>109.31</x:v>
      </x:c>
      <x:c r="E761" s="44" t="n">
        <x:f>C761*D761</x:f>
        <x:v>655.86</x:v>
      </x:c>
      <x:c r="F761" s="40" t="n">
        <x:v>63.99</x:v>
      </x:c>
      <x:c r="G761" s="44" t="n">
        <x:f>C761*F761</x:f>
        <x:v>383.94</x:v>
      </x:c>
      <x:c r="H761" s="44" t="n">
        <x:f>E761-G761</x:f>
        <x:v>271.92</x:v>
      </x:c>
      <x:c r="I761" s="14" t="str">
        <x:v>Internal Use</x:v>
      </x:c>
      <x:c r="J761" s="14" t="str">
        <x:v>Southeast</x:v>
      </x:c>
    </x:row>
    <x:row r="762">
      <x:c r="A762" s="50" t="n">
        <x:v>46221</x:v>
      </x:c>
      <x:c r="B762" s="14" t="str">
        <x:v>SKU-0004</x:v>
      </x:c>
      <x:c r="C762" s="52" t="n">
        <x:v>8</x:v>
      </x:c>
      <x:c r="D762" s="40" t="n">
        <x:v>331.19</x:v>
      </x:c>
      <x:c r="E762" s="44" t="n">
        <x:f>C762*D762</x:f>
        <x:v>2649.52</x:v>
      </x:c>
      <x:c r="F762" s="40" t="n">
        <x:v>164.72</x:v>
      </x:c>
      <x:c r="G762" s="44" t="n">
        <x:f>C762*F762</x:f>
        <x:v>1317.76</x:v>
      </x:c>
      <x:c r="H762" s="44" t="n">
        <x:f>E762-G762</x:f>
        <x:v>1331.76</x:v>
      </x:c>
      <x:c r="I762" s="14" t="str">
        <x:v>Distributor</x:v>
      </x:c>
      <x:c r="J762" s="14" t="str">
        <x:v>Northeast</x:v>
      </x:c>
    </x:row>
    <x:row r="763">
      <x:c r="A763" s="50" t="n">
        <x:v>46227</x:v>
      </x:c>
      <x:c r="B763" s="14" t="str">
        <x:v>SKU-0044</x:v>
      </x:c>
      <x:c r="C763" s="52" t="n">
        <x:v>6</x:v>
      </x:c>
      <x:c r="D763" s="40" t="n">
        <x:v>150.24</x:v>
      </x:c>
      <x:c r="E763" s="44" t="n">
        <x:f>C763*D763</x:f>
        <x:v>901.44</x:v>
      </x:c>
      <x:c r="F763" s="40" t="n">
        <x:v>126.24</x:v>
      </x:c>
      <x:c r="G763" s="44" t="n">
        <x:f>C763*F763</x:f>
        <x:v>757.4399999999999</x:v>
      </x:c>
      <x:c r="H763" s="44" t="n">
        <x:f>E763-G763</x:f>
        <x:v>144.0000000000001</x:v>
      </x:c>
      <x:c r="I763" s="14" t="str">
        <x:v>SMB</x:v>
      </x:c>
      <x:c r="J763" s="14" t="str">
        <x:v>West</x:v>
      </x:c>
    </x:row>
    <x:row r="764">
      <x:c r="A764" s="50" t="n">
        <x:v>45903</x:v>
      </x:c>
      <x:c r="B764" s="14" t="str">
        <x:v>SKU-0029</x:v>
      </x:c>
      <x:c r="C764" s="52" t="n">
        <x:v>24</x:v>
      </x:c>
      <x:c r="D764" s="40" t="n">
        <x:v>19.49</x:v>
      </x:c>
      <x:c r="E764" s="44" t="n">
        <x:f>C764*D764</x:f>
        <x:v>467.76</x:v>
      </x:c>
      <x:c r="F764" s="40" t="n">
        <x:v>12.5</x:v>
      </x:c>
      <x:c r="G764" s="44" t="n">
        <x:f>C764*F764</x:f>
        <x:v>300</x:v>
      </x:c>
      <x:c r="H764" s="44" t="n">
        <x:f>E764-G764</x:f>
        <x:v>167.76</x:v>
      </x:c>
      <x:c r="I764" s="14" t="str">
        <x:v>SMB</x:v>
      </x:c>
      <x:c r="J764" s="14" t="str">
        <x:v>Southeast</x:v>
      </x:c>
    </x:row>
    <x:row r="765">
      <x:c r="A765" s="50" t="n">
        <x:v>45928</x:v>
      </x:c>
      <x:c r="B765" s="14" t="str">
        <x:v>SKU-0038</x:v>
      </x:c>
      <x:c r="C765" s="52" t="n">
        <x:v>5</x:v>
      </x:c>
      <x:c r="D765" s="40" t="n">
        <x:v>232.41</x:v>
      </x:c>
      <x:c r="E765" s="44" t="n">
        <x:f>C765*D765</x:f>
        <x:v>1162.05</x:v>
      </x:c>
      <x:c r="F765" s="40" t="n">
        <x:v>160.43</x:v>
      </x:c>
      <x:c r="G765" s="44" t="n">
        <x:f>C765*F765</x:f>
        <x:v>802.1500000000001</x:v>
      </x:c>
      <x:c r="H765" s="44" t="n">
        <x:f>E765-G765</x:f>
        <x:v>359.89999999999986</x:v>
      </x:c>
      <x:c r="I765" s="14" t="str">
        <x:v>Distributor</x:v>
      </x:c>
      <x:c r="J765" s="14" t="str">
        <x:v>West</x:v>
      </x:c>
    </x:row>
    <x:row r="766">
      <x:c r="A766" s="50" t="n">
        <x:v>46066</x:v>
      </x:c>
      <x:c r="B766" s="14" t="str">
        <x:v>SKU-0065</x:v>
      </x:c>
      <x:c r="C766" s="52" t="n">
        <x:v>6</x:v>
      </x:c>
      <x:c r="D766" s="40" t="n">
        <x:v>60.7</x:v>
      </x:c>
      <x:c r="E766" s="44" t="n">
        <x:f>C766*D766</x:f>
        <x:v>364.20000000000005</x:v>
      </x:c>
      <x:c r="F766" s="40" t="n">
        <x:v>52.3</x:v>
      </x:c>
      <x:c r="G766" s="44" t="n">
        <x:f>C766*F766</x:f>
        <x:v>313.79999999999995</x:v>
      </x:c>
      <x:c r="H766" s="44" t="n">
        <x:f>E766-G766</x:f>
        <x:v>50.40000000000009</x:v>
      </x:c>
      <x:c r="I766" s="14" t="str">
        <x:v>Distributor</x:v>
      </x:c>
      <x:c r="J766" s="14" t="str">
        <x:v>West</x:v>
      </x:c>
    </x:row>
    <x:row r="767">
      <x:c r="A767" s="50" t="n">
        <x:v>46018</x:v>
      </x:c>
      <x:c r="B767" s="14" t="str">
        <x:v>SKU-0029</x:v>
      </x:c>
      <x:c r="C767" s="52" t="n">
        <x:v>23</x:v>
      </x:c>
      <x:c r="D767" s="40" t="n">
        <x:v>16.79</x:v>
      </x:c>
      <x:c r="E767" s="44" t="n">
        <x:f>C767*D767</x:f>
        <x:v>386.16999999999996</x:v>
      </x:c>
      <x:c r="F767" s="40" t="n">
        <x:v>12.5</x:v>
      </x:c>
      <x:c r="G767" s="44" t="n">
        <x:f>C767*F767</x:f>
        <x:v>287.5</x:v>
      </x:c>
      <x:c r="H767" s="44" t="n">
        <x:f>E767-G767</x:f>
        <x:v>98.66999999999996</x:v>
      </x:c>
      <x:c r="I767" s="14" t="str">
        <x:v>Internal Use</x:v>
      </x:c>
      <x:c r="J767" s="14" t="str">
        <x:v>Southeast</x:v>
      </x:c>
    </x:row>
    <x:row r="768">
      <x:c r="A768" s="50" t="n">
        <x:v>46062</x:v>
      </x:c>
      <x:c r="B768" s="14" t="str">
        <x:v>SKU-0037</x:v>
      </x:c>
      <x:c r="C768" s="52" t="n">
        <x:v>8</x:v>
      </x:c>
      <x:c r="D768" s="40" t="n">
        <x:v>177.72</x:v>
      </x:c>
      <x:c r="E768" s="44" t="n">
        <x:f>C768*D768</x:f>
        <x:v>1421.76</x:v>
      </x:c>
      <x:c r="F768" s="40" t="n">
        <x:v>115.83</x:v>
      </x:c>
      <x:c r="G768" s="44" t="n">
        <x:f>C768*F768</x:f>
        <x:v>926.64</x:v>
      </x:c>
      <x:c r="H768" s="44" t="n">
        <x:f>E768-G768</x:f>
        <x:v>495.12</x:v>
      </x:c>
      <x:c r="I768" s="14" t="str">
        <x:v>Internal Use</x:v>
      </x:c>
      <x:c r="J768" s="14" t="str">
        <x:v>Midwest</x:v>
      </x:c>
    </x:row>
    <x:row r="769">
      <x:c r="A769" s="50" t="n">
        <x:v>45925</x:v>
      </x:c>
      <x:c r="B769" s="14" t="str">
        <x:v>SKU-0053</x:v>
      </x:c>
      <x:c r="C769" s="52" t="n">
        <x:v>45</x:v>
      </x:c>
      <x:c r="D769" s="40" t="n">
        <x:v>426.28</x:v>
      </x:c>
      <x:c r="E769" s="44" t="n">
        <x:f>C769*D769</x:f>
        <x:v>19182.6</x:v>
      </x:c>
      <x:c r="F769" s="40" t="n">
        <x:v>235.39</x:v>
      </x:c>
      <x:c r="G769" s="44" t="n">
        <x:f>C769*F769</x:f>
        <x:v>10592.55</x:v>
      </x:c>
      <x:c r="H769" s="44" t="n">
        <x:f>E769-G769</x:f>
        <x:v>8590.05</x:v>
      </x:c>
      <x:c r="I769" s="14" t="str">
        <x:v>Internal Use</x:v>
      </x:c>
      <x:c r="J769" s="14" t="str">
        <x:v>Southeast</x:v>
      </x:c>
    </x:row>
    <x:row r="770">
      <x:c r="A770" s="50" t="n">
        <x:v>46227</x:v>
      </x:c>
      <x:c r="B770" s="14" t="str">
        <x:v>SKU-0068</x:v>
      </x:c>
      <x:c r="C770" s="52" t="n">
        <x:v>6</x:v>
      </x:c>
      <x:c r="D770" s="40" t="n">
        <x:v>238</x:v>
      </x:c>
      <x:c r="E770" s="44" t="n">
        <x:f>C770*D770</x:f>
        <x:v>1428</x:v>
      </x:c>
      <x:c r="F770" s="40" t="n">
        <x:v>157.37</x:v>
      </x:c>
      <x:c r="G770" s="44" t="n">
        <x:f>C770*F770</x:f>
        <x:v>944.22</x:v>
      </x:c>
      <x:c r="H770" s="44" t="n">
        <x:f>E770-G770</x:f>
        <x:v>483.78</x:v>
      </x:c>
      <x:c r="I770" s="14" t="str">
        <x:v>Distributor</x:v>
      </x:c>
      <x:c r="J770" s="14" t="str">
        <x:v>Midwest</x:v>
      </x:c>
    </x:row>
    <x:row r="771">
      <x:c r="A771" s="50" t="n">
        <x:v>45901</x:v>
      </x:c>
      <x:c r="B771" s="14" t="str">
        <x:v>SKU-0049</x:v>
      </x:c>
      <x:c r="C771" s="52" t="n">
        <x:v>13</x:v>
      </x:c>
      <x:c r="D771" s="40" t="n">
        <x:v>100.65</x:v>
      </x:c>
      <x:c r="E771" s="44" t="n">
        <x:f>C771*D771</x:f>
        <x:v>1308.45</x:v>
      </x:c>
      <x:c r="F771" s="40" t="n">
        <x:v>63.39</x:v>
      </x:c>
      <x:c r="G771" s="44" t="n">
        <x:f>C771*F771</x:f>
        <x:v>824.07</x:v>
      </x:c>
      <x:c r="H771" s="44" t="n">
        <x:f>E771-G771</x:f>
        <x:v>484.38</x:v>
      </x:c>
      <x:c r="I771" s="14" t="str">
        <x:v>Enterprise</x:v>
      </x:c>
      <x:c r="J771" s="14" t="str">
        <x:v>West</x:v>
      </x:c>
    </x:row>
    <x:row r="772">
      <x:c r="A772" s="50" t="n">
        <x:v>46170</x:v>
      </x:c>
      <x:c r="B772" s="14" t="str">
        <x:v>SKU-0117</x:v>
      </x:c>
      <x:c r="C772" s="52" t="n">
        <x:v>8</x:v>
      </x:c>
      <x:c r="D772" s="40" t="n">
        <x:v>183.36</x:v>
      </x:c>
      <x:c r="E772" s="44" t="n">
        <x:f>C772*D772</x:f>
        <x:v>1466.88</x:v>
      </x:c>
      <x:c r="F772" s="40" t="n">
        <x:v>143.31</x:v>
      </x:c>
      <x:c r="G772" s="44" t="n">
        <x:f>C772*F772</x:f>
        <x:v>1146.48</x:v>
      </x:c>
      <x:c r="H772" s="44" t="n">
        <x:f>E772-G772</x:f>
        <x:v>320.4000000000001</x:v>
      </x:c>
      <x:c r="I772" s="14" t="str">
        <x:v>SMB</x:v>
      </x:c>
      <x:c r="J772" s="14" t="str">
        <x:v>Midwest</x:v>
      </x:c>
    </x:row>
    <x:row r="773">
      <x:c r="A773" s="50" t="n">
        <x:v>46220</x:v>
      </x:c>
      <x:c r="B773" s="14" t="str">
        <x:v>SKU-0143</x:v>
      </x:c>
      <x:c r="C773" s="52" t="n">
        <x:v>3</x:v>
      </x:c>
      <x:c r="D773" s="40" t="n">
        <x:v>171.98</x:v>
      </x:c>
      <x:c r="E773" s="44" t="n">
        <x:f>C773*D773</x:f>
        <x:v>515.9399999999999</x:v>
      </x:c>
      <x:c r="F773" s="40" t="n">
        <x:v>123.95</x:v>
      </x:c>
      <x:c r="G773" s="44" t="n">
        <x:f>C773*F773</x:f>
        <x:v>371.85</x:v>
      </x:c>
      <x:c r="H773" s="44" t="n">
        <x:f>E773-G773</x:f>
        <x:v>144.08999999999992</x:v>
      </x:c>
      <x:c r="I773" s="14" t="str">
        <x:v>Distributor</x:v>
      </x:c>
      <x:c r="J773" s="14" t="str">
        <x:v>Northeast</x:v>
      </x:c>
    </x:row>
    <x:row r="774">
      <x:c r="A774" s="50" t="n">
        <x:v>45900</x:v>
      </x:c>
      <x:c r="B774" s="14" t="str">
        <x:v>SKU-0117</x:v>
      </x:c>
      <x:c r="C774" s="52" t="n">
        <x:v>3</x:v>
      </x:c>
      <x:c r="D774" s="40" t="n">
        <x:v>170.28</x:v>
      </x:c>
      <x:c r="E774" s="44" t="n">
        <x:f>C774*D774</x:f>
        <x:v>510.84000000000003</x:v>
      </x:c>
      <x:c r="F774" s="40" t="n">
        <x:v>143.31</x:v>
      </x:c>
      <x:c r="G774" s="44" t="n">
        <x:f>C774*F774</x:f>
        <x:v>429.93</x:v>
      </x:c>
      <x:c r="H774" s="44" t="n">
        <x:f>E774-G774</x:f>
        <x:v>80.91000000000003</x:v>
      </x:c>
      <x:c r="I774" s="14" t="str">
        <x:v>Distributor</x:v>
      </x:c>
      <x:c r="J774" s="14" t="str">
        <x:v>Northeast</x:v>
      </x:c>
    </x:row>
    <x:row r="775">
      <x:c r="A775" s="50" t="n">
        <x:v>46008</x:v>
      </x:c>
      <x:c r="B775" s="14" t="str">
        <x:v>SKU-0013</x:v>
      </x:c>
      <x:c r="C775" s="52" t="n">
        <x:v>19</x:v>
      </x:c>
      <x:c r="D775" s="40" t="n">
        <x:v>40.82</x:v>
      </x:c>
      <x:c r="E775" s="44" t="n">
        <x:f>C775*D775</x:f>
        <x:v>775.58</x:v>
      </x:c>
      <x:c r="F775" s="40" t="n">
        <x:v>22.2</x:v>
      </x:c>
      <x:c r="G775" s="44" t="n">
        <x:f>C775*F775</x:f>
        <x:v>421.8</x:v>
      </x:c>
      <x:c r="H775" s="44" t="n">
        <x:f>E775-G775</x:f>
        <x:v>353.78000000000003</x:v>
      </x:c>
      <x:c r="I775" s="14" t="str">
        <x:v>SMB</x:v>
      </x:c>
      <x:c r="J775" s="14" t="str">
        <x:v>Northeast</x:v>
      </x:c>
    </x:row>
    <x:row r="776">
      <x:c r="A776" s="50" t="n">
        <x:v>45953</x:v>
      </x:c>
      <x:c r="B776" s="14" t="str">
        <x:v>SKU-0070</x:v>
      </x:c>
      <x:c r="C776" s="52" t="n">
        <x:v>10</x:v>
      </x:c>
      <x:c r="D776" s="40" t="n">
        <x:v>107.51</x:v>
      </x:c>
      <x:c r="E776" s="44" t="n">
        <x:f>C776*D776</x:f>
        <x:v>1075.1000000000001</x:v>
      </x:c>
      <x:c r="F776" s="40" t="n">
        <x:v>69.06</x:v>
      </x:c>
      <x:c r="G776" s="44" t="n">
        <x:f>C776*F776</x:f>
        <x:v>690.6</x:v>
      </x:c>
      <x:c r="H776" s="44" t="n">
        <x:f>E776-G776</x:f>
        <x:v>384.5000000000001</x:v>
      </x:c>
      <x:c r="I776" s="14" t="str">
        <x:v>Internal Use</x:v>
      </x:c>
      <x:c r="J776" s="14" t="str">
        <x:v>Midwest</x:v>
      </x:c>
    </x:row>
    <x:row r="777">
      <x:c r="A777" s="50" t="n">
        <x:v>46227</x:v>
      </x:c>
      <x:c r="B777" s="14" t="str">
        <x:v>SKU-0064</x:v>
      </x:c>
      <x:c r="C777" s="52" t="n">
        <x:v>12</x:v>
      </x:c>
      <x:c r="D777" s="40" t="n">
        <x:v>104.37</x:v>
      </x:c>
      <x:c r="E777" s="44" t="n">
        <x:f>C777*D777</x:f>
        <x:v>1252.44</x:v>
      </x:c>
      <x:c r="F777" s="40" t="n">
        <x:v>62.55</x:v>
      </x:c>
      <x:c r="G777" s="44" t="n">
        <x:f>C777*F777</x:f>
        <x:v>750.5999999999999</x:v>
      </x:c>
      <x:c r="H777" s="44" t="n">
        <x:f>E777-G777</x:f>
        <x:v>501.84000000000015</x:v>
      </x:c>
      <x:c r="I777" s="14" t="str">
        <x:v>Enterprise</x:v>
      </x:c>
      <x:c r="J777" s="14" t="str">
        <x:v>Midwest</x:v>
      </x:c>
    </x:row>
    <x:row r="778">
      <x:c r="A778" s="50" t="n">
        <x:v>46185</x:v>
      </x:c>
      <x:c r="B778" s="14" t="str">
        <x:v>SKU-0078</x:v>
      </x:c>
      <x:c r="C778" s="52" t="n">
        <x:v>4</x:v>
      </x:c>
      <x:c r="D778" s="40" t="n">
        <x:v>28.68</x:v>
      </x:c>
      <x:c r="E778" s="44" t="n">
        <x:f>C778*D778</x:f>
        <x:v>114.72</x:v>
      </x:c>
      <x:c r="F778" s="40" t="n">
        <x:v>17.54</x:v>
      </x:c>
      <x:c r="G778" s="44" t="n">
        <x:f>C778*F778</x:f>
        <x:v>70.16</x:v>
      </x:c>
      <x:c r="H778" s="44" t="n">
        <x:f>E778-G778</x:f>
        <x:v>44.56</x:v>
      </x:c>
      <x:c r="I778" s="14" t="str">
        <x:v>Distributor</x:v>
      </x:c>
      <x:c r="J778" s="14" t="str">
        <x:v>Southeast</x:v>
      </x:c>
    </x:row>
    <x:row r="779">
      <x:c r="A779" s="50" t="n">
        <x:v>46008</x:v>
      </x:c>
      <x:c r="B779" s="14" t="str">
        <x:v>SKU-0052</x:v>
      </x:c>
      <x:c r="C779" s="52" t="n">
        <x:v>2</x:v>
      </x:c>
      <x:c r="D779" s="40" t="n">
        <x:v>248.78</x:v>
      </x:c>
      <x:c r="E779" s="44" t="n">
        <x:f>C779*D779</x:f>
        <x:v>497.56</x:v>
      </x:c>
      <x:c r="F779" s="40" t="n">
        <x:v>210.35</x:v>
      </x:c>
      <x:c r="G779" s="44" t="n">
        <x:f>C779*F779</x:f>
        <x:v>420.7</x:v>
      </x:c>
      <x:c r="H779" s="44" t="n">
        <x:f>E779-G779</x:f>
        <x:v>76.86000000000001</x:v>
      </x:c>
      <x:c r="I779" s="14" t="str">
        <x:v>Enterprise</x:v>
      </x:c>
      <x:c r="J779" s="14" t="str">
        <x:v>Midwest</x:v>
      </x:c>
    </x:row>
    <x:row r="780">
      <x:c r="A780" s="50" t="n">
        <x:v>46201</x:v>
      </x:c>
      <x:c r="B780" s="14" t="str">
        <x:v>SKU-0146</x:v>
      </x:c>
      <x:c r="C780" s="52" t="n">
        <x:v>8</x:v>
      </x:c>
      <x:c r="D780" s="40" t="n">
        <x:v>497.38</x:v>
      </x:c>
      <x:c r="E780" s="44" t="n">
        <x:f>C780*D780</x:f>
        <x:v>3979.04</x:v>
      </x:c>
      <x:c r="F780" s="40" t="n">
        <x:v>261.77</x:v>
      </x:c>
      <x:c r="G780" s="44" t="n">
        <x:f>C780*F780</x:f>
        <x:v>2094.16</x:v>
      </x:c>
      <x:c r="H780" s="44" t="n">
        <x:f>E780-G780</x:f>
        <x:v>1884.88</x:v>
      </x:c>
      <x:c r="I780" s="14" t="str">
        <x:v>Internal Use</x:v>
      </x:c>
      <x:c r="J780" s="14" t="str">
        <x:v>Northeast</x:v>
      </x:c>
    </x:row>
    <x:row r="781">
      <x:c r="A781" s="50" t="n">
        <x:v>46149</x:v>
      </x:c>
      <x:c r="B781" s="14" t="str">
        <x:v>SKU-0036</x:v>
      </x:c>
      <x:c r="C781" s="52" t="n">
        <x:v>8</x:v>
      </x:c>
      <x:c r="D781" s="40" t="n">
        <x:v>288.58</x:v>
      </x:c>
      <x:c r="E781" s="44" t="n">
        <x:f>C781*D781</x:f>
        <x:v>2308.64</x:v>
      </x:c>
      <x:c r="F781" s="40" t="n">
        <x:v>122.19</x:v>
      </x:c>
      <x:c r="G781" s="44" t="n">
        <x:f>C781*F781</x:f>
        <x:v>977.52</x:v>
      </x:c>
      <x:c r="H781" s="44" t="n">
        <x:f>E781-G781</x:f>
        <x:v>1331.12</x:v>
      </x:c>
      <x:c r="I781" s="14" t="str">
        <x:v>Distributor</x:v>
      </x:c>
      <x:c r="J781" s="14" t="str">
        <x:v>West</x:v>
      </x:c>
    </x:row>
    <x:row r="782">
      <x:c r="A782" s="50" t="n">
        <x:v>46098</x:v>
      </x:c>
      <x:c r="B782" s="14" t="str">
        <x:v>SKU-0091</x:v>
      </x:c>
      <x:c r="C782" s="52" t="n">
        <x:v>2</x:v>
      </x:c>
      <x:c r="D782" s="40" t="n">
        <x:v>64.38</x:v>
      </x:c>
      <x:c r="E782" s="44" t="n">
        <x:f>C782*D782</x:f>
        <x:v>128.76</x:v>
      </x:c>
      <x:c r="F782" s="40" t="n">
        <x:v>42.22</x:v>
      </x:c>
      <x:c r="G782" s="44" t="n">
        <x:f>C782*F782</x:f>
        <x:v>84.44</x:v>
      </x:c>
      <x:c r="H782" s="44" t="n">
        <x:f>E782-G782</x:f>
        <x:v>44.31999999999999</x:v>
      </x:c>
      <x:c r="I782" s="14" t="str">
        <x:v>Enterprise</x:v>
      </x:c>
      <x:c r="J782" s="14" t="str">
        <x:v>West</x:v>
      </x:c>
    </x:row>
    <x:row r="783">
      <x:c r="A783" s="50" t="n">
        <x:v>45951</x:v>
      </x:c>
      <x:c r="B783" s="14" t="str">
        <x:v>SKU-0023</x:v>
      </x:c>
      <x:c r="C783" s="52" t="n">
        <x:v>11</x:v>
      </x:c>
      <x:c r="D783" s="40" t="n">
        <x:v>92.97</x:v>
      </x:c>
      <x:c r="E783" s="44" t="n">
        <x:f>C783*D783</x:f>
        <x:v>1022.67</x:v>
      </x:c>
      <x:c r="F783" s="40" t="n">
        <x:v>76.21</x:v>
      </x:c>
      <x:c r="G783" s="44" t="n">
        <x:f>C783*F783</x:f>
        <x:v>838.31</x:v>
      </x:c>
      <x:c r="H783" s="44" t="n">
        <x:f>E783-G783</x:f>
        <x:v>184.36</x:v>
      </x:c>
      <x:c r="I783" s="14" t="str">
        <x:v>Distributor</x:v>
      </x:c>
      <x:c r="J783" s="14" t="str">
        <x:v>Southeast</x:v>
      </x:c>
    </x:row>
    <x:row r="784">
      <x:c r="A784" s="50" t="n">
        <x:v>46169</x:v>
      </x:c>
      <x:c r="B784" s="14" t="str">
        <x:v>SKU-0140</x:v>
      </x:c>
      <x:c r="C784" s="52" t="n">
        <x:v>15</x:v>
      </x:c>
      <x:c r="D784" s="40" t="n">
        <x:v>305.95</x:v>
      </x:c>
      <x:c r="E784" s="44" t="n">
        <x:f>C784*D784</x:f>
        <x:v>4589.25</x:v>
      </x:c>
      <x:c r="F784" s="40" t="n">
        <x:v>188.55</x:v>
      </x:c>
      <x:c r="G784" s="44" t="n">
        <x:f>C784*F784</x:f>
        <x:v>2828.25</x:v>
      </x:c>
      <x:c r="H784" s="44" t="n">
        <x:f>E784-G784</x:f>
        <x:v>1761</x:v>
      </x:c>
      <x:c r="I784" s="14" t="str">
        <x:v>Internal Use</x:v>
      </x:c>
      <x:c r="J784" s="14" t="str">
        <x:v>West</x:v>
      </x:c>
    </x:row>
    <x:row r="785">
      <x:c r="A785" s="50" t="n">
        <x:v>45923</x:v>
      </x:c>
      <x:c r="B785" s="14" t="str">
        <x:v>SKU-0014</x:v>
      </x:c>
      <x:c r="C785" s="52" t="n">
        <x:v>12</x:v>
      </x:c>
      <x:c r="D785" s="40" t="n">
        <x:v>262.22</x:v>
      </x:c>
      <x:c r="E785" s="44" t="n">
        <x:f>C785*D785</x:f>
        <x:v>3146.6400000000003</x:v>
      </x:c>
      <x:c r="F785" s="40" t="n">
        <x:v>152.14</x:v>
      </x:c>
      <x:c r="G785" s="44" t="n">
        <x:f>C785*F785</x:f>
        <x:v>1825.6799999999998</x:v>
      </x:c>
      <x:c r="H785" s="44" t="n">
        <x:f>E785-G785</x:f>
        <x:v>1320.9600000000005</x:v>
      </x:c>
      <x:c r="I785" s="14" t="str">
        <x:v>Distributor</x:v>
      </x:c>
      <x:c r="J785" s="14" t="str">
        <x:v>West</x:v>
      </x:c>
    </x:row>
    <x:row r="786">
      <x:c r="A786" s="50" t="n">
        <x:v>45911</x:v>
      </x:c>
      <x:c r="B786" s="14" t="str">
        <x:v>SKU-0085</x:v>
      </x:c>
      <x:c r="C786" s="52" t="n">
        <x:v>2</x:v>
      </x:c>
      <x:c r="D786" s="40" t="n">
        <x:v>388.4</x:v>
      </x:c>
      <x:c r="E786" s="44" t="n">
        <x:f>C786*D786</x:f>
        <x:v>776.8</x:v>
      </x:c>
      <x:c r="F786" s="40" t="n">
        <x:v>222.39</x:v>
      </x:c>
      <x:c r="G786" s="44" t="n">
        <x:f>C786*F786</x:f>
        <x:v>444.78</x:v>
      </x:c>
      <x:c r="H786" s="44" t="n">
        <x:f>E786-G786</x:f>
        <x:v>332.02</x:v>
      </x:c>
      <x:c r="I786" s="14" t="str">
        <x:v>Enterprise</x:v>
      </x:c>
      <x:c r="J786" s="14" t="str">
        <x:v>Southeast</x:v>
      </x:c>
    </x:row>
    <x:row r="787">
      <x:c r="A787" s="50" t="n">
        <x:v>45953</x:v>
      </x:c>
      <x:c r="B787" s="14" t="str">
        <x:v>SKU-0133</x:v>
      </x:c>
      <x:c r="C787" s="52" t="n">
        <x:v>121</x:v>
      </x:c>
      <x:c r="D787" s="40" t="n">
        <x:v>272.07</x:v>
      </x:c>
      <x:c r="E787" s="44" t="n">
        <x:f>C787*D787</x:f>
        <x:v>32920.47</x:v>
      </x:c>
      <x:c r="F787" s="40" t="n">
        <x:v>233.3</x:v>
      </x:c>
      <x:c r="G787" s="44" t="n">
        <x:f>C787*F787</x:f>
        <x:v>28229.300000000003</x:v>
      </x:c>
      <x:c r="H787" s="44" t="n">
        <x:f>E787-G787</x:f>
        <x:v>4691.169999999998</x:v>
      </x:c>
      <x:c r="I787" s="14" t="str">
        <x:v>SMB</x:v>
      </x:c>
      <x:c r="J787" s="14" t="str">
        <x:v>Midwest</x:v>
      </x:c>
    </x:row>
    <x:row r="788">
      <x:c r="A788" s="50" t="n">
        <x:v>45883</x:v>
      </x:c>
      <x:c r="B788" s="14" t="str">
        <x:v>SKU-0080</x:v>
      </x:c>
      <x:c r="C788" s="52" t="n">
        <x:v>27</x:v>
      </x:c>
      <x:c r="D788" s="40" t="n">
        <x:v>147.41</x:v>
      </x:c>
      <x:c r="E788" s="44" t="n">
        <x:f>C788*D788</x:f>
        <x:v>3980.0699999999997</x:v>
      </x:c>
      <x:c r="F788" s="40" t="n">
        <x:v>115.72</x:v>
      </x:c>
      <x:c r="G788" s="44" t="n">
        <x:f>C788*F788</x:f>
        <x:v>3124.44</x:v>
      </x:c>
      <x:c r="H788" s="44" t="n">
        <x:f>E788-G788</x:f>
        <x:v>855.6299999999997</x:v>
      </x:c>
      <x:c r="I788" s="14" t="str">
        <x:v>Enterprise</x:v>
      </x:c>
      <x:c r="J788" s="14" t="str">
        <x:v>Northeast</x:v>
      </x:c>
    </x:row>
    <x:row r="789">
      <x:c r="A789" s="50" t="n">
        <x:v>46189</x:v>
      </x:c>
      <x:c r="B789" s="14" t="str">
        <x:v>SKU-0040</x:v>
      </x:c>
      <x:c r="C789" s="52" t="n">
        <x:v>26</x:v>
      </x:c>
      <x:c r="D789" s="40" t="n">
        <x:v>414.13</x:v>
      </x:c>
      <x:c r="E789" s="44" t="n">
        <x:f>C789*D789</x:f>
        <x:v>10767.38</x:v>
      </x:c>
      <x:c r="F789" s="40" t="n">
        <x:v>229.61</x:v>
      </x:c>
      <x:c r="G789" s="44" t="n">
        <x:f>C789*F789</x:f>
        <x:v>5969.860000000001</x:v>
      </x:c>
      <x:c r="H789" s="44" t="n">
        <x:f>E789-G789</x:f>
        <x:v>4797.519999999999</x:v>
      </x:c>
      <x:c r="I789" s="14" t="str">
        <x:v>Enterprise</x:v>
      </x:c>
      <x:c r="J789" s="14" t="str">
        <x:v>West</x:v>
      </x:c>
    </x:row>
    <x:row r="790">
      <x:c r="A790" s="50" t="n">
        <x:v>46138</x:v>
      </x:c>
      <x:c r="B790" s="14" t="str">
        <x:v>SKU-0007</x:v>
      </x:c>
      <x:c r="C790" s="52" t="n">
        <x:v>8</x:v>
      </x:c>
      <x:c r="D790" s="40" t="n">
        <x:v>177.11</x:v>
      </x:c>
      <x:c r="E790" s="44" t="n">
        <x:f>C790*D790</x:f>
        <x:v>1416.88</x:v>
      </x:c>
      <x:c r="F790" s="40" t="n">
        <x:v>123.15</x:v>
      </x:c>
      <x:c r="G790" s="44" t="n">
        <x:f>C790*F790</x:f>
        <x:v>985.2</x:v>
      </x:c>
      <x:c r="H790" s="44" t="n">
        <x:f>E790-G790</x:f>
        <x:v>431.68000000000006</x:v>
      </x:c>
      <x:c r="I790" s="14" t="str">
        <x:v>Internal Use</x:v>
      </x:c>
      <x:c r="J790" s="14" t="str">
        <x:v>West</x:v>
      </x:c>
    </x:row>
    <x:row r="791">
      <x:c r="A791" s="50" t="n">
        <x:v>46000</x:v>
      </x:c>
      <x:c r="B791" s="14" t="str">
        <x:v>SKU-0048</x:v>
      </x:c>
      <x:c r="C791" s="52" t="n">
        <x:v>25</x:v>
      </x:c>
      <x:c r="D791" s="40" t="n">
        <x:v>452.36</x:v>
      </x:c>
      <x:c r="E791" s="44" t="n">
        <x:f>C791*D791</x:f>
        <x:v>11309</x:v>
      </x:c>
      <x:c r="F791" s="40" t="n">
        <x:v>211.59</x:v>
      </x:c>
      <x:c r="G791" s="44" t="n">
        <x:f>C791*F791</x:f>
        <x:v>5289.75</x:v>
      </x:c>
      <x:c r="H791" s="44" t="n">
        <x:f>E791-G791</x:f>
        <x:v>6019.25</x:v>
      </x:c>
      <x:c r="I791" s="14" t="str">
        <x:v>Internal Use</x:v>
      </x:c>
      <x:c r="J791" s="14" t="str">
        <x:v>Northeast</x:v>
      </x:c>
    </x:row>
    <x:row r="792">
      <x:c r="A792" s="50" t="n">
        <x:v>45954</x:v>
      </x:c>
      <x:c r="B792" s="14" t="str">
        <x:v>SKU-0111</x:v>
      </x:c>
      <x:c r="C792" s="52" t="n">
        <x:v>11</x:v>
      </x:c>
      <x:c r="D792" s="40" t="n">
        <x:v>159.03</x:v>
      </x:c>
      <x:c r="E792" s="44" t="n">
        <x:f>C792*D792</x:f>
        <x:v>1749.33</x:v>
      </x:c>
      <x:c r="F792" s="40" t="n">
        <x:v>120.79</x:v>
      </x:c>
      <x:c r="G792" s="44" t="n">
        <x:f>C792*F792</x:f>
        <x:v>1328.69</x:v>
      </x:c>
      <x:c r="H792" s="44" t="n">
        <x:f>E792-G792</x:f>
        <x:v>420.6399999999999</x:v>
      </x:c>
      <x:c r="I792" s="14" t="str">
        <x:v>SMB</x:v>
      </x:c>
      <x:c r="J792" s="14" t="str">
        <x:v>Southeast</x:v>
      </x:c>
    </x:row>
    <x:row r="793">
      <x:c r="A793" s="50" t="n">
        <x:v>46238</x:v>
      </x:c>
      <x:c r="B793" s="14" t="str">
        <x:v>SKU-0131</x:v>
      </x:c>
      <x:c r="C793" s="52" t="n">
        <x:v>10</x:v>
      </x:c>
      <x:c r="D793" s="40" t="n">
        <x:v>411.17</x:v>
      </x:c>
      <x:c r="E793" s="44" t="n">
        <x:f>C793*D793</x:f>
        <x:v>4111.7</x:v>
      </x:c>
      <x:c r="F793" s="40" t="n">
        <x:v>258.95</x:v>
      </x:c>
      <x:c r="G793" s="44" t="n">
        <x:f>C793*F793</x:f>
        <x:v>2589.5</x:v>
      </x:c>
      <x:c r="H793" s="44" t="n">
        <x:f>E793-G793</x:f>
        <x:v>1522.1999999999998</x:v>
      </x:c>
      <x:c r="I793" s="14" t="str">
        <x:v>Enterprise</x:v>
      </x:c>
      <x:c r="J793" s="14" t="str">
        <x:v>West</x:v>
      </x:c>
    </x:row>
    <x:row r="794">
      <x:c r="A794" s="50" t="n">
        <x:v>46221</x:v>
      </x:c>
      <x:c r="B794" s="14" t="str">
        <x:v>SKU-0095</x:v>
      </x:c>
      <x:c r="C794" s="52" t="n">
        <x:v>5</x:v>
      </x:c>
      <x:c r="D794" s="40" t="n">
        <x:v>313.4</x:v>
      </x:c>
      <x:c r="E794" s="44" t="n">
        <x:f>C794*D794</x:f>
        <x:v>1567</x:v>
      </x:c>
      <x:c r="F794" s="40" t="n">
        <x:v>225.04</x:v>
      </x:c>
      <x:c r="G794" s="44" t="n">
        <x:f>C794*F794</x:f>
        <x:v>1125.2</x:v>
      </x:c>
      <x:c r="H794" s="44" t="n">
        <x:f>E794-G794</x:f>
        <x:v>441.79999999999995</x:v>
      </x:c>
      <x:c r="I794" s="14" t="str">
        <x:v>Internal Use</x:v>
      </x:c>
      <x:c r="J794" s="14" t="str">
        <x:v>West</x:v>
      </x:c>
    </x:row>
    <x:row r="795">
      <x:c r="A795" s="50" t="n">
        <x:v>45955</x:v>
      </x:c>
      <x:c r="B795" s="14" t="str">
        <x:v>SKU-0109</x:v>
      </x:c>
      <x:c r="C795" s="52" t="n">
        <x:v>2</x:v>
      </x:c>
      <x:c r="D795" s="40" t="n">
        <x:v>151.68</x:v>
      </x:c>
      <x:c r="E795" s="44" t="n">
        <x:f>C795*D795</x:f>
        <x:v>303.36</x:v>
      </x:c>
      <x:c r="F795" s="40" t="n">
        <x:v>119.32</x:v>
      </x:c>
      <x:c r="G795" s="44" t="n">
        <x:f>C795*F795</x:f>
        <x:v>238.64</x:v>
      </x:c>
      <x:c r="H795" s="44" t="n">
        <x:f>E795-G795</x:f>
        <x:v>64.72000000000003</x:v>
      </x:c>
      <x:c r="I795" s="14" t="str">
        <x:v>Enterprise</x:v>
      </x:c>
      <x:c r="J795" s="14" t="str">
        <x:v>Midwest</x:v>
      </x:c>
    </x:row>
    <x:row r="796">
      <x:c r="A796" s="50" t="n">
        <x:v>46210</x:v>
      </x:c>
      <x:c r="B796" s="14" t="str">
        <x:v>SKU-0009</x:v>
      </x:c>
      <x:c r="C796" s="52" t="n">
        <x:v>16</x:v>
      </x:c>
      <x:c r="D796" s="40" t="n">
        <x:v>17.03</x:v>
      </x:c>
      <x:c r="E796" s="44" t="n">
        <x:f>C796*D796</x:f>
        <x:v>272.48</x:v>
      </x:c>
      <x:c r="F796" s="40" t="n">
        <x:v>7.9</x:v>
      </x:c>
      <x:c r="G796" s="44" t="n">
        <x:f>C796*F796</x:f>
        <x:v>126.4</x:v>
      </x:c>
      <x:c r="H796" s="44" t="n">
        <x:f>E796-G796</x:f>
        <x:v>146.08</x:v>
      </x:c>
      <x:c r="I796" s="14" t="str">
        <x:v>Distributor</x:v>
      </x:c>
      <x:c r="J796" s="14" t="str">
        <x:v>Southeast</x:v>
      </x:c>
    </x:row>
    <x:row r="797">
      <x:c r="A797" s="50" t="n">
        <x:v>46114</x:v>
      </x:c>
      <x:c r="B797" s="14" t="str">
        <x:v>SKU-0120</x:v>
      </x:c>
      <x:c r="C797" s="52" t="n">
        <x:v>2</x:v>
      </x:c>
      <x:c r="D797" s="40" t="n">
        <x:v>72.07</x:v>
      </x:c>
      <x:c r="E797" s="44" t="n">
        <x:f>C797*D797</x:f>
        <x:v>144.14</x:v>
      </x:c>
      <x:c r="F797" s="40" t="n">
        <x:v>41.87</x:v>
      </x:c>
      <x:c r="G797" s="44" t="n">
        <x:f>C797*F797</x:f>
        <x:v>83.74</x:v>
      </x:c>
      <x:c r="H797" s="44" t="n">
        <x:f>E797-G797</x:f>
        <x:v>60.39999999999999</x:v>
      </x:c>
      <x:c r="I797" s="14" t="str">
        <x:v>Distributor</x:v>
      </x:c>
      <x:c r="J797" s="14" t="str">
        <x:v>West</x:v>
      </x:c>
    </x:row>
    <x:row r="798">
      <x:c r="A798" s="50" t="n">
        <x:v>45912</x:v>
      </x:c>
      <x:c r="B798" s="14" t="str">
        <x:v>SKU-0132</x:v>
      </x:c>
      <x:c r="C798" s="52" t="n">
        <x:v>5</x:v>
      </x:c>
      <x:c r="D798" s="40" t="n">
        <x:v>353.81</x:v>
      </x:c>
      <x:c r="E798" s="44" t="n">
        <x:f>C798*D798</x:f>
        <x:v>1769.05</x:v>
      </x:c>
      <x:c r="F798" s="40" t="n">
        <x:v>177.71</x:v>
      </x:c>
      <x:c r="G798" s="44" t="n">
        <x:f>C798*F798</x:f>
        <x:v>888.5500000000001</x:v>
      </x:c>
      <x:c r="H798" s="44" t="n">
        <x:f>E798-G798</x:f>
        <x:v>880.4999999999999</x:v>
      </x:c>
      <x:c r="I798" s="14" t="str">
        <x:v>Distributor</x:v>
      </x:c>
      <x:c r="J798" s="14" t="str">
        <x:v>West</x:v>
      </x:c>
    </x:row>
    <x:row r="799">
      <x:c r="A799" s="50" t="n">
        <x:v>46022</x:v>
      </x:c>
      <x:c r="B799" s="14" t="str">
        <x:v>SKU-0036</x:v>
      </x:c>
      <x:c r="C799" s="52" t="n">
        <x:v>28</x:v>
      </x:c>
      <x:c r="D799" s="40" t="n">
        <x:v>288.11</x:v>
      </x:c>
      <x:c r="E799" s="44" t="n">
        <x:f>C799*D799</x:f>
        <x:v>8067.08</x:v>
      </x:c>
      <x:c r="F799" s="40" t="n">
        <x:v>122.19</x:v>
      </x:c>
      <x:c r="G799" s="44" t="n">
        <x:f>C799*F799</x:f>
        <x:v>3421.3199999999997</x:v>
      </x:c>
      <x:c r="H799" s="44" t="n">
        <x:f>E799-G799</x:f>
        <x:v>4645.76</x:v>
      </x:c>
      <x:c r="I799" s="14" t="str">
        <x:v>Enterprise</x:v>
      </x:c>
      <x:c r="J799" s="14" t="str">
        <x:v>West</x:v>
      </x:c>
    </x:row>
    <x:row r="800">
      <x:c r="A800" s="50" t="n">
        <x:v>46121</x:v>
      </x:c>
      <x:c r="B800" s="14" t="str">
        <x:v>SKU-0097</x:v>
      </x:c>
      <x:c r="C800" s="52" t="n">
        <x:v>10</x:v>
      </x:c>
      <x:c r="D800" s="40" t="n">
        <x:v>281.76</x:v>
      </x:c>
      <x:c r="E800" s="44" t="n">
        <x:f>C800*D800</x:f>
        <x:v>2817.6</x:v>
      </x:c>
      <x:c r="F800" s="40" t="n">
        <x:v>209.93</x:v>
      </x:c>
      <x:c r="G800" s="44" t="n">
        <x:f>C800*F800</x:f>
        <x:v>2099.3</x:v>
      </x:c>
      <x:c r="H800" s="44" t="n">
        <x:f>E800-G800</x:f>
        <x:v>718.2999999999997</x:v>
      </x:c>
      <x:c r="I800" s="14" t="str">
        <x:v>Distributor</x:v>
      </x:c>
      <x:c r="J800" s="14" t="str">
        <x:v>Southeast</x:v>
      </x:c>
    </x:row>
    <x:row r="801">
      <x:c r="A801" s="50" t="n">
        <x:v>46181</x:v>
      </x:c>
      <x:c r="B801" s="14" t="str">
        <x:v>SKU-0083</x:v>
      </x:c>
      <x:c r="C801" s="52" t="n">
        <x:v>23</x:v>
      </x:c>
      <x:c r="D801" s="40" t="n">
        <x:v>200.37</x:v>
      </x:c>
      <x:c r="E801" s="44" t="n">
        <x:f>C801*D801</x:f>
        <x:v>4608.51</x:v>
      </x:c>
      <x:c r="F801" s="40" t="n">
        <x:v>126.42</x:v>
      </x:c>
      <x:c r="G801" s="44" t="n">
        <x:f>C801*F801</x:f>
        <x:v>2907.66</x:v>
      </x:c>
      <x:c r="H801" s="44" t="n">
        <x:f>E801-G801</x:f>
        <x:v>1700.8500000000004</x:v>
      </x:c>
      <x:c r="I801" s="14" t="str">
        <x:v>Internal Use</x:v>
      </x:c>
      <x:c r="J801" s="14" t="str">
        <x:v>Northeast</x:v>
      </x:c>
    </x:row>
    <x:row r="802">
      <x:c r="A802" s="50" t="n">
        <x:v>45895</x:v>
      </x:c>
      <x:c r="B802" s="14" t="str">
        <x:v>SKU-0012</x:v>
      </x:c>
      <x:c r="C802" s="52" t="n">
        <x:v>16</x:v>
      </x:c>
      <x:c r="D802" s="40" t="n">
        <x:v>360.62</x:v>
      </x:c>
      <x:c r="E802" s="44" t="n">
        <x:f>C802*D802</x:f>
        <x:v>5769.92</x:v>
      </x:c>
      <x:c r="F802" s="40" t="n">
        <x:v>252.14</x:v>
      </x:c>
      <x:c r="G802" s="44" t="n">
        <x:f>C802*F802</x:f>
        <x:v>4034.24</x:v>
      </x:c>
      <x:c r="H802" s="44" t="n">
        <x:f>E802-G802</x:f>
        <x:v>1735.6800000000003</x:v>
      </x:c>
      <x:c r="I802" s="14" t="str">
        <x:v>Enterprise</x:v>
      </x:c>
      <x:c r="J802" s="14" t="str">
        <x:v>West</x:v>
      </x:c>
    </x:row>
    <x:row r="803">
      <x:c r="A803" s="50" t="n">
        <x:v>46045</x:v>
      </x:c>
      <x:c r="B803" s="14" t="str">
        <x:v>SKU-0122</x:v>
      </x:c>
      <x:c r="C803" s="52" t="n">
        <x:v>43</x:v>
      </x:c>
      <x:c r="D803" s="40" t="n">
        <x:v>36.59</x:v>
      </x:c>
      <x:c r="E803" s="44" t="n">
        <x:f>C803*D803</x:f>
        <x:v>1573.3700000000001</x:v>
      </x:c>
      <x:c r="F803" s="40" t="n">
        <x:v>25.14</x:v>
      </x:c>
      <x:c r="G803" s="44" t="n">
        <x:f>C803*F803</x:f>
        <x:v>1081.02</x:v>
      </x:c>
      <x:c r="H803" s="44" t="n">
        <x:f>E803-G803</x:f>
        <x:v>492.35000000000014</x:v>
      </x:c>
      <x:c r="I803" s="14" t="str">
        <x:v>SMB</x:v>
      </x:c>
      <x:c r="J803" s="14" t="str">
        <x:v>West</x:v>
      </x:c>
    </x:row>
    <x:row r="804">
      <x:c r="A804" s="50" t="n">
        <x:v>45912</x:v>
      </x:c>
      <x:c r="B804" s="14" t="str">
        <x:v>SKU-0108</x:v>
      </x:c>
      <x:c r="C804" s="52" t="n">
        <x:v>4</x:v>
      </x:c>
      <x:c r="D804" s="40" t="n">
        <x:v>286.74</x:v>
      </x:c>
      <x:c r="E804" s="44" t="n">
        <x:f>C804*D804</x:f>
        <x:v>1146.96</x:v>
      </x:c>
      <x:c r="F804" s="40" t="n">
        <x:v>242.94</x:v>
      </x:c>
      <x:c r="G804" s="44" t="n">
        <x:f>C804*F804</x:f>
        <x:v>971.76</x:v>
      </x:c>
      <x:c r="H804" s="44" t="n">
        <x:f>E804-G804</x:f>
        <x:v>175.20000000000005</x:v>
      </x:c>
      <x:c r="I804" s="14" t="str">
        <x:v>Enterprise</x:v>
      </x:c>
      <x:c r="J804" s="14" t="str">
        <x:v>West</x:v>
      </x:c>
    </x:row>
    <x:row r="805">
      <x:c r="A805" s="50" t="n">
        <x:v>46190</x:v>
      </x:c>
      <x:c r="B805" s="14" t="str">
        <x:v>SKU-0096</x:v>
      </x:c>
      <x:c r="C805" s="52" t="n">
        <x:v>10</x:v>
      </x:c>
      <x:c r="D805" s="40" t="n">
        <x:v>47.94</x:v>
      </x:c>
      <x:c r="E805" s="44" t="n">
        <x:f>C805*D805</x:f>
        <x:v>479.4</x:v>
      </x:c>
      <x:c r="F805" s="40" t="n">
        <x:v>29.46</x:v>
      </x:c>
      <x:c r="G805" s="44" t="n">
        <x:f>C805*F805</x:f>
        <x:v>294.6</x:v>
      </x:c>
      <x:c r="H805" s="44" t="n">
        <x:f>E805-G805</x:f>
        <x:v>184.79999999999995</x:v>
      </x:c>
      <x:c r="I805" s="14" t="str">
        <x:v>Enterprise</x:v>
      </x:c>
      <x:c r="J805" s="14" t="str">
        <x:v>West</x:v>
      </x:c>
    </x:row>
    <x:row r="806">
      <x:c r="A806" s="50" t="n">
        <x:v>45948</x:v>
      </x:c>
      <x:c r="B806" s="14" t="str">
        <x:v>SKU-0097</x:v>
      </x:c>
      <x:c r="C806" s="52" t="n">
        <x:v>5</x:v>
      </x:c>
      <x:c r="D806" s="40" t="n">
        <x:v>270.38</x:v>
      </x:c>
      <x:c r="E806" s="44" t="n">
        <x:f>C806*D806</x:f>
        <x:v>1351.9</x:v>
      </x:c>
      <x:c r="F806" s="40" t="n">
        <x:v>209.93</x:v>
      </x:c>
      <x:c r="G806" s="44" t="n">
        <x:f>C806*F806</x:f>
        <x:v>1049.65</x:v>
      </x:c>
      <x:c r="H806" s="44" t="n">
        <x:f>E806-G806</x:f>
        <x:v>302.25</x:v>
      </x:c>
      <x:c r="I806" s="14" t="str">
        <x:v>Distributor</x:v>
      </x:c>
      <x:c r="J806" s="14" t="str">
        <x:v>Southeast</x:v>
      </x:c>
    </x:row>
    <x:row r="807">
      <x:c r="A807" s="50" t="n">
        <x:v>45962</x:v>
      </x:c>
      <x:c r="B807" s="14" t="str">
        <x:v>SKU-0052</x:v>
      </x:c>
      <x:c r="C807" s="52" t="n">
        <x:v>7</x:v>
      </x:c>
      <x:c r="D807" s="40" t="n">
        <x:v>268.08</x:v>
      </x:c>
      <x:c r="E807" s="44" t="n">
        <x:f>C807*D807</x:f>
        <x:v>1876.56</x:v>
      </x:c>
      <x:c r="F807" s="40" t="n">
        <x:v>210.35</x:v>
      </x:c>
      <x:c r="G807" s="44" t="n">
        <x:f>C807*F807</x:f>
        <x:v>1472.45</x:v>
      </x:c>
      <x:c r="H807" s="44" t="n">
        <x:f>E807-G807</x:f>
        <x:v>404.1099999999999</x:v>
      </x:c>
      <x:c r="I807" s="14" t="str">
        <x:v>Enterprise</x:v>
      </x:c>
      <x:c r="J807" s="14" t="str">
        <x:v>Northeast</x:v>
      </x:c>
    </x:row>
    <x:row r="808">
      <x:c r="A808" s="50" t="n">
        <x:v>45984</x:v>
      </x:c>
      <x:c r="B808" s="14" t="str">
        <x:v>SKU-0025</x:v>
      </x:c>
      <x:c r="C808" s="52" t="n">
        <x:v>18</x:v>
      </x:c>
      <x:c r="D808" s="40" t="n">
        <x:v>527.09</x:v>
      </x:c>
      <x:c r="E808" s="44" t="n">
        <x:f>C808*D808</x:f>
        <x:v>9487.62</x:v>
      </x:c>
      <x:c r="F808" s="40" t="n">
        <x:v>275.52</x:v>
      </x:c>
      <x:c r="G808" s="44" t="n">
        <x:f>C808*F808</x:f>
        <x:v>4959.36</x:v>
      </x:c>
      <x:c r="H808" s="44" t="n">
        <x:f>E808-G808</x:f>
        <x:v>4528.260000000001</x:v>
      </x:c>
      <x:c r="I808" s="14" t="str">
        <x:v>Internal Use</x:v>
      </x:c>
      <x:c r="J808" s="14" t="str">
        <x:v>Southeast</x:v>
      </x:c>
    </x:row>
    <x:row r="809">
      <x:c r="A809" s="50" t="n">
        <x:v>46172</x:v>
      </x:c>
      <x:c r="B809" s="14" t="str">
        <x:v>SKU-0054</x:v>
      </x:c>
      <x:c r="C809" s="52" t="n">
        <x:v>22</x:v>
      </x:c>
      <x:c r="D809" s="40" t="n">
        <x:v>81.05</x:v>
      </x:c>
      <x:c r="E809" s="44" t="n">
        <x:f>C809*D809</x:f>
        <x:v>1783.1</x:v>
      </x:c>
      <x:c r="F809" s="40" t="n">
        <x:v>49.06</x:v>
      </x:c>
      <x:c r="G809" s="44" t="n">
        <x:f>C809*F809</x:f>
        <x:v>1079.3200000000002</x:v>
      </x:c>
      <x:c r="H809" s="44" t="n">
        <x:f>E809-G809</x:f>
        <x:v>703.7799999999997</x:v>
      </x:c>
      <x:c r="I809" s="14" t="str">
        <x:v>SMB</x:v>
      </x:c>
      <x:c r="J809" s="14" t="str">
        <x:v>Northeast</x:v>
      </x:c>
    </x:row>
    <x:row r="810">
      <x:c r="A810" s="50" t="n">
        <x:v>46098</x:v>
      </x:c>
      <x:c r="B810" s="14" t="str">
        <x:v>SKU-0113</x:v>
      </x:c>
      <x:c r="C810" s="52" t="n">
        <x:v>35</x:v>
      </x:c>
      <x:c r="D810" s="40" t="n">
        <x:v>283.27</x:v>
      </x:c>
      <x:c r="E810" s="44" t="n">
        <x:f>C810*D810</x:f>
        <x:v>9914.449999999999</x:v>
      </x:c>
      <x:c r="F810" s="40" t="n">
        <x:v>222.58</x:v>
      </x:c>
      <x:c r="G810" s="44" t="n">
        <x:f>C810*F810</x:f>
        <x:v>7790.3</x:v>
      </x:c>
      <x:c r="H810" s="44" t="n">
        <x:f>E810-G810</x:f>
        <x:v>2124.1499999999987</x:v>
      </x:c>
      <x:c r="I810" s="14" t="str">
        <x:v>SMB</x:v>
      </x:c>
      <x:c r="J810" s="14" t="str">
        <x:v>Midwest</x:v>
      </x:c>
    </x:row>
    <x:row r="811">
      <x:c r="A811" s="50" t="n">
        <x:v>45940</x:v>
      </x:c>
      <x:c r="B811" s="14" t="str">
        <x:v>SKU-0026</x:v>
      </x:c>
      <x:c r="C811" s="52" t="n">
        <x:v>9</x:v>
      </x:c>
      <x:c r="D811" s="40" t="n">
        <x:v>467.81</x:v>
      </x:c>
      <x:c r="E811" s="44" t="n">
        <x:f>C811*D811</x:f>
        <x:v>4210.29</x:v>
      </x:c>
      <x:c r="F811" s="40" t="n">
        <x:v>249.4</x:v>
      </x:c>
      <x:c r="G811" s="44" t="n">
        <x:f>C811*F811</x:f>
        <x:v>2244.6</x:v>
      </x:c>
      <x:c r="H811" s="44" t="n">
        <x:f>E811-G811</x:f>
        <x:v>1965.69</x:v>
      </x:c>
      <x:c r="I811" s="14" t="str">
        <x:v>Enterprise</x:v>
      </x:c>
      <x:c r="J811" s="14" t="str">
        <x:v>Southeast</x:v>
      </x:c>
    </x:row>
    <x:row r="812">
      <x:c r="A812" s="50" t="n">
        <x:v>46008</x:v>
      </x:c>
      <x:c r="B812" s="14" t="str">
        <x:v>SKU-0075</x:v>
      </x:c>
      <x:c r="C812" s="52" t="n">
        <x:v>7</x:v>
      </x:c>
      <x:c r="D812" s="40" t="n">
        <x:v>27.21</x:v>
      </x:c>
      <x:c r="E812" s="44" t="n">
        <x:f>C812*D812</x:f>
        <x:v>190.47</x:v>
      </x:c>
      <x:c r="F812" s="40" t="n">
        <x:v>13.66</x:v>
      </x:c>
      <x:c r="G812" s="44" t="n">
        <x:f>C812*F812</x:f>
        <x:v>95.62</x:v>
      </x:c>
      <x:c r="H812" s="44" t="n">
        <x:f>E812-G812</x:f>
        <x:v>94.85</x:v>
      </x:c>
      <x:c r="I812" s="14" t="str">
        <x:v>SMB</x:v>
      </x:c>
      <x:c r="J812" s="14" t="str">
        <x:v>Midwest</x:v>
      </x:c>
    </x:row>
    <x:row r="813">
      <x:c r="A813" s="50" t="n">
        <x:v>46153</x:v>
      </x:c>
      <x:c r="B813" s="14" t="str">
        <x:v>SKU-0020</x:v>
      </x:c>
      <x:c r="C813" s="52" t="n">
        <x:v>18</x:v>
      </x:c>
      <x:c r="D813" s="40" t="n">
        <x:v>281.39</x:v>
      </x:c>
      <x:c r="E813" s="44" t="n">
        <x:f>C813*D813</x:f>
        <x:v>5065.0199999999995</x:v>
      </x:c>
      <x:c r="F813" s="40" t="n">
        <x:v>163.22</x:v>
      </x:c>
      <x:c r="G813" s="44" t="n">
        <x:f>C813*F813</x:f>
        <x:v>2937.96</x:v>
      </x:c>
      <x:c r="H813" s="44" t="n">
        <x:f>E813-G813</x:f>
        <x:v>2127.0599999999995</x:v>
      </x:c>
      <x:c r="I813" s="14" t="str">
        <x:v>Distributor</x:v>
      </x:c>
      <x:c r="J813" s="14" t="str">
        <x:v>West</x:v>
      </x:c>
    </x:row>
    <x:row r="814">
      <x:c r="A814" s="50" t="n">
        <x:v>46159</x:v>
      </x:c>
      <x:c r="B814" s="14" t="str">
        <x:v>SKU-0015</x:v>
      </x:c>
      <x:c r="C814" s="52" t="n">
        <x:v>12</x:v>
      </x:c>
      <x:c r="D814" s="40" t="n">
        <x:v>265.27</x:v>
      </x:c>
      <x:c r="E814" s="44" t="n">
        <x:f>C814*D814</x:f>
        <x:v>3183.24</x:v>
      </x:c>
      <x:c r="F814" s="40" t="n">
        <x:v>185.37</x:v>
      </x:c>
      <x:c r="G814" s="44" t="n">
        <x:f>C814*F814</x:f>
        <x:v>2224.44</x:v>
      </x:c>
      <x:c r="H814" s="44" t="n">
        <x:f>E814-G814</x:f>
        <x:v>958.7999999999997</x:v>
      </x:c>
      <x:c r="I814" s="14" t="str">
        <x:v>Distributor</x:v>
      </x:c>
      <x:c r="J814" s="14" t="str">
        <x:v>Northeast</x:v>
      </x:c>
    </x:row>
    <x:row r="815">
      <x:c r="A815" s="50" t="n">
        <x:v>46053</x:v>
      </x:c>
      <x:c r="B815" s="14" t="str">
        <x:v>SKU-0009</x:v>
      </x:c>
      <x:c r="C815" s="52" t="n">
        <x:v>7</x:v>
      </x:c>
      <x:c r="D815" s="40" t="n">
        <x:v>18.21</x:v>
      </x:c>
      <x:c r="E815" s="44" t="n">
        <x:f>C815*D815</x:f>
        <x:v>127.47</x:v>
      </x:c>
      <x:c r="F815" s="40" t="n">
        <x:v>7.9</x:v>
      </x:c>
      <x:c r="G815" s="44" t="n">
        <x:f>C815*F815</x:f>
        <x:v>55.300000000000004</x:v>
      </x:c>
      <x:c r="H815" s="44" t="n">
        <x:f>E815-G815</x:f>
        <x:v>72.16999999999999</x:v>
      </x:c>
      <x:c r="I815" s="14" t="str">
        <x:v>Enterprise</x:v>
      </x:c>
      <x:c r="J815" s="14" t="str">
        <x:v>Southeast</x:v>
      </x:c>
    </x:row>
    <x:row r="816">
      <x:c r="A816" s="50" t="n">
        <x:v>46160</x:v>
      </x:c>
      <x:c r="B816" s="14" t="str">
        <x:v>SKU-0053</x:v>
      </x:c>
      <x:c r="C816" s="52" t="n">
        <x:v>17</x:v>
      </x:c>
      <x:c r="D816" s="40" t="n">
        <x:v>417.51</x:v>
      </x:c>
      <x:c r="E816" s="44" t="n">
        <x:f>C816*D816</x:f>
        <x:v>7097.67</x:v>
      </x:c>
      <x:c r="F816" s="40" t="n">
        <x:v>235.39</x:v>
      </x:c>
      <x:c r="G816" s="44" t="n">
        <x:f>C816*F816</x:f>
        <x:v>4001.6299999999997</x:v>
      </x:c>
      <x:c r="H816" s="44" t="n">
        <x:f>E816-G816</x:f>
        <x:v>3096.0400000000004</x:v>
      </x:c>
      <x:c r="I816" s="14" t="str">
        <x:v>Enterprise</x:v>
      </x:c>
      <x:c r="J816" s="14" t="str">
        <x:v>Southeast</x:v>
      </x:c>
    </x:row>
    <x:row r="817">
      <x:c r="A817" s="50" t="n">
        <x:v>45917</x:v>
      </x:c>
      <x:c r="B817" s="14" t="str">
        <x:v>SKU-0127</x:v>
      </x:c>
      <x:c r="C817" s="52" t="n">
        <x:v>23</x:v>
      </x:c>
      <x:c r="D817" s="40" t="n">
        <x:v>262.79</x:v>
      </x:c>
      <x:c r="E817" s="44" t="n">
        <x:f>C817*D817</x:f>
        <x:v>6044.17</x:v>
      </x:c>
      <x:c r="F817" s="40" t="n">
        <x:v>114.9</x:v>
      </x:c>
      <x:c r="G817" s="44" t="n">
        <x:f>C817*F817</x:f>
        <x:v>2642.7000000000003</x:v>
      </x:c>
      <x:c r="H817" s="44" t="n">
        <x:f>E817-G817</x:f>
        <x:v>3401.47</x:v>
      </x:c>
      <x:c r="I817" s="14" t="str">
        <x:v>Enterprise</x:v>
      </x:c>
      <x:c r="J817" s="14" t="str">
        <x:v>Midwest</x:v>
      </x:c>
    </x:row>
    <x:row r="818">
      <x:c r="A818" s="50" t="n">
        <x:v>46093</x:v>
      </x:c>
      <x:c r="B818" s="14" t="str">
        <x:v>SKU-0019</x:v>
      </x:c>
      <x:c r="C818" s="52" t="n">
        <x:v>12</x:v>
      </x:c>
      <x:c r="D818" s="40" t="n">
        <x:v>137.58</x:v>
      </x:c>
      <x:c r="E818" s="44" t="n">
        <x:f>C818*D818</x:f>
        <x:v>1650.96</x:v>
      </x:c>
      <x:c r="F818" s="40" t="n">
        <x:v>81.66</x:v>
      </x:c>
      <x:c r="G818" s="44" t="n">
        <x:f>C818*F818</x:f>
        <x:v>979.92</x:v>
      </x:c>
      <x:c r="H818" s="44" t="n">
        <x:f>E818-G818</x:f>
        <x:v>671.0400000000001</x:v>
      </x:c>
      <x:c r="I818" s="14" t="str">
        <x:v>Internal Use</x:v>
      </x:c>
      <x:c r="J818" s="14" t="str">
        <x:v>Southeast</x:v>
      </x:c>
    </x:row>
    <x:row r="819">
      <x:c r="A819" s="50" t="n">
        <x:v>45901</x:v>
      </x:c>
      <x:c r="B819" s="14" t="str">
        <x:v>SKU-0070</x:v>
      </x:c>
      <x:c r="C819" s="52" t="n">
        <x:v>3</x:v>
      </x:c>
      <x:c r="D819" s="40" t="n">
        <x:v>107.62</x:v>
      </x:c>
      <x:c r="E819" s="44" t="n">
        <x:f>C819*D819</x:f>
        <x:v>322.86</x:v>
      </x:c>
      <x:c r="F819" s="40" t="n">
        <x:v>69.06</x:v>
      </x:c>
      <x:c r="G819" s="44" t="n">
        <x:f>C819*F819</x:f>
        <x:v>207.18</x:v>
      </x:c>
      <x:c r="H819" s="44" t="n">
        <x:f>E819-G819</x:f>
        <x:v>115.68</x:v>
      </x:c>
      <x:c r="I819" s="14" t="str">
        <x:v>Distributor</x:v>
      </x:c>
      <x:c r="J819" s="14" t="str">
        <x:v>West</x:v>
      </x:c>
    </x:row>
    <x:row r="820">
      <x:c r="A820" s="50" t="n">
        <x:v>46035</x:v>
      </x:c>
      <x:c r="B820" s="14" t="str">
        <x:v>SKU-0123</x:v>
      </x:c>
      <x:c r="C820" s="52" t="n">
        <x:v>3</x:v>
      </x:c>
      <x:c r="D820" s="40" t="n">
        <x:v>164.92</x:v>
      </x:c>
      <x:c r="E820" s="44" t="n">
        <x:f>C820*D820</x:f>
        <x:v>494.76</x:v>
      </x:c>
      <x:c r="F820" s="40" t="n">
        <x:v>121.8</x:v>
      </x:c>
      <x:c r="G820" s="44" t="n">
        <x:f>C820*F820</x:f>
        <x:v>365.4</x:v>
      </x:c>
      <x:c r="H820" s="44" t="n">
        <x:f>E820-G820</x:f>
        <x:v>129.36</x:v>
      </x:c>
      <x:c r="I820" s="14" t="str">
        <x:v>Enterprise</x:v>
      </x:c>
      <x:c r="J820" s="14" t="str">
        <x:v>West</x:v>
      </x:c>
    </x:row>
    <x:row r="821">
      <x:c r="A821" s="50" t="n">
        <x:v>46078</x:v>
      </x:c>
      <x:c r="B821" s="14" t="str">
        <x:v>SKU-0014</x:v>
      </x:c>
      <x:c r="C821" s="52" t="n">
        <x:v>29</x:v>
      </x:c>
      <x:c r="D821" s="40" t="n">
        <x:v>276.51</x:v>
      </x:c>
      <x:c r="E821" s="44" t="n">
        <x:f>C821*D821</x:f>
        <x:v>8018.79</x:v>
      </x:c>
      <x:c r="F821" s="40" t="n">
        <x:v>152.14</x:v>
      </x:c>
      <x:c r="G821" s="44" t="n">
        <x:f>C821*F821</x:f>
        <x:v>4412.0599999999995</x:v>
      </x:c>
      <x:c r="H821" s="44" t="n">
        <x:f>E821-G821</x:f>
        <x:v>3606.7300000000005</x:v>
      </x:c>
      <x:c r="I821" s="14" t="str">
        <x:v>Internal Use</x:v>
      </x:c>
      <x:c r="J821" s="14" t="str">
        <x:v>Southeast</x:v>
      </x:c>
    </x:row>
    <x:row r="822">
      <x:c r="A822" s="50" t="n">
        <x:v>46104</x:v>
      </x:c>
      <x:c r="B822" s="14" t="str">
        <x:v>SKU-0030</x:v>
      </x:c>
      <x:c r="C822" s="52" t="n">
        <x:v>2</x:v>
      </x:c>
      <x:c r="D822" s="40" t="n">
        <x:v>358.96</x:v>
      </x:c>
      <x:c r="E822" s="44" t="n">
        <x:f>C822*D822</x:f>
        <x:v>717.92</x:v>
      </x:c>
      <x:c r="F822" s="40" t="n">
        <x:v>191.77</x:v>
      </x:c>
      <x:c r="G822" s="44" t="n">
        <x:f>C822*F822</x:f>
        <x:v>383.54</x:v>
      </x:c>
      <x:c r="H822" s="44" t="n">
        <x:f>E822-G822</x:f>
        <x:v>334.37999999999994</x:v>
      </x:c>
      <x:c r="I822" s="14" t="str">
        <x:v>Distributor</x:v>
      </x:c>
      <x:c r="J822" s="14" t="str">
        <x:v>Southeast</x:v>
      </x:c>
    </x:row>
    <x:row r="823">
      <x:c r="A823" s="50" t="n">
        <x:v>46103</x:v>
      </x:c>
      <x:c r="B823" s="14" t="str">
        <x:v>SKU-0088</x:v>
      </x:c>
      <x:c r="C823" s="52" t="n">
        <x:v>19</x:v>
      </x:c>
      <x:c r="D823" s="40" t="n">
        <x:v>34.61</x:v>
      </x:c>
      <x:c r="E823" s="44" t="n">
        <x:f>C823*D823</x:f>
        <x:v>657.59</x:v>
      </x:c>
      <x:c r="F823" s="40" t="n">
        <x:v>21.49</x:v>
      </x:c>
      <x:c r="G823" s="44" t="n">
        <x:f>C823*F823</x:f>
        <x:v>408.30999999999995</x:v>
      </x:c>
      <x:c r="H823" s="44" t="n">
        <x:f>E823-G823</x:f>
        <x:v>249.2800000000001</x:v>
      </x:c>
      <x:c r="I823" s="14" t="str">
        <x:v>Enterprise</x:v>
      </x:c>
      <x:c r="J823" s="14" t="str">
        <x:v>Southeast</x:v>
      </x:c>
    </x:row>
    <x:row r="824">
      <x:c r="A824" s="50" t="n">
        <x:v>46154</x:v>
      </x:c>
      <x:c r="B824" s="14" t="str">
        <x:v>SKU-0106</x:v>
      </x:c>
      <x:c r="C824" s="52" t="n">
        <x:v>4</x:v>
      </x:c>
      <x:c r="D824" s="40" t="n">
        <x:v>277.07</x:v>
      </x:c>
      <x:c r="E824" s="44" t="n">
        <x:f>C824*D824</x:f>
        <x:v>1108.28</x:v>
      </x:c>
      <x:c r="F824" s="40" t="n">
        <x:v>220.84</x:v>
      </x:c>
      <x:c r="G824" s="44" t="n">
        <x:f>C824*F824</x:f>
        <x:v>883.36</x:v>
      </x:c>
      <x:c r="H824" s="44" t="n">
        <x:f>E824-G824</x:f>
        <x:v>224.91999999999996</x:v>
      </x:c>
      <x:c r="I824" s="14" t="str">
        <x:v>Distributor</x:v>
      </x:c>
      <x:c r="J824" s="14" t="str">
        <x:v>Southeast</x:v>
      </x:c>
    </x:row>
    <x:row r="825">
      <x:c r="A825" s="50" t="n">
        <x:v>45946</x:v>
      </x:c>
      <x:c r="B825" s="14" t="str">
        <x:v>SKU-0075</x:v>
      </x:c>
      <x:c r="C825" s="52" t="n">
        <x:v>11</x:v>
      </x:c>
      <x:c r="D825" s="40" t="n">
        <x:v>24.24</x:v>
      </x:c>
      <x:c r="E825" s="44" t="n">
        <x:f>C825*D825</x:f>
        <x:v>266.64</x:v>
      </x:c>
      <x:c r="F825" s="40" t="n">
        <x:v>13.66</x:v>
      </x:c>
      <x:c r="G825" s="44" t="n">
        <x:f>C825*F825</x:f>
        <x:v>150.26</x:v>
      </x:c>
      <x:c r="H825" s="44" t="n">
        <x:f>E825-G825</x:f>
        <x:v>116.38</x:v>
      </x:c>
      <x:c r="I825" s="14" t="str">
        <x:v>Enterprise</x:v>
      </x:c>
      <x:c r="J825" s="14" t="str">
        <x:v>Northeast</x:v>
      </x:c>
    </x:row>
    <x:row r="826">
      <x:c r="A826" s="50" t="n">
        <x:v>46158</x:v>
      </x:c>
      <x:c r="B826" s="14" t="str">
        <x:v>SKU-0065</x:v>
      </x:c>
      <x:c r="C826" s="52" t="n">
        <x:v>2</x:v>
      </x:c>
      <x:c r="D826" s="40" t="n">
        <x:v>65.63</x:v>
      </x:c>
      <x:c r="E826" s="44" t="n">
        <x:f>C826*D826</x:f>
        <x:v>131.26</x:v>
      </x:c>
      <x:c r="F826" s="40" t="n">
        <x:v>52.3</x:v>
      </x:c>
      <x:c r="G826" s="44" t="n">
        <x:f>C826*F826</x:f>
        <x:v>104.6</x:v>
      </x:c>
      <x:c r="H826" s="44" t="n">
        <x:f>E826-G826</x:f>
        <x:v>26.659999999999997</x:v>
      </x:c>
      <x:c r="I826" s="14" t="str">
        <x:v>SMB</x:v>
      </x:c>
      <x:c r="J826" s="14" t="str">
        <x:v>West</x:v>
      </x:c>
    </x:row>
    <x:row r="827">
      <x:c r="A827" s="50" t="n">
        <x:v>46067</x:v>
      </x:c>
      <x:c r="B827" s="14" t="str">
        <x:v>SKU-0078</x:v>
      </x:c>
      <x:c r="C827" s="52" t="n">
        <x:v>15</x:v>
      </x:c>
      <x:c r="D827" s="40" t="n">
        <x:v>28.57</x:v>
      </x:c>
      <x:c r="E827" s="44" t="n">
        <x:f>C827*D827</x:f>
        <x:v>428.55</x:v>
      </x:c>
      <x:c r="F827" s="40" t="n">
        <x:v>17.54</x:v>
      </x:c>
      <x:c r="G827" s="44" t="n">
        <x:f>C827*F827</x:f>
        <x:v>263.09999999999997</x:v>
      </x:c>
      <x:c r="H827" s="44" t="n">
        <x:f>E827-G827</x:f>
        <x:v>165.45000000000005</x:v>
      </x:c>
      <x:c r="I827" s="14" t="str">
        <x:v>Distributor</x:v>
      </x:c>
      <x:c r="J827" s="14" t="str">
        <x:v>Midwest</x:v>
      </x:c>
    </x:row>
    <x:row r="828">
      <x:c r="A828" s="50" t="n">
        <x:v>46137</x:v>
      </x:c>
      <x:c r="B828" s="14" t="str">
        <x:v>SKU-0139</x:v>
      </x:c>
      <x:c r="C828" s="52" t="n">
        <x:v>3</x:v>
      </x:c>
      <x:c r="D828" s="40" t="n">
        <x:v>269.38</x:v>
      </x:c>
      <x:c r="E828" s="44" t="n">
        <x:f>C828*D828</x:f>
        <x:v>808.14</x:v>
      </x:c>
      <x:c r="F828" s="40" t="n">
        <x:v>157.6</x:v>
      </x:c>
      <x:c r="G828" s="44" t="n">
        <x:f>C828*F828</x:f>
        <x:v>472.79999999999995</x:v>
      </x:c>
      <x:c r="H828" s="44" t="n">
        <x:f>E828-G828</x:f>
        <x:v>335.34000000000003</x:v>
      </x:c>
      <x:c r="I828" s="14" t="str">
        <x:v>Internal Use</x:v>
      </x:c>
      <x:c r="J828" s="14" t="str">
        <x:v>Midwest</x:v>
      </x:c>
    </x:row>
    <x:row r="829">
      <x:c r="A829" s="50" t="n">
        <x:v>45984</x:v>
      </x:c>
      <x:c r="B829" s="14" t="str">
        <x:v>SKU-0021</x:v>
      </x:c>
      <x:c r="C829" s="52" t="n">
        <x:v>9</x:v>
      </x:c>
      <x:c r="D829" s="40" t="n">
        <x:v>335.71</x:v>
      </x:c>
      <x:c r="E829" s="44" t="n">
        <x:f>C829*D829</x:f>
        <x:v>3021.39</x:v>
      </x:c>
      <x:c r="F829" s="40" t="n">
        <x:v>269.12</x:v>
      </x:c>
      <x:c r="G829" s="44" t="n">
        <x:f>C829*F829</x:f>
        <x:v>2422.08</x:v>
      </x:c>
      <x:c r="H829" s="44" t="n">
        <x:f>E829-G829</x:f>
        <x:v>599.31</x:v>
      </x:c>
      <x:c r="I829" s="14" t="str">
        <x:v>Enterprise</x:v>
      </x:c>
      <x:c r="J829" s="14" t="str">
        <x:v>Midwest</x:v>
      </x:c>
    </x:row>
    <x:row r="830">
      <x:c r="A830" s="50" t="n">
        <x:v>45898</x:v>
      </x:c>
      <x:c r="B830" s="14" t="str">
        <x:v>SKU-0037</x:v>
      </x:c>
      <x:c r="C830" s="52" t="n">
        <x:v>13</x:v>
      </x:c>
      <x:c r="D830" s="40" t="n">
        <x:v>161.2</x:v>
      </x:c>
      <x:c r="E830" s="44" t="n">
        <x:f>C830*D830</x:f>
        <x:v>2095.6</x:v>
      </x:c>
      <x:c r="F830" s="40" t="n">
        <x:v>115.83</x:v>
      </x:c>
      <x:c r="G830" s="44" t="n">
        <x:f>C830*F830</x:f>
        <x:v>1505.79</x:v>
      </x:c>
      <x:c r="H830" s="44" t="n">
        <x:f>E830-G830</x:f>
        <x:v>589.81</x:v>
      </x:c>
      <x:c r="I830" s="14" t="str">
        <x:v>Internal Use</x:v>
      </x:c>
      <x:c r="J830" s="14" t="str">
        <x:v>Northeast</x:v>
      </x:c>
    </x:row>
    <x:row r="831">
      <x:c r="A831" s="50" t="n">
        <x:v>46022</x:v>
      </x:c>
      <x:c r="B831" s="14" t="str">
        <x:v>SKU-0070</x:v>
      </x:c>
      <x:c r="C831" s="52" t="n">
        <x:v>10</x:v>
      </x:c>
      <x:c r="D831" s="40" t="n">
        <x:v>120.41</x:v>
      </x:c>
      <x:c r="E831" s="44" t="n">
        <x:f>C831*D831</x:f>
        <x:v>1204.1</x:v>
      </x:c>
      <x:c r="F831" s="40" t="n">
        <x:v>69.06</x:v>
      </x:c>
      <x:c r="G831" s="44" t="n">
        <x:f>C831*F831</x:f>
        <x:v>690.6</x:v>
      </x:c>
      <x:c r="H831" s="44" t="n">
        <x:f>E831-G831</x:f>
        <x:v>513.4999999999999</x:v>
      </x:c>
      <x:c r="I831" s="14" t="str">
        <x:v>Enterprise</x:v>
      </x:c>
      <x:c r="J831" s="14" t="str">
        <x:v>Midwest</x:v>
      </x:c>
    </x:row>
    <x:row r="832">
      <x:c r="A832" s="50" t="n">
        <x:v>46133</x:v>
      </x:c>
      <x:c r="B832" s="14" t="str">
        <x:v>SKU-0099</x:v>
      </x:c>
      <x:c r="C832" s="52" t="n">
        <x:v>3</x:v>
      </x:c>
      <x:c r="D832" s="40" t="n">
        <x:v>199.56</x:v>
      </x:c>
      <x:c r="E832" s="44" t="n">
        <x:f>C832*D832</x:f>
        <x:v>598.6800000000001</x:v>
      </x:c>
      <x:c r="F832" s="40" t="n">
        <x:v>104</x:v>
      </x:c>
      <x:c r="G832" s="44" t="n">
        <x:f>C832*F832</x:f>
        <x:v>312</x:v>
      </x:c>
      <x:c r="H832" s="44" t="n">
        <x:f>E832-G832</x:f>
        <x:v>286.68000000000006</x:v>
      </x:c>
      <x:c r="I832" s="14" t="str">
        <x:v>SMB</x:v>
      </x:c>
      <x:c r="J832" s="14" t="str">
        <x:v>Southeast</x:v>
      </x:c>
    </x:row>
    <x:row r="833">
      <x:c r="A833" s="50" t="n">
        <x:v>45974</x:v>
      </x:c>
      <x:c r="B833" s="14" t="str">
        <x:v>SKU-0098</x:v>
      </x:c>
      <x:c r="C833" s="52" t="n">
        <x:v>14</x:v>
      </x:c>
      <x:c r="D833" s="40" t="n">
        <x:v>385.64</x:v>
      </x:c>
      <x:c r="E833" s="44" t="n">
        <x:f>C833*D833</x:f>
        <x:v>5398.96</x:v>
      </x:c>
      <x:c r="F833" s="40" t="n">
        <x:v>270.95</x:v>
      </x:c>
      <x:c r="G833" s="44" t="n">
        <x:f>C833*F833</x:f>
        <x:v>3793.2999999999997</x:v>
      </x:c>
      <x:c r="H833" s="44" t="n">
        <x:f>E833-G833</x:f>
        <x:v>1605.6600000000003</x:v>
      </x:c>
      <x:c r="I833" s="14" t="str">
        <x:v>Enterprise</x:v>
      </x:c>
      <x:c r="J833" s="14" t="str">
        <x:v>Midwest</x:v>
      </x:c>
    </x:row>
    <x:row r="834">
      <x:c r="A834" s="50" t="n">
        <x:v>46191</x:v>
      </x:c>
      <x:c r="B834" s="14" t="str">
        <x:v>SKU-0007</x:v>
      </x:c>
      <x:c r="C834" s="52" t="n">
        <x:v>15</x:v>
      </x:c>
      <x:c r="D834" s="40" t="n">
        <x:v>197.54</x:v>
      </x:c>
      <x:c r="E834" s="44" t="n">
        <x:f>C834*D834</x:f>
        <x:v>2963.1</x:v>
      </x:c>
      <x:c r="F834" s="40" t="n">
        <x:v>123.15</x:v>
      </x:c>
      <x:c r="G834" s="44" t="n">
        <x:f>C834*F834</x:f>
        <x:v>1847.25</x:v>
      </x:c>
      <x:c r="H834" s="44" t="n">
        <x:f>E834-G834</x:f>
        <x:v>1115.85</x:v>
      </x:c>
      <x:c r="I834" s="14" t="str">
        <x:v>Distributor</x:v>
      </x:c>
      <x:c r="J834" s="14" t="str">
        <x:v>Southeast</x:v>
      </x:c>
    </x:row>
    <x:row r="835">
      <x:c r="A835" s="50" t="n">
        <x:v>46054</x:v>
      </x:c>
      <x:c r="B835" s="14" t="str">
        <x:v>SKU-0008</x:v>
      </x:c>
      <x:c r="C835" s="52" t="n">
        <x:v>20</x:v>
      </x:c>
      <x:c r="D835" s="40" t="n">
        <x:v>199.42</x:v>
      </x:c>
      <x:c r="E835" s="44" t="n">
        <x:f>C835*D835</x:f>
        <x:v>3988.3999999999996</x:v>
      </x:c>
      <x:c r="F835" s="40" t="n">
        <x:v>143.38</x:v>
      </x:c>
      <x:c r="G835" s="44" t="n">
        <x:f>C835*F835</x:f>
        <x:v>2867.6</x:v>
      </x:c>
      <x:c r="H835" s="44" t="n">
        <x:f>E835-G835</x:f>
        <x:v>1120.7999999999997</x:v>
      </x:c>
      <x:c r="I835" s="14" t="str">
        <x:v>Enterprise</x:v>
      </x:c>
      <x:c r="J835" s="14" t="str">
        <x:v>Northeast</x:v>
      </x:c>
    </x:row>
    <x:row r="836">
      <x:c r="A836" s="50" t="n">
        <x:v>46078</x:v>
      </x:c>
      <x:c r="B836" s="14" t="str">
        <x:v>SKU-0142</x:v>
      </x:c>
      <x:c r="C836" s="52" t="n">
        <x:v>9</x:v>
      </x:c>
      <x:c r="D836" s="40" t="n">
        <x:v>188.33</x:v>
      </x:c>
      <x:c r="E836" s="44" t="n">
        <x:f>C836*D836</x:f>
        <x:v>1694.97</x:v>
      </x:c>
      <x:c r="F836" s="40" t="n">
        <x:v>95.95</x:v>
      </x:c>
      <x:c r="G836" s="44" t="n">
        <x:f>C836*F836</x:f>
        <x:v>863.5500000000001</x:v>
      </x:c>
      <x:c r="H836" s="44" t="n">
        <x:f>E836-G836</x:f>
        <x:v>831.42</x:v>
      </x:c>
      <x:c r="I836" s="14" t="str">
        <x:v>Distributor</x:v>
      </x:c>
      <x:c r="J836" s="14" t="str">
        <x:v>Southeast</x:v>
      </x:c>
    </x:row>
    <x:row r="837">
      <x:c r="A837" s="50" t="n">
        <x:v>46119</x:v>
      </x:c>
      <x:c r="B837" s="14" t="str">
        <x:v>SKU-0098</x:v>
      </x:c>
      <x:c r="C837" s="52" t="n">
        <x:v>4</x:v>
      </x:c>
      <x:c r="D837" s="40" t="n">
        <x:v>378.83</x:v>
      </x:c>
      <x:c r="E837" s="44" t="n">
        <x:f>C837*D837</x:f>
        <x:v>1515.32</x:v>
      </x:c>
      <x:c r="F837" s="40" t="n">
        <x:v>270.95</x:v>
      </x:c>
      <x:c r="G837" s="44" t="n">
        <x:f>C837*F837</x:f>
        <x:v>1083.8</x:v>
      </x:c>
      <x:c r="H837" s="44" t="n">
        <x:f>E837-G837</x:f>
        <x:v>431.52</x:v>
      </x:c>
      <x:c r="I837" s="14" t="str">
        <x:v>Distributor</x:v>
      </x:c>
      <x:c r="J837" s="14" t="str">
        <x:v>West</x:v>
      </x:c>
    </x:row>
    <x:row r="838">
      <x:c r="A838" s="50" t="n">
        <x:v>46195</x:v>
      </x:c>
      <x:c r="B838" s="14" t="str">
        <x:v>SKU-0010</x:v>
      </x:c>
      <x:c r="C838" s="52" t="n">
        <x:v>5</x:v>
      </x:c>
      <x:c r="D838" s="40" t="n">
        <x:v>162.55</x:v>
      </x:c>
      <x:c r="E838" s="44" t="n">
        <x:f>C838*D838</x:f>
        <x:v>812.75</x:v>
      </x:c>
      <x:c r="F838" s="40" t="n">
        <x:v>137.36</x:v>
      </x:c>
      <x:c r="G838" s="44" t="n">
        <x:f>C838*F838</x:f>
        <x:v>686.8000000000001</x:v>
      </x:c>
      <x:c r="H838" s="44" t="n">
        <x:f>E838-G838</x:f>
        <x:v>125.94999999999993</x:v>
      </x:c>
      <x:c r="I838" s="14" t="str">
        <x:v>Enterprise</x:v>
      </x:c>
      <x:c r="J838" s="14" t="str">
        <x:v>Northeast</x:v>
      </x:c>
    </x:row>
    <x:row r="839">
      <x:c r="A839" s="50" t="n">
        <x:v>46171</x:v>
      </x:c>
      <x:c r="B839" s="14" t="str">
        <x:v>SKU-0079</x:v>
      </x:c>
      <x:c r="C839" s="52" t="n">
        <x:v>34</x:v>
      </x:c>
      <x:c r="D839" s="40" t="n">
        <x:v>235.71</x:v>
      </x:c>
      <x:c r="E839" s="44" t="n">
        <x:f>C839*D839</x:f>
        <x:v>8014.14</x:v>
      </x:c>
      <x:c r="F839" s="40" t="n">
        <x:v>124.08</x:v>
      </x:c>
      <x:c r="G839" s="44" t="n">
        <x:f>C839*F839</x:f>
        <x:v>4218.72</x:v>
      </x:c>
      <x:c r="H839" s="44" t="n">
        <x:f>E839-G839</x:f>
        <x:v>3795.42</x:v>
      </x:c>
      <x:c r="I839" s="14" t="str">
        <x:v>Internal Use</x:v>
      </x:c>
      <x:c r="J839" s="14" t="str">
        <x:v>West</x:v>
      </x:c>
    </x:row>
    <x:row r="840">
      <x:c r="A840" s="50" t="n">
        <x:v>46105</x:v>
      </x:c>
      <x:c r="B840" s="14" t="str">
        <x:v>SKU-0005</x:v>
      </x:c>
      <x:c r="C840" s="52" t="n">
        <x:v>5</x:v>
      </x:c>
      <x:c r="D840" s="40" t="n">
        <x:v>345.23</x:v>
      </x:c>
      <x:c r="E840" s="44" t="n">
        <x:f>C840*D840</x:f>
        <x:v>1726.15</x:v>
      </x:c>
      <x:c r="F840" s="40" t="n">
        <x:v>176.62</x:v>
      </x:c>
      <x:c r="G840" s="44" t="n">
        <x:f>C840*F840</x:f>
        <x:v>883.1</x:v>
      </x:c>
      <x:c r="H840" s="44" t="n">
        <x:f>E840-G840</x:f>
        <x:v>843.0500000000001</x:v>
      </x:c>
      <x:c r="I840" s="14" t="str">
        <x:v>Internal Use</x:v>
      </x:c>
      <x:c r="J840" s="14" t="str">
        <x:v>Northeast</x:v>
      </x:c>
    </x:row>
    <x:row r="841">
      <x:c r="A841" s="50" t="n">
        <x:v>45920</x:v>
      </x:c>
      <x:c r="B841" s="14" t="str">
        <x:v>SKU-0149</x:v>
      </x:c>
      <x:c r="C841" s="52" t="n">
        <x:v>4</x:v>
      </x:c>
      <x:c r="D841" s="40" t="n">
        <x:v>385.86</x:v>
      </x:c>
      <x:c r="E841" s="44" t="n">
        <x:f>C841*D841</x:f>
        <x:v>1543.44</x:v>
      </x:c>
      <x:c r="F841" s="40" t="n">
        <x:v>257.08</x:v>
      </x:c>
      <x:c r="G841" s="44" t="n">
        <x:f>C841*F841</x:f>
        <x:v>1028.32</x:v>
      </x:c>
      <x:c r="H841" s="44" t="n">
        <x:f>E841-G841</x:f>
        <x:v>515.1200000000001</x:v>
      </x:c>
      <x:c r="I841" s="14" t="str">
        <x:v>Enterprise</x:v>
      </x:c>
      <x:c r="J841" s="14" t="str">
        <x:v>West</x:v>
      </x:c>
    </x:row>
    <x:row r="842">
      <x:c r="A842" s="50" t="n">
        <x:v>46012</x:v>
      </x:c>
      <x:c r="B842" s="14" t="str">
        <x:v>SKU-0047</x:v>
      </x:c>
      <x:c r="C842" s="52" t="n">
        <x:v>14</x:v>
      </x:c>
      <x:c r="D842" s="40" t="n">
        <x:v>362.42</x:v>
      </x:c>
      <x:c r="E842" s="44" t="n">
        <x:f>C842*D842</x:f>
        <x:v>5073.88</x:v>
      </x:c>
      <x:c r="F842" s="40" t="n">
        <x:v>233.63</x:v>
      </x:c>
      <x:c r="G842" s="44" t="n">
        <x:f>C842*F842</x:f>
        <x:v>3270.8199999999997</x:v>
      </x:c>
      <x:c r="H842" s="44" t="n">
        <x:f>E842-G842</x:f>
        <x:v>1803.0600000000004</x:v>
      </x:c>
      <x:c r="I842" s="14" t="str">
        <x:v>SMB</x:v>
      </x:c>
      <x:c r="J842" s="14" t="str">
        <x:v>Southeast</x:v>
      </x:c>
    </x:row>
    <x:row r="843">
      <x:c r="A843" s="50" t="n">
        <x:v>45955</x:v>
      </x:c>
      <x:c r="B843" s="14" t="str">
        <x:v>SKU-0045</x:v>
      </x:c>
      <x:c r="C843" s="52" t="n">
        <x:v>39</x:v>
      </x:c>
      <x:c r="D843" s="40" t="n">
        <x:v>100</x:v>
      </x:c>
      <x:c r="E843" s="44" t="n">
        <x:f>C843*D843</x:f>
        <x:v>3900</x:v>
      </x:c>
      <x:c r="F843" s="40" t="n">
        <x:v>68.89</x:v>
      </x:c>
      <x:c r="G843" s="44" t="n">
        <x:f>C843*F843</x:f>
        <x:v>2686.71</x:v>
      </x:c>
      <x:c r="H843" s="44" t="n">
        <x:f>E843-G843</x:f>
        <x:v>1213.29</x:v>
      </x:c>
      <x:c r="I843" s="14" t="str">
        <x:v>Enterprise</x:v>
      </x:c>
      <x:c r="J843" s="14" t="str">
        <x:v>Southeast</x:v>
      </x:c>
    </x:row>
    <x:row r="844">
      <x:c r="A844" s="50" t="n">
        <x:v>46105</x:v>
      </x:c>
      <x:c r="B844" s="14" t="str">
        <x:v>SKU-0130</x:v>
      </x:c>
      <x:c r="C844" s="52" t="n">
        <x:v>10</x:v>
      </x:c>
      <x:c r="D844" s="40" t="n">
        <x:v>98.7</x:v>
      </x:c>
      <x:c r="E844" s="44" t="n">
        <x:f>C844*D844</x:f>
        <x:v>987</x:v>
      </x:c>
      <x:c r="F844" s="40" t="n">
        <x:v>73.53</x:v>
      </x:c>
      <x:c r="G844" s="44" t="n">
        <x:f>C844*F844</x:f>
        <x:v>735.3</x:v>
      </x:c>
      <x:c r="H844" s="44" t="n">
        <x:f>E844-G844</x:f>
        <x:v>251.70000000000005</x:v>
      </x:c>
      <x:c r="I844" s="14" t="str">
        <x:v>Enterprise</x:v>
      </x:c>
      <x:c r="J844" s="14" t="str">
        <x:v>Midwest</x:v>
      </x:c>
    </x:row>
    <x:row r="845">
      <x:c r="A845" s="50" t="n">
        <x:v>45888</x:v>
      </x:c>
      <x:c r="B845" s="14" t="str">
        <x:v>SKU-0066</x:v>
      </x:c>
      <x:c r="C845" s="52" t="n">
        <x:v>50</x:v>
      </x:c>
      <x:c r="D845" s="40" t="n">
        <x:v>394.97</x:v>
      </x:c>
      <x:c r="E845" s="44" t="n">
        <x:f>C845*D845</x:f>
        <x:v>19748.5</x:v>
      </x:c>
      <x:c r="F845" s="40" t="n">
        <x:v>244.68</x:v>
      </x:c>
      <x:c r="G845" s="44" t="n">
        <x:f>C845*F845</x:f>
        <x:v>12234</x:v>
      </x:c>
      <x:c r="H845" s="44" t="n">
        <x:f>E845-G845</x:f>
        <x:v>7514.5</x:v>
      </x:c>
      <x:c r="I845" s="14" t="str">
        <x:v>Enterprise</x:v>
      </x:c>
      <x:c r="J845" s="14" t="str">
        <x:v>Southeast</x:v>
      </x:c>
    </x:row>
    <x:row r="846">
      <x:c r="A846" s="50" t="n">
        <x:v>45935</x:v>
      </x:c>
      <x:c r="B846" s="14" t="str">
        <x:v>SKU-0090</x:v>
      </x:c>
      <x:c r="C846" s="52" t="n">
        <x:v>3</x:v>
      </x:c>
      <x:c r="D846" s="40" t="n">
        <x:v>208.51</x:v>
      </x:c>
      <x:c r="E846" s="44" t="n">
        <x:f>C846*D846</x:f>
        <x:v>625.53</x:v>
      </x:c>
      <x:c r="F846" s="40" t="n">
        <x:v>116.84</x:v>
      </x:c>
      <x:c r="G846" s="44" t="n">
        <x:f>C846*F846</x:f>
        <x:v>350.52</x:v>
      </x:c>
      <x:c r="H846" s="44" t="n">
        <x:f>E846-G846</x:f>
        <x:v>275.01</x:v>
      </x:c>
      <x:c r="I846" s="14" t="str">
        <x:v>SMB</x:v>
      </x:c>
      <x:c r="J846" s="14" t="str">
        <x:v>Southeast</x:v>
      </x:c>
    </x:row>
    <x:row r="847">
      <x:c r="A847" s="50" t="n">
        <x:v>46172</x:v>
      </x:c>
      <x:c r="B847" s="14" t="str">
        <x:v>SKU-0084</x:v>
      </x:c>
      <x:c r="C847" s="52" t="n">
        <x:v>3</x:v>
      </x:c>
      <x:c r="D847" s="40" t="n">
        <x:v>219.19</x:v>
      </x:c>
      <x:c r="E847" s="44" t="n">
        <x:f>C847*D847</x:f>
        <x:v>657.5699999999999</x:v>
      </x:c>
      <x:c r="F847" s="40" t="n">
        <x:v>108.77</x:v>
      </x:c>
      <x:c r="G847" s="44" t="n">
        <x:f>C847*F847</x:f>
        <x:v>326.31</x:v>
      </x:c>
      <x:c r="H847" s="44" t="n">
        <x:f>E847-G847</x:f>
        <x:v>331.25999999999993</x:v>
      </x:c>
      <x:c r="I847" s="14" t="str">
        <x:v>Internal Use</x:v>
      </x:c>
      <x:c r="J847" s="14" t="str">
        <x:v>Midwest</x:v>
      </x:c>
    </x:row>
    <x:row r="848">
      <x:c r="A848" s="50" t="n">
        <x:v>45892</x:v>
      </x:c>
      <x:c r="B848" s="14" t="str">
        <x:v>SKU-0037</x:v>
      </x:c>
      <x:c r="C848" s="52" t="n">
        <x:v>2</x:v>
      </x:c>
      <x:c r="D848" s="40" t="n">
        <x:v>167.02</x:v>
      </x:c>
      <x:c r="E848" s="44" t="n">
        <x:f>C848*D848</x:f>
        <x:v>334.04</x:v>
      </x:c>
      <x:c r="F848" s="40" t="n">
        <x:v>115.83</x:v>
      </x:c>
      <x:c r="G848" s="44" t="n">
        <x:f>C848*F848</x:f>
        <x:v>231.66</x:v>
      </x:c>
      <x:c r="H848" s="44" t="n">
        <x:f>E848-G848</x:f>
        <x:v>102.38000000000002</x:v>
      </x:c>
      <x:c r="I848" s="14" t="str">
        <x:v>Internal Use</x:v>
      </x:c>
      <x:c r="J848" s="14" t="str">
        <x:v>Midwest</x:v>
      </x:c>
    </x:row>
    <x:row r="849">
      <x:c r="A849" s="50" t="n">
        <x:v>46030</x:v>
      </x:c>
      <x:c r="B849" s="14" t="str">
        <x:v>SKU-0121</x:v>
      </x:c>
      <x:c r="C849" s="52" t="n">
        <x:v>11</x:v>
      </x:c>
      <x:c r="D849" s="40" t="n">
        <x:v>116.88</x:v>
      </x:c>
      <x:c r="E849" s="44" t="n">
        <x:f>C849*D849</x:f>
        <x:v>1285.6799999999998</x:v>
      </x:c>
      <x:c r="F849" s="40" t="n">
        <x:v>88.98</x:v>
      </x:c>
      <x:c r="G849" s="44" t="n">
        <x:f>C849*F849</x:f>
        <x:v>978.7800000000001</x:v>
      </x:c>
      <x:c r="H849" s="44" t="n">
        <x:f>E849-G849</x:f>
        <x:v>306.89999999999975</x:v>
      </x:c>
      <x:c r="I849" s="14" t="str">
        <x:v>SMB</x:v>
      </x:c>
      <x:c r="J849" s="14" t="str">
        <x:v>Northeast</x:v>
      </x:c>
    </x:row>
    <x:row r="850">
      <x:c r="A850" s="50" t="n">
        <x:v>46191</x:v>
      </x:c>
      <x:c r="B850" s="14" t="str">
        <x:v>SKU-0028</x:v>
      </x:c>
      <x:c r="C850" s="52" t="n">
        <x:v>5</x:v>
      </x:c>
      <x:c r="D850" s="40" t="n">
        <x:v>365.93</x:v>
      </x:c>
      <x:c r="E850" s="44" t="n">
        <x:f>C850*D850</x:f>
        <x:v>1829.65</x:v>
      </x:c>
      <x:c r="F850" s="40" t="n">
        <x:v>274.39</x:v>
      </x:c>
      <x:c r="G850" s="44" t="n">
        <x:f>C850*F850</x:f>
        <x:v>1371.9499999999998</x:v>
      </x:c>
      <x:c r="H850" s="44" t="n">
        <x:f>E850-G850</x:f>
        <x:v>457.7000000000003</x:v>
      </x:c>
      <x:c r="I850" s="14" t="str">
        <x:v>Distributor</x:v>
      </x:c>
      <x:c r="J850" s="14" t="str">
        <x:v>Southeast</x:v>
      </x:c>
    </x:row>
    <x:row r="851">
      <x:c r="A851" s="50" t="n">
        <x:v>46178</x:v>
      </x:c>
      <x:c r="B851" s="14" t="str">
        <x:v>SKU-0097</x:v>
      </x:c>
      <x:c r="C851" s="52" t="n">
        <x:v>19</x:v>
      </x:c>
      <x:c r="D851" s="40" t="n">
        <x:v>273.15</x:v>
      </x:c>
      <x:c r="E851" s="44" t="n">
        <x:f>C851*D851</x:f>
        <x:v>5189.849999999999</x:v>
      </x:c>
      <x:c r="F851" s="40" t="n">
        <x:v>209.93</x:v>
      </x:c>
      <x:c r="G851" s="44" t="n">
        <x:f>C851*F851</x:f>
        <x:v>3988.67</x:v>
      </x:c>
      <x:c r="H851" s="44" t="n">
        <x:f>E851-G851</x:f>
        <x:v>1201.1799999999994</x:v>
      </x:c>
      <x:c r="I851" s="14" t="str">
        <x:v>Internal Use</x:v>
      </x:c>
      <x:c r="J851" s="14" t="str">
        <x:v>Northeast</x:v>
      </x:c>
    </x:row>
    <x:row r="852">
      <x:c r="A852" s="50" t="n">
        <x:v>45906</x:v>
      </x:c>
      <x:c r="B852" s="14" t="str">
        <x:v>SKU-0136</x:v>
      </x:c>
      <x:c r="C852" s="52" t="n">
        <x:v>13</x:v>
      </x:c>
      <x:c r="D852" s="40" t="n">
        <x:v>146.63</x:v>
      </x:c>
      <x:c r="E852" s="44" t="n">
        <x:f>C852*D852</x:f>
        <x:v>1906.19</x:v>
      </x:c>
      <x:c r="F852" s="40" t="n">
        <x:v>105.97</x:v>
      </x:c>
      <x:c r="G852" s="44" t="n">
        <x:f>C852*F852</x:f>
        <x:v>1377.61</x:v>
      </x:c>
      <x:c r="H852" s="44" t="n">
        <x:f>E852-G852</x:f>
        <x:v>528.5800000000002</x:v>
      </x:c>
      <x:c r="I852" s="14" t="str">
        <x:v>Distributor</x:v>
      </x:c>
      <x:c r="J852" s="14" t="str">
        <x:v>Midwest</x:v>
      </x:c>
    </x:row>
    <x:row r="853">
      <x:c r="A853" s="50" t="n">
        <x:v>46174</x:v>
      </x:c>
      <x:c r="B853" s="14" t="str">
        <x:v>SKU-0050</x:v>
      </x:c>
      <x:c r="C853" s="52" t="n">
        <x:v>6</x:v>
      </x:c>
      <x:c r="D853" s="40" t="n">
        <x:v>308.7</x:v>
      </x:c>
      <x:c r="E853" s="44" t="n">
        <x:f>C853*D853</x:f>
        <x:v>1852.1999999999998</x:v>
      </x:c>
      <x:c r="F853" s="40" t="n">
        <x:v>150.72</x:v>
      </x:c>
      <x:c r="G853" s="44" t="n">
        <x:f>C853*F853</x:f>
        <x:v>904.3199999999999</x:v>
      </x:c>
      <x:c r="H853" s="44" t="n">
        <x:f>E853-G853</x:f>
        <x:v>947.8799999999999</x:v>
      </x:c>
      <x:c r="I853" s="14" t="str">
        <x:v>Distributor</x:v>
      </x:c>
      <x:c r="J853" s="14" t="str">
        <x:v>Southeast</x:v>
      </x:c>
    </x:row>
    <x:row r="854">
      <x:c r="A854" s="50" t="n">
        <x:v>46041</x:v>
      </x:c>
      <x:c r="B854" s="14" t="str">
        <x:v>SKU-0117</x:v>
      </x:c>
      <x:c r="C854" s="52" t="n">
        <x:v>13</x:v>
      </x:c>
      <x:c r="D854" s="40" t="n">
        <x:v>176.97</x:v>
      </x:c>
      <x:c r="E854" s="44" t="n">
        <x:f>C854*D854</x:f>
        <x:v>2300.61</x:v>
      </x:c>
      <x:c r="F854" s="40" t="n">
        <x:v>143.31</x:v>
      </x:c>
      <x:c r="G854" s="44" t="n">
        <x:f>C854*F854</x:f>
        <x:v>1863.03</x:v>
      </x:c>
      <x:c r="H854" s="44" t="n">
        <x:f>E854-G854</x:f>
        <x:v>437.58000000000015</x:v>
      </x:c>
      <x:c r="I854" s="14" t="str">
        <x:v>Internal Use</x:v>
      </x:c>
      <x:c r="J854" s="14" t="str">
        <x:v>Midwest</x:v>
      </x:c>
    </x:row>
    <x:row r="855">
      <x:c r="A855" s="50" t="n">
        <x:v>46060</x:v>
      </x:c>
      <x:c r="B855" s="14" t="str">
        <x:v>SKU-0021</x:v>
      </x:c>
      <x:c r="C855" s="52" t="n">
        <x:v>9</x:v>
      </x:c>
      <x:c r="D855" s="40" t="n">
        <x:v>325.95</x:v>
      </x:c>
      <x:c r="E855" s="44" t="n">
        <x:f>C855*D855</x:f>
        <x:v>2933.5499999999997</x:v>
      </x:c>
      <x:c r="F855" s="40" t="n">
        <x:v>269.12</x:v>
      </x:c>
      <x:c r="G855" s="44" t="n">
        <x:f>C855*F855</x:f>
        <x:v>2422.08</x:v>
      </x:c>
      <x:c r="H855" s="44" t="n">
        <x:f>E855-G855</x:f>
        <x:v>511.4699999999998</x:v>
      </x:c>
      <x:c r="I855" s="14" t="str">
        <x:v>Internal Use</x:v>
      </x:c>
      <x:c r="J855" s="14" t="str">
        <x:v>Southeast</x:v>
      </x:c>
    </x:row>
    <x:row r="856">
      <x:c r="A856" s="50" t="n">
        <x:v>46094</x:v>
      </x:c>
      <x:c r="B856" s="14" t="str">
        <x:v>SKU-0115</x:v>
      </x:c>
      <x:c r="C856" s="52" t="n">
        <x:v>18</x:v>
      </x:c>
      <x:c r="D856" s="40" t="n">
        <x:v>35.07</x:v>
      </x:c>
      <x:c r="E856" s="44" t="n">
        <x:f>C856*D856</x:f>
        <x:v>631.26</x:v>
      </x:c>
      <x:c r="F856" s="40" t="n">
        <x:v>27.81</x:v>
      </x:c>
      <x:c r="G856" s="44" t="n">
        <x:f>C856*F856</x:f>
        <x:v>500.58</x:v>
      </x:c>
      <x:c r="H856" s="44" t="n">
        <x:f>E856-G856</x:f>
        <x:v>130.68</x:v>
      </x:c>
      <x:c r="I856" s="14" t="str">
        <x:v>Distributor</x:v>
      </x:c>
      <x:c r="J856" s="14" t="str">
        <x:v>Midwest</x:v>
      </x:c>
    </x:row>
    <x:row r="857">
      <x:c r="A857" s="50" t="n">
        <x:v>45940</x:v>
      </x:c>
      <x:c r="B857" s="14" t="str">
        <x:v>SKU-0081</x:v>
      </x:c>
      <x:c r="C857" s="52" t="n">
        <x:v>3</x:v>
      </x:c>
      <x:c r="D857" s="40" t="n">
        <x:v>317.63</x:v>
      </x:c>
      <x:c r="E857" s="44" t="n">
        <x:f>C857*D857</x:f>
        <x:v>952.89</x:v>
      </x:c>
      <x:c r="F857" s="40" t="n">
        <x:v>198.25</x:v>
      </x:c>
      <x:c r="G857" s="44" t="n">
        <x:f>C857*F857</x:f>
        <x:v>594.75</x:v>
      </x:c>
      <x:c r="H857" s="44" t="n">
        <x:f>E857-G857</x:f>
        <x:v>358.14</x:v>
      </x:c>
      <x:c r="I857" s="14" t="str">
        <x:v>Internal Use</x:v>
      </x:c>
      <x:c r="J857" s="14" t="str">
        <x:v>Southeast</x:v>
      </x:c>
    </x:row>
    <x:row r="858">
      <x:c r="A858" s="50" t="n">
        <x:v>46112</x:v>
      </x:c>
      <x:c r="B858" s="14" t="str">
        <x:v>SKU-0047</x:v>
      </x:c>
      <x:c r="C858" s="52" t="n">
        <x:v>4</x:v>
      </x:c>
      <x:c r="D858" s="40" t="n">
        <x:v>365.64</x:v>
      </x:c>
      <x:c r="E858" s="44" t="n">
        <x:f>C858*D858</x:f>
        <x:v>1462.56</x:v>
      </x:c>
      <x:c r="F858" s="40" t="n">
        <x:v>233.63</x:v>
      </x:c>
      <x:c r="G858" s="44" t="n">
        <x:f>C858*F858</x:f>
        <x:v>934.52</x:v>
      </x:c>
      <x:c r="H858" s="44" t="n">
        <x:f>E858-G858</x:f>
        <x:v>528.04</x:v>
      </x:c>
      <x:c r="I858" s="14" t="str">
        <x:v>Enterprise</x:v>
      </x:c>
      <x:c r="J858" s="14" t="str">
        <x:v>Southeast</x:v>
      </x:c>
    </x:row>
    <x:row r="859">
      <x:c r="A859" s="50" t="n">
        <x:v>46100</x:v>
      </x:c>
      <x:c r="B859" s="14" t="str">
        <x:v>SKU-0009</x:v>
      </x:c>
      <x:c r="C859" s="52" t="n">
        <x:v>2</x:v>
      </x:c>
      <x:c r="D859" s="40" t="n">
        <x:v>17.26</x:v>
      </x:c>
      <x:c r="E859" s="44" t="n">
        <x:f>C859*D859</x:f>
        <x:v>34.52</x:v>
      </x:c>
      <x:c r="F859" s="40" t="n">
        <x:v>7.9</x:v>
      </x:c>
      <x:c r="G859" s="44" t="n">
        <x:f>C859*F859</x:f>
        <x:v>15.8</x:v>
      </x:c>
      <x:c r="H859" s="44" t="n">
        <x:f>E859-G859</x:f>
        <x:v>18.720000000000002</x:v>
      </x:c>
      <x:c r="I859" s="14" t="str">
        <x:v>Internal Use</x:v>
      </x:c>
      <x:c r="J859" s="14" t="str">
        <x:v>West</x:v>
      </x:c>
    </x:row>
    <x:row r="860">
      <x:c r="A860" s="50" t="n">
        <x:v>45945</x:v>
      </x:c>
      <x:c r="B860" s="14" t="str">
        <x:v>SKU-0091</x:v>
      </x:c>
      <x:c r="C860" s="52" t="n">
        <x:v>6</x:v>
      </x:c>
      <x:c r="D860" s="40" t="n">
        <x:v>66.88</x:v>
      </x:c>
      <x:c r="E860" s="44" t="n">
        <x:f>C860*D860</x:f>
        <x:v>401.28</x:v>
      </x:c>
      <x:c r="F860" s="40" t="n">
        <x:v>42.22</x:v>
      </x:c>
      <x:c r="G860" s="44" t="n">
        <x:f>C860*F860</x:f>
        <x:v>253.32</x:v>
      </x:c>
      <x:c r="H860" s="44" t="n">
        <x:f>E860-G860</x:f>
        <x:v>147.95999999999998</x:v>
      </x:c>
      <x:c r="I860" s="14" t="str">
        <x:v>Enterprise</x:v>
      </x:c>
      <x:c r="J860" s="14" t="str">
        <x:v>Midwest</x:v>
      </x:c>
    </x:row>
    <x:row r="861">
      <x:c r="A861" s="50" t="n">
        <x:v>46182</x:v>
      </x:c>
      <x:c r="B861" s="14" t="str">
        <x:v>SKU-0087</x:v>
      </x:c>
      <x:c r="C861" s="52" t="n">
        <x:v>10</x:v>
      </x:c>
      <x:c r="D861" s="40" t="n">
        <x:v>350.59</x:v>
      </x:c>
      <x:c r="E861" s="44" t="n">
        <x:f>C861*D861</x:f>
        <x:v>3505.8999999999996</x:v>
      </x:c>
      <x:c r="F861" s="40" t="n">
        <x:v>194.73</x:v>
      </x:c>
      <x:c r="G861" s="44" t="n">
        <x:f>C861*F861</x:f>
        <x:v>1947.3</x:v>
      </x:c>
      <x:c r="H861" s="44" t="n">
        <x:f>E861-G861</x:f>
        <x:v>1558.5999999999997</x:v>
      </x:c>
      <x:c r="I861" s="14" t="str">
        <x:v>Enterprise</x:v>
      </x:c>
      <x:c r="J861" s="14" t="str">
        <x:v>Midwest</x:v>
      </x:c>
    </x:row>
    <x:row r="862">
      <x:c r="A862" s="50" t="n">
        <x:v>46089</x:v>
      </x:c>
      <x:c r="B862" s="14" t="str">
        <x:v>SKU-0115</x:v>
      </x:c>
      <x:c r="C862" s="52" t="n">
        <x:v>18</x:v>
      </x:c>
      <x:c r="D862" s="40" t="n">
        <x:v>34.16</x:v>
      </x:c>
      <x:c r="E862" s="44" t="n">
        <x:f>C862*D862</x:f>
        <x:v>614.8799999999999</x:v>
      </x:c>
      <x:c r="F862" s="40" t="n">
        <x:v>27.81</x:v>
      </x:c>
      <x:c r="G862" s="44" t="n">
        <x:f>C862*F862</x:f>
        <x:v>500.58</x:v>
      </x:c>
      <x:c r="H862" s="44" t="n">
        <x:f>E862-G862</x:f>
        <x:v>114.2999999999999</x:v>
      </x:c>
      <x:c r="I862" s="14" t="str">
        <x:v>Internal Use</x:v>
      </x:c>
      <x:c r="J862" s="14" t="str">
        <x:v>Southeast</x:v>
      </x:c>
    </x:row>
    <x:row r="863">
      <x:c r="A863" s="50" t="n">
        <x:v>46181</x:v>
      </x:c>
      <x:c r="B863" s="14" t="str">
        <x:v>SKU-0047</x:v>
      </x:c>
      <x:c r="C863" s="52" t="n">
        <x:v>11</x:v>
      </x:c>
      <x:c r="D863" s="40" t="n">
        <x:v>350.83</x:v>
      </x:c>
      <x:c r="E863" s="44" t="n">
        <x:f>C863*D863</x:f>
        <x:v>3859.1299999999997</x:v>
      </x:c>
      <x:c r="F863" s="40" t="n">
        <x:v>233.63</x:v>
      </x:c>
      <x:c r="G863" s="44" t="n">
        <x:f>C863*F863</x:f>
        <x:v>2569.93</x:v>
      </x:c>
      <x:c r="H863" s="44" t="n">
        <x:f>E863-G863</x:f>
        <x:v>1289.1999999999998</x:v>
      </x:c>
      <x:c r="I863" s="14" t="str">
        <x:v>Internal Use</x:v>
      </x:c>
      <x:c r="J863" s="14" t="str">
        <x:v>Midwest</x:v>
      </x:c>
    </x:row>
    <x:row r="864">
      <x:c r="A864" s="50" t="n">
        <x:v>45970</x:v>
      </x:c>
      <x:c r="B864" s="14" t="str">
        <x:v>SKU-0113</x:v>
      </x:c>
      <x:c r="C864" s="52" t="n">
        <x:v>9</x:v>
      </x:c>
      <x:c r="D864" s="40" t="n">
        <x:v>299.47</x:v>
      </x:c>
      <x:c r="E864" s="44" t="n">
        <x:f>C864*D864</x:f>
        <x:v>2695.2300000000005</x:v>
      </x:c>
      <x:c r="F864" s="40" t="n">
        <x:v>222.58</x:v>
      </x:c>
      <x:c r="G864" s="44" t="n">
        <x:f>C864*F864</x:f>
        <x:v>2003.22</x:v>
      </x:c>
      <x:c r="H864" s="44" t="n">
        <x:f>E864-G864</x:f>
        <x:v>692.0100000000004</x:v>
      </x:c>
      <x:c r="I864" s="14" t="str">
        <x:v>Enterprise</x:v>
      </x:c>
      <x:c r="J864" s="14" t="str">
        <x:v>Southeast</x:v>
      </x:c>
    </x:row>
    <x:row r="865">
      <x:c r="A865" s="50" t="n">
        <x:v>46132</x:v>
      </x:c>
      <x:c r="B865" s="14" t="str">
        <x:v>SKU-0077</x:v>
      </x:c>
      <x:c r="C865" s="52" t="n">
        <x:v>5</x:v>
      </x:c>
      <x:c r="D865" s="40" t="n">
        <x:v>16.72</x:v>
      </x:c>
      <x:c r="E865" s="44" t="n">
        <x:f>C865*D865</x:f>
        <x:v>83.6</x:v>
      </x:c>
      <x:c r="F865" s="40" t="n">
        <x:v>12.68</x:v>
      </x:c>
      <x:c r="G865" s="44" t="n">
        <x:f>C865*F865</x:f>
        <x:v>63.4</x:v>
      </x:c>
      <x:c r="H865" s="44" t="n">
        <x:f>E865-G865</x:f>
        <x:v>20.199999999999996</x:v>
      </x:c>
      <x:c r="I865" s="14" t="str">
        <x:v>Internal Use</x:v>
      </x:c>
      <x:c r="J865" s="14" t="str">
        <x:v>Midwest</x:v>
      </x:c>
    </x:row>
    <x:row r="866">
      <x:c r="A866" s="50" t="n">
        <x:v>46076</x:v>
      </x:c>
      <x:c r="B866" s="14" t="str">
        <x:v>SKU-0083</x:v>
      </x:c>
      <x:c r="C866" s="52" t="n">
        <x:v>6</x:v>
      </x:c>
      <x:c r="D866" s="40" t="n">
        <x:v>186.01</x:v>
      </x:c>
      <x:c r="E866" s="44" t="n">
        <x:f>C866*D866</x:f>
        <x:v>1116.06</x:v>
      </x:c>
      <x:c r="F866" s="40" t="n">
        <x:v>126.42</x:v>
      </x:c>
      <x:c r="G866" s="44" t="n">
        <x:f>C866*F866</x:f>
        <x:v>758.52</x:v>
      </x:c>
      <x:c r="H866" s="44" t="n">
        <x:f>E866-G866</x:f>
        <x:v>357.53999999999996</x:v>
      </x:c>
      <x:c r="I866" s="14" t="str">
        <x:v>SMB</x:v>
      </x:c>
      <x:c r="J866" s="14" t="str">
        <x:v>West</x:v>
      </x:c>
    </x:row>
    <x:row r="867">
      <x:c r="A867" s="50" t="n">
        <x:v>46022</x:v>
      </x:c>
      <x:c r="B867" s="14" t="str">
        <x:v>SKU-0133</x:v>
      </x:c>
      <x:c r="C867" s="52" t="n">
        <x:v>11</x:v>
      </x:c>
      <x:c r="D867" s="40" t="n">
        <x:v>270.43</x:v>
      </x:c>
      <x:c r="E867" s="44" t="n">
        <x:f>C867*D867</x:f>
        <x:v>2974.73</x:v>
      </x:c>
      <x:c r="F867" s="40" t="n">
        <x:v>233.3</x:v>
      </x:c>
      <x:c r="G867" s="44" t="n">
        <x:f>C867*F867</x:f>
        <x:v>2566.3</x:v>
      </x:c>
      <x:c r="H867" s="44" t="n">
        <x:f>E867-G867</x:f>
        <x:v>408.42999999999984</x:v>
      </x:c>
      <x:c r="I867" s="14" t="str">
        <x:v>Distributor</x:v>
      </x:c>
      <x:c r="J867" s="14" t="str">
        <x:v>Southeast</x:v>
      </x:c>
    </x:row>
    <x:row r="868">
      <x:c r="A868" s="50" t="n">
        <x:v>46027</x:v>
      </x:c>
      <x:c r="B868" s="14" t="str">
        <x:v>SKU-0031</x:v>
      </x:c>
      <x:c r="C868" s="52" t="n">
        <x:v>5</x:v>
      </x:c>
      <x:c r="D868" s="40" t="n">
        <x:v>315.03</x:v>
      </x:c>
      <x:c r="E868" s="44" t="n">
        <x:f>C868*D868</x:f>
        <x:v>1575.1499999999999</x:v>
      </x:c>
      <x:c r="F868" s="40" t="n">
        <x:v>247.09</x:v>
      </x:c>
      <x:c r="G868" s="44" t="n">
        <x:f>C868*F868</x:f>
        <x:v>1235.45</x:v>
      </x:c>
      <x:c r="H868" s="44" t="n">
        <x:f>E868-G868</x:f>
        <x:v>339.6999999999998</x:v>
      </x:c>
      <x:c r="I868" s="14" t="str">
        <x:v>Distributor</x:v>
      </x:c>
      <x:c r="J868" s="14" t="str">
        <x:v>Midwest</x:v>
      </x:c>
    </x:row>
    <x:row r="869">
      <x:c r="A869" s="50" t="n">
        <x:v>45998</x:v>
      </x:c>
      <x:c r="B869" s="14" t="str">
        <x:v>SKU-0028</x:v>
      </x:c>
      <x:c r="C869" s="52" t="n">
        <x:v>11</x:v>
      </x:c>
      <x:c r="D869" s="40" t="n">
        <x:v>338.2</x:v>
      </x:c>
      <x:c r="E869" s="44" t="n">
        <x:f>C869*D869</x:f>
        <x:v>3720.2</x:v>
      </x:c>
      <x:c r="F869" s="40" t="n">
        <x:v>274.39</x:v>
      </x:c>
      <x:c r="G869" s="44" t="n">
        <x:f>C869*F869</x:f>
        <x:v>3018.29</x:v>
      </x:c>
      <x:c r="H869" s="44" t="n">
        <x:f>E869-G869</x:f>
        <x:v>701.9099999999999</x:v>
      </x:c>
      <x:c r="I869" s="14" t="str">
        <x:v>SMB</x:v>
      </x:c>
      <x:c r="J869" s="14" t="str">
        <x:v>Northeast</x:v>
      </x:c>
    </x:row>
    <x:row r="870">
      <x:c r="A870" s="50" t="n">
        <x:v>46156</x:v>
      </x:c>
      <x:c r="B870" s="14" t="str">
        <x:v>SKU-0011</x:v>
      </x:c>
      <x:c r="C870" s="52" t="n">
        <x:v>9</x:v>
      </x:c>
      <x:c r="D870" s="40" t="n">
        <x:v>365.83</x:v>
      </x:c>
      <x:c r="E870" s="44" t="n">
        <x:f>C870*D870</x:f>
        <x:v>3292.47</x:v>
      </x:c>
      <x:c r="F870" s="40" t="n">
        <x:v>244.6</x:v>
      </x:c>
      <x:c r="G870" s="44" t="n">
        <x:f>C870*F870</x:f>
        <x:v>2201.4</x:v>
      </x:c>
      <x:c r="H870" s="44" t="n">
        <x:f>E870-G870</x:f>
        <x:v>1091.0699999999997</x:v>
      </x:c>
      <x:c r="I870" s="14" t="str">
        <x:v>Enterprise</x:v>
      </x:c>
      <x:c r="J870" s="14" t="str">
        <x:v>Midwest</x:v>
      </x:c>
    </x:row>
    <x:row r="871">
      <x:c r="A871" s="50" t="n">
        <x:v>46024</x:v>
      </x:c>
      <x:c r="B871" s="14" t="str">
        <x:v>SKU-0053</x:v>
      </x:c>
      <x:c r="C871" s="52" t="n">
        <x:v>37</x:v>
      </x:c>
      <x:c r="D871" s="40" t="n">
        <x:v>415.95</x:v>
      </x:c>
      <x:c r="E871" s="44" t="n">
        <x:f>C871*D871</x:f>
        <x:v>15390.15</x:v>
      </x:c>
      <x:c r="F871" s="40" t="n">
        <x:v>235.39</x:v>
      </x:c>
      <x:c r="G871" s="44" t="n">
        <x:f>C871*F871</x:f>
        <x:v>8709.43</x:v>
      </x:c>
      <x:c r="H871" s="44" t="n">
        <x:f>E871-G871</x:f>
        <x:v>6680.719999999999</x:v>
      </x:c>
      <x:c r="I871" s="14" t="str">
        <x:v>SMB</x:v>
      </x:c>
      <x:c r="J871" s="14" t="str">
        <x:v>West</x:v>
      </x:c>
    </x:row>
    <x:row r="872">
      <x:c r="A872" s="50" t="n">
        <x:v>45936</x:v>
      </x:c>
      <x:c r="B872" s="14" t="str">
        <x:v>SKU-0076</x:v>
      </x:c>
      <x:c r="C872" s="52" t="n">
        <x:v>8</x:v>
      </x:c>
      <x:c r="D872" s="40" t="n">
        <x:v>186.34</x:v>
      </x:c>
      <x:c r="E872" s="44" t="n">
        <x:f>C872*D872</x:f>
        <x:v>1490.72</x:v>
      </x:c>
      <x:c r="F872" s="40" t="n">
        <x:v>132.93</x:v>
      </x:c>
      <x:c r="G872" s="44" t="n">
        <x:f>C872*F872</x:f>
        <x:v>1063.44</x:v>
      </x:c>
      <x:c r="H872" s="44" t="n">
        <x:f>E872-G872</x:f>
        <x:v>427.28</x:v>
      </x:c>
      <x:c r="I872" s="14" t="str">
        <x:v>Distributor</x:v>
      </x:c>
      <x:c r="J872" s="14" t="str">
        <x:v>Northeast</x:v>
      </x:c>
    </x:row>
    <x:row r="873">
      <x:c r="A873" s="50" t="n">
        <x:v>45920</x:v>
      </x:c>
      <x:c r="B873" s="14" t="str">
        <x:v>SKU-0091</x:v>
      </x:c>
      <x:c r="C873" s="52" t="n">
        <x:v>13</x:v>
      </x:c>
      <x:c r="D873" s="40" t="n">
        <x:v>60.53</x:v>
      </x:c>
      <x:c r="E873" s="44" t="n">
        <x:f>C873*D873</x:f>
        <x:v>786.89</x:v>
      </x:c>
      <x:c r="F873" s="40" t="n">
        <x:v>42.22</x:v>
      </x:c>
      <x:c r="G873" s="44" t="n">
        <x:f>C873*F873</x:f>
        <x:v>548.86</x:v>
      </x:c>
      <x:c r="H873" s="44" t="n">
        <x:f>E873-G873</x:f>
        <x:v>238.02999999999997</x:v>
      </x:c>
      <x:c r="I873" s="14" t="str">
        <x:v>SMB</x:v>
      </x:c>
      <x:c r="J873" s="14" t="str">
        <x:v>Midwest</x:v>
      </x:c>
    </x:row>
    <x:row r="874">
      <x:c r="A874" s="50" t="n">
        <x:v>46112</x:v>
      </x:c>
      <x:c r="B874" s="14" t="str">
        <x:v>SKU-0071</x:v>
      </x:c>
      <x:c r="C874" s="52" t="n">
        <x:v>13</x:v>
      </x:c>
      <x:c r="D874" s="40" t="n">
        <x:v>374.85</x:v>
      </x:c>
      <x:c r="E874" s="44" t="n">
        <x:f>C874*D874</x:f>
        <x:v>4873.05</x:v>
      </x:c>
      <x:c r="F874" s="40" t="n">
        <x:v>198.68</x:v>
      </x:c>
      <x:c r="G874" s="44" t="n">
        <x:f>C874*F874</x:f>
        <x:v>2582.84</x:v>
      </x:c>
      <x:c r="H874" s="44" t="n">
        <x:f>E874-G874</x:f>
        <x:v>2290.21</x:v>
      </x:c>
      <x:c r="I874" s="14" t="str">
        <x:v>Distributor</x:v>
      </x:c>
      <x:c r="J874" s="14" t="str">
        <x:v>Northeast</x:v>
      </x:c>
    </x:row>
    <x:row r="875">
      <x:c r="A875" s="50" t="n">
        <x:v>45931</x:v>
      </x:c>
      <x:c r="B875" s="14" t="str">
        <x:v>SKU-0111</x:v>
      </x:c>
      <x:c r="C875" s="52" t="n">
        <x:v>1</x:v>
      </x:c>
      <x:c r="D875" s="40" t="n">
        <x:v>155.36</x:v>
      </x:c>
      <x:c r="E875" s="44" t="n">
        <x:f>C875*D875</x:f>
        <x:v>155.36</x:v>
      </x:c>
      <x:c r="F875" s="40" t="n">
        <x:v>120.79</x:v>
      </x:c>
      <x:c r="G875" s="44" t="n">
        <x:f>C875*F875</x:f>
        <x:v>120.79</x:v>
      </x:c>
      <x:c r="H875" s="44" t="n">
        <x:f>E875-G875</x:f>
        <x:v>34.57000000000001</x:v>
      </x:c>
      <x:c r="I875" s="14" t="str">
        <x:v>Enterprise</x:v>
      </x:c>
      <x:c r="J875" s="14" t="str">
        <x:v>Northeast</x:v>
      </x:c>
    </x:row>
    <x:row r="876">
      <x:c r="A876" s="50" t="n">
        <x:v>45950</x:v>
      </x:c>
      <x:c r="B876" s="14" t="str">
        <x:v>SKU-0063</x:v>
      </x:c>
      <x:c r="C876" s="52" t="n">
        <x:v>22</x:v>
      </x:c>
      <x:c r="D876" s="40" t="n">
        <x:v>259</x:v>
      </x:c>
      <x:c r="E876" s="44" t="n">
        <x:f>C876*D876</x:f>
        <x:v>5698</x:v>
      </x:c>
      <x:c r="F876" s="40" t="n">
        <x:v>197.54</x:v>
      </x:c>
      <x:c r="G876" s="44" t="n">
        <x:f>C876*F876</x:f>
        <x:v>4345.88</x:v>
      </x:c>
      <x:c r="H876" s="44" t="n">
        <x:f>E876-G876</x:f>
        <x:v>1352.12</x:v>
      </x:c>
      <x:c r="I876" s="14" t="str">
        <x:v>SMB</x:v>
      </x:c>
      <x:c r="J876" s="14" t="str">
        <x:v>Midwest</x:v>
      </x:c>
    </x:row>
    <x:row r="877">
      <x:c r="A877" s="50" t="n">
        <x:v>45957</x:v>
      </x:c>
      <x:c r="B877" s="14" t="str">
        <x:v>SKU-0121</x:v>
      </x:c>
      <x:c r="C877" s="52" t="n">
        <x:v>8</x:v>
      </x:c>
      <x:c r="D877" s="40" t="n">
        <x:v>125.62</x:v>
      </x:c>
      <x:c r="E877" s="44" t="n">
        <x:f>C877*D877</x:f>
        <x:v>1004.96</x:v>
      </x:c>
      <x:c r="F877" s="40" t="n">
        <x:v>88.98</x:v>
      </x:c>
      <x:c r="G877" s="44" t="n">
        <x:f>C877*F877</x:f>
        <x:v>711.84</x:v>
      </x:c>
      <x:c r="H877" s="44" t="n">
        <x:f>E877-G877</x:f>
        <x:v>293.12</x:v>
      </x:c>
      <x:c r="I877" s="14" t="str">
        <x:v>SMB</x:v>
      </x:c>
      <x:c r="J877" s="14" t="str">
        <x:v>Southeast</x:v>
      </x:c>
    </x:row>
    <x:row r="878">
      <x:c r="A878" s="50" t="n">
        <x:v>46144</x:v>
      </x:c>
      <x:c r="B878" s="14" t="str">
        <x:v>SKU-0023</x:v>
      </x:c>
      <x:c r="C878" s="52" t="n">
        <x:v>9</x:v>
      </x:c>
      <x:c r="D878" s="40" t="n">
        <x:v>92</x:v>
      </x:c>
      <x:c r="E878" s="44" t="n">
        <x:f>C878*D878</x:f>
        <x:v>828</x:v>
      </x:c>
      <x:c r="F878" s="40" t="n">
        <x:v>76.21</x:v>
      </x:c>
      <x:c r="G878" s="44" t="n">
        <x:f>C878*F878</x:f>
        <x:v>685.89</x:v>
      </x:c>
      <x:c r="H878" s="44" t="n">
        <x:f>E878-G878</x:f>
        <x:v>142.11</x:v>
      </x:c>
      <x:c r="I878" s="14" t="str">
        <x:v>Internal Use</x:v>
      </x:c>
      <x:c r="J878" s="14" t="str">
        <x:v>Midwest</x:v>
      </x:c>
    </x:row>
    <x:row r="879">
      <x:c r="A879" s="50" t="n">
        <x:v>46203</x:v>
      </x:c>
      <x:c r="B879" s="14" t="str">
        <x:v>SKU-0098</x:v>
      </x:c>
      <x:c r="C879" s="52" t="n">
        <x:v>12</x:v>
      </x:c>
      <x:c r="D879" s="40" t="n">
        <x:v>375.44</x:v>
      </x:c>
      <x:c r="E879" s="44" t="n">
        <x:f>C879*D879</x:f>
        <x:v>4505.28</x:v>
      </x:c>
      <x:c r="F879" s="40" t="n">
        <x:v>270.95</x:v>
      </x:c>
      <x:c r="G879" s="44" t="n">
        <x:f>C879*F879</x:f>
        <x:v>3251.3999999999996</x:v>
      </x:c>
      <x:c r="H879" s="44" t="n">
        <x:f>E879-G879</x:f>
        <x:v>1253.88</x:v>
      </x:c>
      <x:c r="I879" s="14" t="str">
        <x:v>SMB</x:v>
      </x:c>
      <x:c r="J879" s="14" t="str">
        <x:v>Midwest</x:v>
      </x:c>
    </x:row>
    <x:row r="880">
      <x:c r="A880" s="50" t="n">
        <x:v>46029</x:v>
      </x:c>
      <x:c r="B880" s="14" t="str">
        <x:v>SKU-0060</x:v>
      </x:c>
      <x:c r="C880" s="52" t="n">
        <x:v>14</x:v>
      </x:c>
      <x:c r="D880" s="40" t="n">
        <x:v>121.84</x:v>
      </x:c>
      <x:c r="E880" s="44" t="n">
        <x:f>C880*D880</x:f>
        <x:v>1705.76</x:v>
      </x:c>
      <x:c r="F880" s="40" t="n">
        <x:v>61.36</x:v>
      </x:c>
      <x:c r="G880" s="44" t="n">
        <x:f>C880*F880</x:f>
        <x:v>859.04</x:v>
      </x:c>
      <x:c r="H880" s="44" t="n">
        <x:f>E880-G880</x:f>
        <x:v>846.72</x:v>
      </x:c>
      <x:c r="I880" s="14" t="str">
        <x:v>Distributor</x:v>
      </x:c>
      <x:c r="J880" s="14" t="str">
        <x:v>West</x:v>
      </x:c>
    </x:row>
    <x:row r="881">
      <x:c r="A881" s="50" t="n">
        <x:v>45929</x:v>
      </x:c>
      <x:c r="B881" s="14" t="str">
        <x:v>SKU-0076</x:v>
      </x:c>
      <x:c r="C881" s="52" t="n">
        <x:v>7</x:v>
      </x:c>
      <x:c r="D881" s="40" t="n">
        <x:v>189.7</x:v>
      </x:c>
      <x:c r="E881" s="44" t="n">
        <x:f>C881*D881</x:f>
        <x:v>1327.8999999999999</x:v>
      </x:c>
      <x:c r="F881" s="40" t="n">
        <x:v>132.93</x:v>
      </x:c>
      <x:c r="G881" s="44" t="n">
        <x:f>C881*F881</x:f>
        <x:v>930.51</x:v>
      </x:c>
      <x:c r="H881" s="44" t="n">
        <x:f>E881-G881</x:f>
        <x:v>397.3899999999999</x:v>
      </x:c>
      <x:c r="I881" s="14" t="str">
        <x:v>Internal Use</x:v>
      </x:c>
      <x:c r="J881" s="14" t="str">
        <x:v>Northeast</x:v>
      </x:c>
    </x:row>
    <x:row r="882">
      <x:c r="A882" s="50" t="n">
        <x:v>46117</x:v>
      </x:c>
      <x:c r="B882" s="14" t="str">
        <x:v>SKU-0046</x:v>
      </x:c>
      <x:c r="C882" s="52" t="n">
        <x:v>6</x:v>
      </x:c>
      <x:c r="D882" s="40" t="n">
        <x:v>113</x:v>
      </x:c>
      <x:c r="E882" s="44" t="n">
        <x:f>C882*D882</x:f>
        <x:v>678</x:v>
      </x:c>
      <x:c r="F882" s="40" t="n">
        <x:v>66.68</x:v>
      </x:c>
      <x:c r="G882" s="44" t="n">
        <x:f>C882*F882</x:f>
        <x:v>400.08000000000004</x:v>
      </x:c>
      <x:c r="H882" s="44" t="n">
        <x:f>E882-G882</x:f>
        <x:v>277.91999999999996</x:v>
      </x:c>
      <x:c r="I882" s="14" t="str">
        <x:v>Internal Use</x:v>
      </x:c>
      <x:c r="J882" s="14" t="str">
        <x:v>West</x:v>
      </x:c>
    </x:row>
    <x:row r="883">
      <x:c r="A883" s="50" t="n">
        <x:v>46231</x:v>
      </x:c>
      <x:c r="B883" s="14" t="str">
        <x:v>SKU-0106</x:v>
      </x:c>
      <x:c r="C883" s="52" t="n">
        <x:v>5</x:v>
      </x:c>
      <x:c r="D883" s="40" t="n">
        <x:v>298.33</x:v>
      </x:c>
      <x:c r="E883" s="44" t="n">
        <x:f>C883*D883</x:f>
        <x:v>1491.6499999999999</x:v>
      </x:c>
      <x:c r="F883" s="40" t="n">
        <x:v>220.84</x:v>
      </x:c>
      <x:c r="G883" s="44" t="n">
        <x:f>C883*F883</x:f>
        <x:v>1104.2</x:v>
      </x:c>
      <x:c r="H883" s="44" t="n">
        <x:f>E883-G883</x:f>
        <x:v>387.4499999999998</x:v>
      </x:c>
      <x:c r="I883" s="14" t="str">
        <x:v>Internal Use</x:v>
      </x:c>
      <x:c r="J883" s="14" t="str">
        <x:v>Northeast</x:v>
      </x:c>
    </x:row>
    <x:row r="884">
      <x:c r="A884" s="50" t="n">
        <x:v>46045</x:v>
      </x:c>
      <x:c r="B884" s="14" t="str">
        <x:v>SKU-0144</x:v>
      </x:c>
      <x:c r="C884" s="52" t="n">
        <x:v>5</x:v>
      </x:c>
      <x:c r="D884" s="40" t="n">
        <x:v>152.21</x:v>
      </x:c>
      <x:c r="E884" s="44" t="n">
        <x:f>C884*D884</x:f>
        <x:v>761.0500000000001</x:v>
      </x:c>
      <x:c r="F884" s="40" t="n">
        <x:v>68.87</x:v>
      </x:c>
      <x:c r="G884" s="44" t="n">
        <x:f>C884*F884</x:f>
        <x:v>344.35</x:v>
      </x:c>
      <x:c r="H884" s="44" t="n">
        <x:f>E884-G884</x:f>
        <x:v>416.70000000000005</x:v>
      </x:c>
      <x:c r="I884" s="14" t="str">
        <x:v>Internal Use</x:v>
      </x:c>
      <x:c r="J884" s="14" t="str">
        <x:v>West</x:v>
      </x:c>
    </x:row>
    <x:row r="885">
      <x:c r="A885" s="50" t="n">
        <x:v>46013</x:v>
      </x:c>
      <x:c r="B885" s="14" t="str">
        <x:v>SKU-0103</x:v>
      </x:c>
      <x:c r="C885" s="52" t="n">
        <x:v>19</x:v>
      </x:c>
      <x:c r="D885" s="40" t="n">
        <x:v>277.51</x:v>
      </x:c>
      <x:c r="E885" s="44" t="n">
        <x:f>C885*D885</x:f>
        <x:v>5272.69</x:v>
      </x:c>
      <x:c r="F885" s="40" t="n">
        <x:v>208.48</x:v>
      </x:c>
      <x:c r="G885" s="44" t="n">
        <x:f>C885*F885</x:f>
        <x:v>3961.12</x:v>
      </x:c>
      <x:c r="H885" s="44" t="n">
        <x:f>E885-G885</x:f>
        <x:v>1311.5699999999997</x:v>
      </x:c>
      <x:c r="I885" s="14" t="str">
        <x:v>Distributor</x:v>
      </x:c>
      <x:c r="J885" s="14" t="str">
        <x:v>Northeast</x:v>
      </x:c>
    </x:row>
    <x:row r="886">
      <x:c r="A886" s="50" t="n">
        <x:v>46109</x:v>
      </x:c>
      <x:c r="B886" s="14" t="str">
        <x:v>SKU-0079</x:v>
      </x:c>
      <x:c r="C886" s="52" t="n">
        <x:v>6</x:v>
      </x:c>
      <x:c r="D886" s="40" t="n">
        <x:v>212.26</x:v>
      </x:c>
      <x:c r="E886" s="44" t="n">
        <x:f>C886*D886</x:f>
        <x:v>1273.56</x:v>
      </x:c>
      <x:c r="F886" s="40" t="n">
        <x:v>124.08</x:v>
      </x:c>
      <x:c r="G886" s="44" t="n">
        <x:f>C886*F886</x:f>
        <x:v>744.48</x:v>
      </x:c>
      <x:c r="H886" s="44" t="n">
        <x:f>E886-G886</x:f>
        <x:v>529.0799999999999</x:v>
      </x:c>
      <x:c r="I886" s="14" t="str">
        <x:v>SMB</x:v>
      </x:c>
      <x:c r="J886" s="14" t="str">
        <x:v>Northeast</x:v>
      </x:c>
    </x:row>
    <x:row r="887">
      <x:c r="A887" s="50" t="n">
        <x:v>45946</x:v>
      </x:c>
      <x:c r="B887" s="14" t="str">
        <x:v>SKU-0085</x:v>
      </x:c>
      <x:c r="C887" s="52" t="n">
        <x:v>10</x:v>
      </x:c>
      <x:c r="D887" s="40" t="n">
        <x:v>401.01</x:v>
      </x:c>
      <x:c r="E887" s="44" t="n">
        <x:f>C887*D887</x:f>
        <x:v>4010.1</x:v>
      </x:c>
      <x:c r="F887" s="40" t="n">
        <x:v>222.39</x:v>
      </x:c>
      <x:c r="G887" s="44" t="n">
        <x:f>C887*F887</x:f>
        <x:v>2223.8999999999996</x:v>
      </x:c>
      <x:c r="H887" s="44" t="n">
        <x:f>E887-G887</x:f>
        <x:v>1786.2000000000003</x:v>
      </x:c>
      <x:c r="I887" s="14" t="str">
        <x:v>Internal Use</x:v>
      </x:c>
      <x:c r="J887" s="14" t="str">
        <x:v>Northeast</x:v>
      </x:c>
    </x:row>
    <x:row r="888">
      <x:c r="A888" s="50" t="n">
        <x:v>46060</x:v>
      </x:c>
      <x:c r="B888" s="14" t="str">
        <x:v>SKU-0086</x:v>
      </x:c>
      <x:c r="C888" s="52" t="n">
        <x:v>20</x:v>
      </x:c>
      <x:c r="D888" s="40" t="n">
        <x:v>232.55</x:v>
      </x:c>
      <x:c r="E888" s="44" t="n">
        <x:f>C888*D888</x:f>
        <x:v>4651</x:v>
      </x:c>
      <x:c r="F888" s="40" t="n">
        <x:v>148.45</x:v>
      </x:c>
      <x:c r="G888" s="44" t="n">
        <x:f>C888*F888</x:f>
        <x:v>2969</x:v>
      </x:c>
      <x:c r="H888" s="44" t="n">
        <x:f>E888-G888</x:f>
        <x:v>1682</x:v>
      </x:c>
      <x:c r="I888" s="14" t="str">
        <x:v>SMB</x:v>
      </x:c>
      <x:c r="J888" s="14" t="str">
        <x:v>Midwest</x:v>
      </x:c>
    </x:row>
    <x:row r="889">
      <x:c r="A889" s="50" t="n">
        <x:v>45981</x:v>
      </x:c>
      <x:c r="B889" s="14" t="str">
        <x:v>SKU-0138</x:v>
      </x:c>
      <x:c r="C889" s="52" t="n">
        <x:v>5</x:v>
      </x:c>
      <x:c r="D889" s="40" t="n">
        <x:v>388.51</x:v>
      </x:c>
      <x:c r="E889" s="44" t="n">
        <x:f>C889*D889</x:f>
        <x:v>1942.55</x:v>
      </x:c>
      <x:c r="F889" s="40" t="n">
        <x:v>186.65</x:v>
      </x:c>
      <x:c r="G889" s="44" t="n">
        <x:f>C889*F889</x:f>
        <x:v>933.25</x:v>
      </x:c>
      <x:c r="H889" s="44" t="n">
        <x:f>E889-G889</x:f>
        <x:v>1009.3</x:v>
      </x:c>
      <x:c r="I889" s="14" t="str">
        <x:v>SMB</x:v>
      </x:c>
      <x:c r="J889" s="14" t="str">
        <x:v>Midwest</x:v>
      </x:c>
    </x:row>
    <x:row r="890">
      <x:c r="A890" s="50" t="n">
        <x:v>46091</x:v>
      </x:c>
      <x:c r="B890" s="14" t="str">
        <x:v>SKU-0085</x:v>
      </x:c>
      <x:c r="C890" s="52" t="n">
        <x:v>2</x:v>
      </x:c>
      <x:c r="D890" s="40" t="n">
        <x:v>414.01</x:v>
      </x:c>
      <x:c r="E890" s="44" t="n">
        <x:f>C890*D890</x:f>
        <x:v>828.02</x:v>
      </x:c>
      <x:c r="F890" s="40" t="n">
        <x:v>222.39</x:v>
      </x:c>
      <x:c r="G890" s="44" t="n">
        <x:f>C890*F890</x:f>
        <x:v>444.78</x:v>
      </x:c>
      <x:c r="H890" s="44" t="n">
        <x:f>E890-G890</x:f>
        <x:v>383.24</x:v>
      </x:c>
      <x:c r="I890" s="14" t="str">
        <x:v>Enterprise</x:v>
      </x:c>
      <x:c r="J890" s="14" t="str">
        <x:v>Northeast</x:v>
      </x:c>
    </x:row>
    <x:row r="891">
      <x:c r="A891" s="50" t="n">
        <x:v>45932</x:v>
      </x:c>
      <x:c r="B891" s="14" t="str">
        <x:v>SKU-0135</x:v>
      </x:c>
      <x:c r="C891" s="52" t="n">
        <x:v>9</x:v>
      </x:c>
      <x:c r="D891" s="40" t="n">
        <x:v>317.12</x:v>
      </x:c>
      <x:c r="E891" s="44" t="n">
        <x:f>C891*D891</x:f>
        <x:v>2854.08</x:v>
      </x:c>
      <x:c r="F891" s="40" t="n">
        <x:v>275.11</x:v>
      </x:c>
      <x:c r="G891" s="44" t="n">
        <x:f>C891*F891</x:f>
        <x:v>2475.9900000000002</x:v>
      </x:c>
      <x:c r="H891" s="44" t="n">
        <x:f>E891-G891</x:f>
        <x:v>378.0899999999997</x:v>
      </x:c>
      <x:c r="I891" s="14" t="str">
        <x:v>Distributor</x:v>
      </x:c>
      <x:c r="J891" s="14" t="str">
        <x:v>Midwest</x:v>
      </x:c>
    </x:row>
    <x:row r="892">
      <x:c r="A892" s="50" t="n">
        <x:v>45997</x:v>
      </x:c>
      <x:c r="B892" s="14" t="str">
        <x:v>SKU-0007</x:v>
      </x:c>
      <x:c r="C892" s="52" t="n">
        <x:v>16</x:v>
      </x:c>
      <x:c r="D892" s="40" t="n">
        <x:v>174.56</x:v>
      </x:c>
      <x:c r="E892" s="44" t="n">
        <x:f>C892*D892</x:f>
        <x:v>2792.96</x:v>
      </x:c>
      <x:c r="F892" s="40" t="n">
        <x:v>123.15</x:v>
      </x:c>
      <x:c r="G892" s="44" t="n">
        <x:f>C892*F892</x:f>
        <x:v>1970.4</x:v>
      </x:c>
      <x:c r="H892" s="44" t="n">
        <x:f>E892-G892</x:f>
        <x:v>822.56</x:v>
      </x:c>
      <x:c r="I892" s="14" t="str">
        <x:v>Enterprise</x:v>
      </x:c>
      <x:c r="J892" s="14" t="str">
        <x:v>West</x:v>
      </x:c>
    </x:row>
    <x:row r="893">
      <x:c r="A893" s="50" t="n">
        <x:v>45947</x:v>
      </x:c>
      <x:c r="B893" s="14" t="str">
        <x:v>SKU-0103</x:v>
      </x:c>
      <x:c r="C893" s="52" t="n">
        <x:v>9</x:v>
      </x:c>
      <x:c r="D893" s="40" t="n">
        <x:v>277.69</x:v>
      </x:c>
      <x:c r="E893" s="44" t="n">
        <x:f>C893*D893</x:f>
        <x:v>2499.21</x:v>
      </x:c>
      <x:c r="F893" s="40" t="n">
        <x:v>208.48</x:v>
      </x:c>
      <x:c r="G893" s="44" t="n">
        <x:f>C893*F893</x:f>
        <x:v>1876.32</x:v>
      </x:c>
      <x:c r="H893" s="44" t="n">
        <x:f>E893-G893</x:f>
        <x:v>622.8900000000001</x:v>
      </x:c>
      <x:c r="I893" s="14" t="str">
        <x:v>Enterprise</x:v>
      </x:c>
      <x:c r="J893" s="14" t="str">
        <x:v>Northeast</x:v>
      </x:c>
    </x:row>
    <x:row r="894">
      <x:c r="A894" s="50" t="n">
        <x:v>46189</x:v>
      </x:c>
      <x:c r="B894" s="14" t="str">
        <x:v>SKU-0139</x:v>
      </x:c>
      <x:c r="C894" s="52" t="n">
        <x:v>11</x:v>
      </x:c>
      <x:c r="D894" s="40" t="n">
        <x:v>287.06</x:v>
      </x:c>
      <x:c r="E894" s="44" t="n">
        <x:f>C894*D894</x:f>
        <x:v>3157.66</x:v>
      </x:c>
      <x:c r="F894" s="40" t="n">
        <x:v>157.6</x:v>
      </x:c>
      <x:c r="G894" s="44" t="n">
        <x:f>C894*F894</x:f>
        <x:v>1733.6</x:v>
      </x:c>
      <x:c r="H894" s="44" t="n">
        <x:f>E894-G894</x:f>
        <x:v>1424.06</x:v>
      </x:c>
      <x:c r="I894" s="14" t="str">
        <x:v>Distributor</x:v>
      </x:c>
      <x:c r="J894" s="14" t="str">
        <x:v>Midwest</x:v>
      </x:c>
    </x:row>
    <x:row r="895">
      <x:c r="A895" s="50" t="n">
        <x:v>46142</x:v>
      </x:c>
      <x:c r="B895" s="14" t="str">
        <x:v>SKU-0109</x:v>
      </x:c>
      <x:c r="C895" s="52" t="n">
        <x:v>14</x:v>
      </x:c>
      <x:c r="D895" s="40" t="n">
        <x:v>149.25</x:v>
      </x:c>
      <x:c r="E895" s="44" t="n">
        <x:f>C895*D895</x:f>
        <x:v>2089.5</x:v>
      </x:c>
      <x:c r="F895" s="40" t="n">
        <x:v>119.32</x:v>
      </x:c>
      <x:c r="G895" s="44" t="n">
        <x:f>C895*F895</x:f>
        <x:v>1670.48</x:v>
      </x:c>
      <x:c r="H895" s="44" t="n">
        <x:f>E895-G895</x:f>
        <x:v>419.02</x:v>
      </x:c>
      <x:c r="I895" s="14" t="str">
        <x:v>Enterprise</x:v>
      </x:c>
      <x:c r="J895" s="14" t="str">
        <x:v>Midwest</x:v>
      </x:c>
    </x:row>
    <x:row r="896">
      <x:c r="A896" s="50" t="n">
        <x:v>46121</x:v>
      </x:c>
      <x:c r="B896" s="14" t="str">
        <x:v>SKU-0148</x:v>
      </x:c>
      <x:c r="C896" s="52" t="n">
        <x:v>6</x:v>
      </x:c>
      <x:c r="D896" s="40" t="n">
        <x:v>387.91</x:v>
      </x:c>
      <x:c r="E896" s="44" t="n">
        <x:f>C896*D896</x:f>
        <x:v>2327.46</x:v>
      </x:c>
      <x:c r="F896" s="40" t="n">
        <x:v>278.48</x:v>
      </x:c>
      <x:c r="G896" s="44" t="n">
        <x:f>C896*F896</x:f>
        <x:v>1670.88</x:v>
      </x:c>
      <x:c r="H896" s="44" t="n">
        <x:f>E896-G896</x:f>
        <x:v>656.5799999999999</x:v>
      </x:c>
      <x:c r="I896" s="14" t="str">
        <x:v>Internal Use</x:v>
      </x:c>
      <x:c r="J896" s="14" t="str">
        <x:v>Midwest</x:v>
      </x:c>
    </x:row>
    <x:row r="897">
      <x:c r="A897" s="50" t="n">
        <x:v>46025</x:v>
      </x:c>
      <x:c r="B897" s="14" t="str">
        <x:v>SKU-0124</x:v>
      </x:c>
      <x:c r="C897" s="52" t="n">
        <x:v>29</x:v>
      </x:c>
      <x:c r="D897" s="40" t="n">
        <x:v>125.55</x:v>
      </x:c>
      <x:c r="E897" s="44" t="n">
        <x:f>C897*D897</x:f>
        <x:v>3640.95</x:v>
      </x:c>
      <x:c r="F897" s="40" t="n">
        <x:v>59.23</x:v>
      </x:c>
      <x:c r="G897" s="44" t="n">
        <x:f>C897*F897</x:f>
        <x:v>1717.6699999999998</x:v>
      </x:c>
      <x:c r="H897" s="44" t="n">
        <x:f>E897-G897</x:f>
        <x:v>1923.28</x:v>
      </x:c>
      <x:c r="I897" s="14" t="str">
        <x:v>Enterprise</x:v>
      </x:c>
      <x:c r="J897" s="14" t="str">
        <x:v>West</x:v>
      </x:c>
    </x:row>
    <x:row r="898">
      <x:c r="A898" s="50" t="n">
        <x:v>46070</x:v>
      </x:c>
      <x:c r="B898" s="14" t="str">
        <x:v>SKU-0101</x:v>
      </x:c>
      <x:c r="C898" s="52" t="n">
        <x:v>31</x:v>
      </x:c>
      <x:c r="D898" s="40" t="n">
        <x:v>77.85</x:v>
      </x:c>
      <x:c r="E898" s="44" t="n">
        <x:f>C898*D898</x:f>
        <x:v>2413.35</x:v>
      </x:c>
      <x:c r="F898" s="40" t="n">
        <x:v>63.93</x:v>
      </x:c>
      <x:c r="G898" s="44" t="n">
        <x:f>C898*F898</x:f>
        <x:v>1981.83</x:v>
      </x:c>
      <x:c r="H898" s="44" t="n">
        <x:f>E898-G898</x:f>
        <x:v>431.52</x:v>
      </x:c>
      <x:c r="I898" s="14" t="str">
        <x:v>Enterprise</x:v>
      </x:c>
      <x:c r="J898" s="14" t="str">
        <x:v>West</x:v>
      </x:c>
    </x:row>
    <x:row r="899">
      <x:c r="A899" s="50" t="n">
        <x:v>46108</x:v>
      </x:c>
      <x:c r="B899" s="14" t="str">
        <x:v>SKU-0060</x:v>
      </x:c>
      <x:c r="C899" s="52" t="n">
        <x:v>5</x:v>
      </x:c>
      <x:c r="D899" s="40" t="n">
        <x:v>122.07</x:v>
      </x:c>
      <x:c r="E899" s="44" t="n">
        <x:f>C899*D899</x:f>
        <x:v>610.3499999999999</x:v>
      </x:c>
      <x:c r="F899" s="40" t="n">
        <x:v>61.36</x:v>
      </x:c>
      <x:c r="G899" s="44" t="n">
        <x:f>C899*F899</x:f>
        <x:v>306.8</x:v>
      </x:c>
      <x:c r="H899" s="44" t="n">
        <x:f>E899-G899</x:f>
        <x:v>303.5499999999999</x:v>
      </x:c>
      <x:c r="I899" s="14" t="str">
        <x:v>Distributor</x:v>
      </x:c>
      <x:c r="J899" s="14" t="str">
        <x:v>Southeast</x:v>
      </x:c>
    </x:row>
    <x:row r="900">
      <x:c r="A900" s="50" t="n">
        <x:v>45928</x:v>
      </x:c>
      <x:c r="B900" s="14" t="str">
        <x:v>SKU-0022</x:v>
      </x:c>
      <x:c r="C900" s="52" t="n">
        <x:v>10</x:v>
      </x:c>
      <x:c r="D900" s="40" t="n">
        <x:v>304.76</x:v>
      </x:c>
      <x:c r="E900" s="44" t="n">
        <x:f>C900*D900</x:f>
        <x:v>3047.6</x:v>
      </x:c>
      <x:c r="F900" s="40" t="n">
        <x:v>167.48</x:v>
      </x:c>
      <x:c r="G900" s="44" t="n">
        <x:f>C900*F900</x:f>
        <x:v>1674.8</x:v>
      </x:c>
      <x:c r="H900" s="44" t="n">
        <x:f>E900-G900</x:f>
        <x:v>1372.8</x:v>
      </x:c>
      <x:c r="I900" s="14" t="str">
        <x:v>SMB</x:v>
      </x:c>
      <x:c r="J900" s="14" t="str">
        <x:v>Northeast</x:v>
      </x:c>
    </x:row>
    <x:row r="901">
      <x:c r="A901" s="50" t="n">
        <x:v>46086</x:v>
      </x:c>
      <x:c r="B901" s="14" t="str">
        <x:v>SKU-0037</x:v>
      </x:c>
      <x:c r="C901" s="52" t="n">
        <x:v>12</x:v>
      </x:c>
      <x:c r="D901" s="40" t="n">
        <x:v>177.25</x:v>
      </x:c>
      <x:c r="E901" s="44" t="n">
        <x:f>C901*D901</x:f>
        <x:v>2127</x:v>
      </x:c>
      <x:c r="F901" s="40" t="n">
        <x:v>115.83</x:v>
      </x:c>
      <x:c r="G901" s="44" t="n">
        <x:f>C901*F901</x:f>
        <x:v>1389.96</x:v>
      </x:c>
      <x:c r="H901" s="44" t="n">
        <x:f>E901-G901</x:f>
        <x:v>737.04</x:v>
      </x:c>
      <x:c r="I901" s="14" t="str">
        <x:v>SMB</x:v>
      </x:c>
      <x:c r="J901" s="14" t="str">
        <x:v>Northeast</x:v>
      </x:c>
    </x:row>
    <x:row r="902">
      <x:c r="A902" s="50" t="n">
        <x:v>46009</x:v>
      </x:c>
      <x:c r="B902" s="14" t="str">
        <x:v>SKU-0127</x:v>
      </x:c>
      <x:c r="C902" s="52" t="n">
        <x:v>5</x:v>
      </x:c>
      <x:c r="D902" s="40" t="n">
        <x:v>271.71</x:v>
      </x:c>
      <x:c r="E902" s="44" t="n">
        <x:f>C902*D902</x:f>
        <x:v>1358.55</x:v>
      </x:c>
      <x:c r="F902" s="40" t="n">
        <x:v>114.9</x:v>
      </x:c>
      <x:c r="G902" s="44" t="n">
        <x:f>C902*F902</x:f>
        <x:v>574.5</x:v>
      </x:c>
      <x:c r="H902" s="44" t="n">
        <x:f>E902-G902</x:f>
        <x:v>784.05</x:v>
      </x:c>
      <x:c r="I902" s="14" t="str">
        <x:v>Enterprise</x:v>
      </x:c>
      <x:c r="J902" s="14" t="str">
        <x:v>Midwest</x:v>
      </x:c>
    </x:row>
    <x:row r="903">
      <x:c r="A903" s="50" t="n">
        <x:v>46186</x:v>
      </x:c>
      <x:c r="B903" s="14" t="str">
        <x:v>SKU-0145</x:v>
      </x:c>
      <x:c r="C903" s="52" t="n">
        <x:v>26</x:v>
      </x:c>
      <x:c r="D903" s="40" t="n">
        <x:v>221.88</x:v>
      </x:c>
      <x:c r="E903" s="44" t="n">
        <x:f>C903*D903</x:f>
        <x:v>5768.88</x:v>
      </x:c>
      <x:c r="F903" s="40" t="n">
        <x:v>142.06</x:v>
      </x:c>
      <x:c r="G903" s="44" t="n">
        <x:f>C903*F903</x:f>
        <x:v>3693.56</x:v>
      </x:c>
      <x:c r="H903" s="44" t="n">
        <x:f>E903-G903</x:f>
        <x:v>2075.32</x:v>
      </x:c>
      <x:c r="I903" s="14" t="str">
        <x:v>Internal Use</x:v>
      </x:c>
      <x:c r="J903" s="14" t="str">
        <x:v>Midwest</x:v>
      </x:c>
    </x:row>
    <x:row r="904">
      <x:c r="A904" s="50" t="n">
        <x:v>46044</x:v>
      </x:c>
      <x:c r="B904" s="14" t="str">
        <x:v>SKU-0061</x:v>
      </x:c>
      <x:c r="C904" s="52" t="n">
        <x:v>8</x:v>
      </x:c>
      <x:c r="D904" s="40" t="n">
        <x:v>318.5</x:v>
      </x:c>
      <x:c r="E904" s="44" t="n">
        <x:f>C904*D904</x:f>
        <x:v>2548</x:v>
      </x:c>
      <x:c r="F904" s="40" t="n">
        <x:v>202.32</x:v>
      </x:c>
      <x:c r="G904" s="44" t="n">
        <x:f>C904*F904</x:f>
        <x:v>1618.56</x:v>
      </x:c>
      <x:c r="H904" s="44" t="n">
        <x:f>E904-G904</x:f>
        <x:v>929.44</x:v>
      </x:c>
      <x:c r="I904" s="14" t="str">
        <x:v>Enterprise</x:v>
      </x:c>
      <x:c r="J904" s="14" t="str">
        <x:v>Northeast</x:v>
      </x:c>
    </x:row>
    <x:row r="905">
      <x:c r="A905" s="50" t="n">
        <x:v>46238</x:v>
      </x:c>
      <x:c r="B905" s="14" t="str">
        <x:v>SKU-0109</x:v>
      </x:c>
      <x:c r="C905" s="52" t="n">
        <x:v>4</x:v>
      </x:c>
      <x:c r="D905" s="40" t="n">
        <x:v>158.74</x:v>
      </x:c>
      <x:c r="E905" s="44" t="n">
        <x:f>C905*D905</x:f>
        <x:v>634.96</x:v>
      </x:c>
      <x:c r="F905" s="40" t="n">
        <x:v>119.32</x:v>
      </x:c>
      <x:c r="G905" s="44" t="n">
        <x:f>C905*F905</x:f>
        <x:v>477.28</x:v>
      </x:c>
      <x:c r="H905" s="44" t="n">
        <x:f>E905-G905</x:f>
        <x:v>157.68000000000006</x:v>
      </x:c>
      <x:c r="I905" s="14" t="str">
        <x:v>Enterprise</x:v>
      </x:c>
      <x:c r="J905" s="14" t="str">
        <x:v>Northeast</x:v>
      </x:c>
    </x:row>
    <x:row r="906">
      <x:c r="A906" s="50" t="n">
        <x:v>46133</x:v>
      </x:c>
      <x:c r="B906" s="14" t="str">
        <x:v>SKU-0109</x:v>
      </x:c>
      <x:c r="C906" s="52" t="n">
        <x:v>8</x:v>
      </x:c>
      <x:c r="D906" s="40" t="n">
        <x:v>151.29</x:v>
      </x:c>
      <x:c r="E906" s="44" t="n">
        <x:f>C906*D906</x:f>
        <x:v>1210.32</x:v>
      </x:c>
      <x:c r="F906" s="40" t="n">
        <x:v>119.32</x:v>
      </x:c>
      <x:c r="G906" s="44" t="n">
        <x:f>C906*F906</x:f>
        <x:v>954.56</x:v>
      </x:c>
      <x:c r="H906" s="44" t="n">
        <x:f>E906-G906</x:f>
        <x:v>255.76</x:v>
      </x:c>
      <x:c r="I906" s="14" t="str">
        <x:v>Internal Use</x:v>
      </x:c>
      <x:c r="J906" s="14" t="str">
        <x:v>Northeast</x:v>
      </x:c>
    </x:row>
    <x:row r="907">
      <x:c r="A907" s="50" t="n">
        <x:v>45940</x:v>
      </x:c>
      <x:c r="B907" s="14" t="str">
        <x:v>SKU-0076</x:v>
      </x:c>
      <x:c r="C907" s="52" t="n">
        <x:v>7</x:v>
      </x:c>
      <x:c r="D907" s="40" t="n">
        <x:v>210.18</x:v>
      </x:c>
      <x:c r="E907" s="44" t="n">
        <x:f>C907*D907</x:f>
        <x:v>1471.26</x:v>
      </x:c>
      <x:c r="F907" s="40" t="n">
        <x:v>132.93</x:v>
      </x:c>
      <x:c r="G907" s="44" t="n">
        <x:f>C907*F907</x:f>
        <x:v>930.51</x:v>
      </x:c>
      <x:c r="H907" s="44" t="n">
        <x:f>E907-G907</x:f>
        <x:v>540.75</x:v>
      </x:c>
      <x:c r="I907" s="14" t="str">
        <x:v>Distributor</x:v>
      </x:c>
      <x:c r="J907" s="14" t="str">
        <x:v>Midwest</x:v>
      </x:c>
    </x:row>
    <x:row r="908">
      <x:c r="A908" s="50" t="n">
        <x:v>46168</x:v>
      </x:c>
      <x:c r="B908" s="14" t="str">
        <x:v>SKU-0096</x:v>
      </x:c>
      <x:c r="C908" s="52" t="n">
        <x:v>11</x:v>
      </x:c>
      <x:c r="D908" s="40" t="n">
        <x:v>50.66</x:v>
      </x:c>
      <x:c r="E908" s="44" t="n">
        <x:f>C908*D908</x:f>
        <x:v>557.26</x:v>
      </x:c>
      <x:c r="F908" s="40" t="n">
        <x:v>29.46</x:v>
      </x:c>
      <x:c r="G908" s="44" t="n">
        <x:f>C908*F908</x:f>
        <x:v>324.06</x:v>
      </x:c>
      <x:c r="H908" s="44" t="n">
        <x:f>E908-G908</x:f>
        <x:v>233.2</x:v>
      </x:c>
      <x:c r="I908" s="14" t="str">
        <x:v>SMB</x:v>
      </x:c>
      <x:c r="J908" s="14" t="str">
        <x:v>Midwest</x:v>
      </x:c>
    </x:row>
    <x:row r="909">
      <x:c r="A909" s="50" t="n">
        <x:v>46189</x:v>
      </x:c>
      <x:c r="B909" s="14" t="str">
        <x:v>SKU-0133</x:v>
      </x:c>
      <x:c r="C909" s="52" t="n">
        <x:v>4</x:v>
      </x:c>
      <x:c r="D909" s="40" t="n">
        <x:v>307.53</x:v>
      </x:c>
      <x:c r="E909" s="44" t="n">
        <x:f>C909*D909</x:f>
        <x:v>1230.12</x:v>
      </x:c>
      <x:c r="F909" s="40" t="n">
        <x:v>233.3</x:v>
      </x:c>
      <x:c r="G909" s="44" t="n">
        <x:f>C909*F909</x:f>
        <x:v>933.2</x:v>
      </x:c>
      <x:c r="H909" s="44" t="n">
        <x:f>E909-G909</x:f>
        <x:v>296.91999999999985</x:v>
      </x:c>
      <x:c r="I909" s="14" t="str">
        <x:v>SMB</x:v>
      </x:c>
      <x:c r="J909" s="14" t="str">
        <x:v>Southeast</x:v>
      </x:c>
    </x:row>
    <x:row r="910">
      <x:c r="A910" s="50" t="n">
        <x:v>46122</x:v>
      </x:c>
      <x:c r="B910" s="14" t="str">
        <x:v>SKU-0135</x:v>
      </x:c>
      <x:c r="C910" s="52" t="n">
        <x:v>2</x:v>
      </x:c>
      <x:c r="D910" s="40" t="n">
        <x:v>322.79</x:v>
      </x:c>
      <x:c r="E910" s="44" t="n">
        <x:f>C910*D910</x:f>
        <x:v>645.58</x:v>
      </x:c>
      <x:c r="F910" s="40" t="n">
        <x:v>275.11</x:v>
      </x:c>
      <x:c r="G910" s="44" t="n">
        <x:f>C910*F910</x:f>
        <x:v>550.22</x:v>
      </x:c>
      <x:c r="H910" s="44" t="n">
        <x:f>E910-G910</x:f>
        <x:v>95.36000000000001</x:v>
      </x:c>
      <x:c r="I910" s="14" t="str">
        <x:v>Enterprise</x:v>
      </x:c>
      <x:c r="J910" s="14" t="str">
        <x:v>Northeast</x:v>
      </x:c>
    </x:row>
    <x:row r="911">
      <x:c r="A911" s="50" t="n">
        <x:v>46239</x:v>
      </x:c>
      <x:c r="B911" s="14" t="str">
        <x:v>SKU-0080</x:v>
      </x:c>
      <x:c r="C911" s="52" t="n">
        <x:v>2</x:v>
      </x:c>
      <x:c r="D911" s="40" t="n">
        <x:v>155.42</x:v>
      </x:c>
      <x:c r="E911" s="44" t="n">
        <x:f>C911*D911</x:f>
        <x:v>310.84</x:v>
      </x:c>
      <x:c r="F911" s="40" t="n">
        <x:v>115.72</x:v>
      </x:c>
      <x:c r="G911" s="44" t="n">
        <x:f>C911*F911</x:f>
        <x:v>231.44</x:v>
      </x:c>
      <x:c r="H911" s="44" t="n">
        <x:f>E911-G911</x:f>
        <x:v>79.39999999999998</x:v>
      </x:c>
      <x:c r="I911" s="14" t="str">
        <x:v>Distributor</x:v>
      </x:c>
      <x:c r="J911" s="14" t="str">
        <x:v>Northeast</x:v>
      </x:c>
    </x:row>
    <x:row r="912">
      <x:c r="A912" s="50" t="n">
        <x:v>46199</x:v>
      </x:c>
      <x:c r="B912" s="14" t="str">
        <x:v>SKU-0016</x:v>
      </x:c>
      <x:c r="C912" s="52" t="n">
        <x:v>8</x:v>
      </x:c>
      <x:c r="D912" s="40" t="n">
        <x:v>389.93</x:v>
      </x:c>
      <x:c r="E912" s="44" t="n">
        <x:f>C912*D912</x:f>
        <x:v>3119.44</x:v>
      </x:c>
      <x:c r="F912" s="40" t="n">
        <x:v>204.58</x:v>
      </x:c>
      <x:c r="G912" s="44" t="n">
        <x:f>C912*F912</x:f>
        <x:v>1636.64</x:v>
      </x:c>
      <x:c r="H912" s="44" t="n">
        <x:f>E912-G912</x:f>
        <x:v>1482.8</x:v>
      </x:c>
      <x:c r="I912" s="14" t="str">
        <x:v>SMB</x:v>
      </x:c>
      <x:c r="J912" s="14" t="str">
        <x:v>Midwest</x:v>
      </x:c>
    </x:row>
    <x:row r="913">
      <x:c r="A913" s="50" t="n">
        <x:v>45978</x:v>
      </x:c>
      <x:c r="B913" s="14" t="str">
        <x:v>SKU-0004</x:v>
      </x:c>
      <x:c r="C913" s="52" t="n">
        <x:v>1</x:v>
      </x:c>
      <x:c r="D913" s="40" t="n">
        <x:v>368.21</x:v>
      </x:c>
      <x:c r="E913" s="44" t="n">
        <x:f>C913*D913</x:f>
        <x:v>368.21</x:v>
      </x:c>
      <x:c r="F913" s="40" t="n">
        <x:v>164.72</x:v>
      </x:c>
      <x:c r="G913" s="44" t="n">
        <x:f>C913*F913</x:f>
        <x:v>164.72</x:v>
      </x:c>
      <x:c r="H913" s="44" t="n">
        <x:f>E913-G913</x:f>
        <x:v>203.48999999999998</x:v>
      </x:c>
      <x:c r="I913" s="14" t="str">
        <x:v>Distributor</x:v>
      </x:c>
      <x:c r="J913" s="14" t="str">
        <x:v>Midwest</x:v>
      </x:c>
    </x:row>
    <x:row r="914">
      <x:c r="A914" s="50" t="n">
        <x:v>46010</x:v>
      </x:c>
      <x:c r="B914" s="14" t="str">
        <x:v>SKU-0104</x:v>
      </x:c>
      <x:c r="C914" s="52" t="n">
        <x:v>11</x:v>
      </x:c>
      <x:c r="D914" s="40" t="n">
        <x:v>152.47</x:v>
      </x:c>
      <x:c r="E914" s="44" t="n">
        <x:f>C914*D914</x:f>
        <x:v>1677.17</x:v>
      </x:c>
      <x:c r="F914" s="40" t="n">
        <x:v>105.32</x:v>
      </x:c>
      <x:c r="G914" s="44" t="n">
        <x:f>C914*F914</x:f>
        <x:v>1158.52</x:v>
      </x:c>
      <x:c r="H914" s="44" t="n">
        <x:f>E914-G914</x:f>
        <x:v>518.6500000000001</x:v>
      </x:c>
      <x:c r="I914" s="14" t="str">
        <x:v>SMB</x:v>
      </x:c>
      <x:c r="J914" s="14" t="str">
        <x:v>Northeast</x:v>
      </x:c>
    </x:row>
    <x:row r="915">
      <x:c r="A915" s="50" t="n">
        <x:v>46023</x:v>
      </x:c>
      <x:c r="B915" s="14" t="str">
        <x:v>SKU-0056</x:v>
      </x:c>
      <x:c r="C915" s="52" t="n">
        <x:v>3</x:v>
      </x:c>
      <x:c r="D915" s="40" t="n">
        <x:v>296.41</x:v>
      </x:c>
      <x:c r="E915" s="44" t="n">
        <x:f>C915*D915</x:f>
        <x:v>889.23</x:v>
      </x:c>
      <x:c r="F915" s="40" t="n">
        <x:v>219.68</x:v>
      </x:c>
      <x:c r="G915" s="44" t="n">
        <x:f>C915*F915</x:f>
        <x:v>659.04</x:v>
      </x:c>
      <x:c r="H915" s="44" t="n">
        <x:f>E915-G915</x:f>
        <x:v>230.19000000000005</x:v>
      </x:c>
      <x:c r="I915" s="14" t="str">
        <x:v>Internal Use</x:v>
      </x:c>
      <x:c r="J915" s="14" t="str">
        <x:v>Midwest</x:v>
      </x:c>
    </x:row>
    <x:row r="916">
      <x:c r="A916" s="50" t="n">
        <x:v>46183</x:v>
      </x:c>
      <x:c r="B916" s="14" t="str">
        <x:v>SKU-0148</x:v>
      </x:c>
      <x:c r="C916" s="52" t="n">
        <x:v>21</x:v>
      </x:c>
      <x:c r="D916" s="40" t="n">
        <x:v>430.74</x:v>
      </x:c>
      <x:c r="E916" s="44" t="n">
        <x:f>C916*D916</x:f>
        <x:v>9045.54</x:v>
      </x:c>
      <x:c r="F916" s="40" t="n">
        <x:v>278.48</x:v>
      </x:c>
      <x:c r="G916" s="44" t="n">
        <x:f>C916*F916</x:f>
        <x:v>5848.08</x:v>
      </x:c>
      <x:c r="H916" s="44" t="n">
        <x:f>E916-G916</x:f>
        <x:v>3197.460000000001</x:v>
      </x:c>
      <x:c r="I916" s="14" t="str">
        <x:v>SMB</x:v>
      </x:c>
      <x:c r="J916" s="14" t="str">
        <x:v>Southeast</x:v>
      </x:c>
    </x:row>
    <x:row r="917">
      <x:c r="A917" s="50" t="n">
        <x:v>45998</x:v>
      </x:c>
      <x:c r="B917" s="14" t="str">
        <x:v>SKU-0001</x:v>
      </x:c>
      <x:c r="C917" s="52" t="n">
        <x:v>14</x:v>
      </x:c>
      <x:c r="D917" s="40" t="n">
        <x:v>272.54</x:v>
      </x:c>
      <x:c r="E917" s="44" t="n">
        <x:f>C917*D917</x:f>
        <x:v>3815.5600000000004</x:v>
      </x:c>
      <x:c r="F917" s="40" t="n">
        <x:v>178.71</x:v>
      </x:c>
      <x:c r="G917" s="44" t="n">
        <x:f>C917*F917</x:f>
        <x:v>2501.94</x:v>
      </x:c>
      <x:c r="H917" s="44" t="n">
        <x:f>E917-G917</x:f>
        <x:v>1313.6200000000003</x:v>
      </x:c>
      <x:c r="I917" s="14" t="str">
        <x:v>Enterprise</x:v>
      </x:c>
      <x:c r="J917" s="14" t="str">
        <x:v>Midwest</x:v>
      </x:c>
    </x:row>
    <x:row r="918">
      <x:c r="A918" s="50" t="n">
        <x:v>45906</x:v>
      </x:c>
      <x:c r="B918" s="14" t="str">
        <x:v>SKU-0020</x:v>
      </x:c>
      <x:c r="C918" s="52" t="n">
        <x:v>7</x:v>
      </x:c>
      <x:c r="D918" s="40" t="n">
        <x:v>255.85</x:v>
      </x:c>
      <x:c r="E918" s="44" t="n">
        <x:f>C918*D918</x:f>
        <x:v>1790.95</x:v>
      </x:c>
      <x:c r="F918" s="40" t="n">
        <x:v>163.22</x:v>
      </x:c>
      <x:c r="G918" s="44" t="n">
        <x:f>C918*F918</x:f>
        <x:v>1142.54</x:v>
      </x:c>
      <x:c r="H918" s="44" t="n">
        <x:f>E918-G918</x:f>
        <x:v>648.4100000000001</x:v>
      </x:c>
      <x:c r="I918" s="14" t="str">
        <x:v>Enterprise</x:v>
      </x:c>
      <x:c r="J918" s="14" t="str">
        <x:v>Southeast</x:v>
      </x:c>
    </x:row>
    <x:row r="919">
      <x:c r="A919" s="50" t="n">
        <x:v>46081</x:v>
      </x:c>
      <x:c r="B919" s="14" t="str">
        <x:v>SKU-0144</x:v>
      </x:c>
      <x:c r="C919" s="52" t="n">
        <x:v>6</x:v>
      </x:c>
      <x:c r="D919" s="40" t="n">
        <x:v>154.19</x:v>
      </x:c>
      <x:c r="E919" s="44" t="n">
        <x:f>C919*D919</x:f>
        <x:v>925.14</x:v>
      </x:c>
      <x:c r="F919" s="40" t="n">
        <x:v>68.87</x:v>
      </x:c>
      <x:c r="G919" s="44" t="n">
        <x:f>C919*F919</x:f>
        <x:v>413.22</x:v>
      </x:c>
      <x:c r="H919" s="44" t="n">
        <x:f>E919-G919</x:f>
        <x:v>511.91999999999996</x:v>
      </x:c>
      <x:c r="I919" s="14" t="str">
        <x:v>Distributor</x:v>
      </x:c>
      <x:c r="J919" s="14" t="str">
        <x:v>Midwest</x:v>
      </x:c>
    </x:row>
    <x:row r="920">
      <x:c r="A920" s="50" t="n">
        <x:v>45920</x:v>
      </x:c>
      <x:c r="B920" s="14" t="str">
        <x:v>SKU-0136</x:v>
      </x:c>
      <x:c r="C920" s="52" t="n">
        <x:v>44</x:v>
      </x:c>
      <x:c r="D920" s="40" t="n">
        <x:v>153.82</x:v>
      </x:c>
      <x:c r="E920" s="44" t="n">
        <x:f>C920*D920</x:f>
        <x:v>6768.08</x:v>
      </x:c>
      <x:c r="F920" s="40" t="n">
        <x:v>105.97</x:v>
      </x:c>
      <x:c r="G920" s="44" t="n">
        <x:f>C920*F920</x:f>
        <x:v>4662.68</x:v>
      </x:c>
      <x:c r="H920" s="44" t="n">
        <x:f>E920-G920</x:f>
        <x:v>2105.3999999999996</x:v>
      </x:c>
      <x:c r="I920" s="14" t="str">
        <x:v>Internal Use</x:v>
      </x:c>
      <x:c r="J920" s="14" t="str">
        <x:v>West</x:v>
      </x:c>
    </x:row>
    <x:row r="921">
      <x:c r="A921" s="50" t="n">
        <x:v>46230</x:v>
      </x:c>
      <x:c r="B921" s="14" t="str">
        <x:v>SKU-0065</x:v>
      </x:c>
      <x:c r="C921" s="52" t="n">
        <x:v>11</x:v>
      </x:c>
      <x:c r="D921" s="40" t="n">
        <x:v>66.14</x:v>
      </x:c>
      <x:c r="E921" s="44" t="n">
        <x:f>C921*D921</x:f>
        <x:v>727.54</x:v>
      </x:c>
      <x:c r="F921" s="40" t="n">
        <x:v>52.3</x:v>
      </x:c>
      <x:c r="G921" s="44" t="n">
        <x:f>C921*F921</x:f>
        <x:v>575.3</x:v>
      </x:c>
      <x:c r="H921" s="44" t="n">
        <x:f>E921-G921</x:f>
        <x:v>152.24</x:v>
      </x:c>
      <x:c r="I921" s="14" t="str">
        <x:v>Internal Use</x:v>
      </x:c>
      <x:c r="J921" s="14" t="str">
        <x:v>Midwest</x:v>
      </x:c>
    </x:row>
    <x:row r="922">
      <x:c r="A922" s="50" t="n">
        <x:v>45989</x:v>
      </x:c>
      <x:c r="B922" s="14" t="str">
        <x:v>SKU-0109</x:v>
      </x:c>
      <x:c r="C922" s="52" t="n">
        <x:v>33</x:v>
      </x:c>
      <x:c r="D922" s="40" t="n">
        <x:v>159.92</x:v>
      </x:c>
      <x:c r="E922" s="44" t="n">
        <x:f>C922*D922</x:f>
        <x:v>5277.36</x:v>
      </x:c>
      <x:c r="F922" s="40" t="n">
        <x:v>119.32</x:v>
      </x:c>
      <x:c r="G922" s="44" t="n">
        <x:f>C922*F922</x:f>
        <x:v>3937.56</x:v>
      </x:c>
      <x:c r="H922" s="44" t="n">
        <x:f>E922-G922</x:f>
        <x:v>1339.7999999999997</x:v>
      </x:c>
      <x:c r="I922" s="14" t="str">
        <x:v>SMB</x:v>
      </x:c>
      <x:c r="J922" s="14" t="str">
        <x:v>West</x:v>
      </x:c>
    </x:row>
    <x:row r="923">
      <x:c r="A923" s="50" t="n">
        <x:v>45971</x:v>
      </x:c>
      <x:c r="B923" s="14" t="str">
        <x:v>SKU-0096</x:v>
      </x:c>
      <x:c r="C923" s="52" t="n">
        <x:v>4</x:v>
      </x:c>
      <x:c r="D923" s="40" t="n">
        <x:v>48.11</x:v>
      </x:c>
      <x:c r="E923" s="44" t="n">
        <x:f>C923*D923</x:f>
        <x:v>192.44</x:v>
      </x:c>
      <x:c r="F923" s="40" t="n">
        <x:v>29.46</x:v>
      </x:c>
      <x:c r="G923" s="44" t="n">
        <x:f>C923*F923</x:f>
        <x:v>117.84</x:v>
      </x:c>
      <x:c r="H923" s="44" t="n">
        <x:f>E923-G923</x:f>
        <x:v>74.6</x:v>
      </x:c>
      <x:c r="I923" s="14" t="str">
        <x:v>Distributor</x:v>
      </x:c>
      <x:c r="J923" s="14" t="str">
        <x:v>Midwest</x:v>
      </x:c>
    </x:row>
    <x:row r="924">
      <x:c r="A924" s="50" t="n">
        <x:v>46068</x:v>
      </x:c>
      <x:c r="B924" s="14" t="str">
        <x:v>SKU-0025</x:v>
      </x:c>
      <x:c r="C924" s="52" t="n">
        <x:v>28</x:v>
      </x:c>
      <x:c r="D924" s="40" t="n">
        <x:v>499.85</x:v>
      </x:c>
      <x:c r="E924" s="44" t="n">
        <x:f>C924*D924</x:f>
        <x:v>13995.800000000001</x:v>
      </x:c>
      <x:c r="F924" s="40" t="n">
        <x:v>275.52</x:v>
      </x:c>
      <x:c r="G924" s="44" t="n">
        <x:f>C924*F924</x:f>
        <x:v>7714.5599999999995</x:v>
      </x:c>
      <x:c r="H924" s="44" t="n">
        <x:f>E924-G924</x:f>
        <x:v>6281.240000000002</x:v>
      </x:c>
      <x:c r="I924" s="14" t="str">
        <x:v>Distributor</x:v>
      </x:c>
      <x:c r="J924" s="14" t="str">
        <x:v>Northeast</x:v>
      </x:c>
    </x:row>
    <x:row r="925">
      <x:c r="A925" s="50" t="n">
        <x:v>46208</x:v>
      </x:c>
      <x:c r="B925" s="14" t="str">
        <x:v>SKU-0071</x:v>
      </x:c>
      <x:c r="C925" s="52" t="n">
        <x:v>8</x:v>
      </x:c>
      <x:c r="D925" s="40" t="n">
        <x:v>370.33</x:v>
      </x:c>
      <x:c r="E925" s="44" t="n">
        <x:f>C925*D925</x:f>
        <x:v>2962.64</x:v>
      </x:c>
      <x:c r="F925" s="40" t="n">
        <x:v>198.68</x:v>
      </x:c>
      <x:c r="G925" s="44" t="n">
        <x:f>C925*F925</x:f>
        <x:v>1589.44</x:v>
      </x:c>
      <x:c r="H925" s="44" t="n">
        <x:f>E925-G925</x:f>
        <x:v>1373.1999999999998</x:v>
      </x:c>
      <x:c r="I925" s="14" t="str">
        <x:v>Distributor</x:v>
      </x:c>
      <x:c r="J925" s="14" t="str">
        <x:v>Midwest</x:v>
      </x:c>
    </x:row>
    <x:row r="926">
      <x:c r="A926" s="50" t="n">
        <x:v>46172</x:v>
      </x:c>
      <x:c r="B926" s="14" t="str">
        <x:v>SKU-0015</x:v>
      </x:c>
      <x:c r="C926" s="52" t="n">
        <x:v>12</x:v>
      </x:c>
      <x:c r="D926" s="40" t="n">
        <x:v>265.37</x:v>
      </x:c>
      <x:c r="E926" s="44" t="n">
        <x:f>C926*D926</x:f>
        <x:v>3184.44</x:v>
      </x:c>
      <x:c r="F926" s="40" t="n">
        <x:v>185.37</x:v>
      </x:c>
      <x:c r="G926" s="44" t="n">
        <x:f>C926*F926</x:f>
        <x:v>2224.44</x:v>
      </x:c>
      <x:c r="H926" s="44" t="n">
        <x:f>E926-G926</x:f>
        <x:v>960</x:v>
      </x:c>
      <x:c r="I926" s="14" t="str">
        <x:v>Enterprise</x:v>
      </x:c>
      <x:c r="J926" s="14" t="str">
        <x:v>Northeast</x:v>
      </x:c>
    </x:row>
    <x:row r="927">
      <x:c r="A927" s="50" t="n">
        <x:v>45894</x:v>
      </x:c>
      <x:c r="B927" s="14" t="str">
        <x:v>SKU-0095</x:v>
      </x:c>
      <x:c r="C927" s="52" t="n">
        <x:v>15</x:v>
      </x:c>
      <x:c r="D927" s="40" t="n">
        <x:v>309.06</x:v>
      </x:c>
      <x:c r="E927" s="44" t="n">
        <x:f>C927*D927</x:f>
        <x:v>4635.9</x:v>
      </x:c>
      <x:c r="F927" s="40" t="n">
        <x:v>225.04</x:v>
      </x:c>
      <x:c r="G927" s="44" t="n">
        <x:f>C927*F927</x:f>
        <x:v>3375.6</x:v>
      </x:c>
      <x:c r="H927" s="44" t="n">
        <x:f>E927-G927</x:f>
        <x:v>1260.2999999999997</x:v>
      </x:c>
      <x:c r="I927" s="14" t="str">
        <x:v>SMB</x:v>
      </x:c>
      <x:c r="J927" s="14" t="str">
        <x:v>Southeast</x:v>
      </x:c>
    </x:row>
    <x:row r="928">
      <x:c r="A928" s="50" t="n">
        <x:v>46094</x:v>
      </x:c>
      <x:c r="B928" s="14" t="str">
        <x:v>SKU-0022</x:v>
      </x:c>
      <x:c r="C928" s="52" t="n">
        <x:v>15</x:v>
      </x:c>
      <x:c r="D928" s="40" t="n">
        <x:v>282.87</x:v>
      </x:c>
      <x:c r="E928" s="44" t="n">
        <x:f>C928*D928</x:f>
        <x:v>4243.05</x:v>
      </x:c>
      <x:c r="F928" s="40" t="n">
        <x:v>167.48</x:v>
      </x:c>
      <x:c r="G928" s="44" t="n">
        <x:f>C928*F928</x:f>
        <x:v>2512.2</x:v>
      </x:c>
      <x:c r="H928" s="44" t="n">
        <x:f>E928-G928</x:f>
        <x:v>1730.8500000000004</x:v>
      </x:c>
      <x:c r="I928" s="14" t="str">
        <x:v>Enterprise</x:v>
      </x:c>
      <x:c r="J928" s="14" t="str">
        <x:v>Midwest</x:v>
      </x:c>
    </x:row>
    <x:row r="929">
      <x:c r="A929" s="50" t="n">
        <x:v>46158</x:v>
      </x:c>
      <x:c r="B929" s="14" t="str">
        <x:v>SKU-0025</x:v>
      </x:c>
      <x:c r="C929" s="52" t="n">
        <x:v>1</x:v>
      </x:c>
      <x:c r="D929" s="40" t="n">
        <x:v>553.23</x:v>
      </x:c>
      <x:c r="E929" s="44" t="n">
        <x:f>C929*D929</x:f>
        <x:v>553.23</x:v>
      </x:c>
      <x:c r="F929" s="40" t="n">
        <x:v>275.52</x:v>
      </x:c>
      <x:c r="G929" s="44" t="n">
        <x:f>C929*F929</x:f>
        <x:v>275.52</x:v>
      </x:c>
      <x:c r="H929" s="44" t="n">
        <x:f>E929-G929</x:f>
        <x:v>277.71000000000004</x:v>
      </x:c>
      <x:c r="I929" s="14" t="str">
        <x:v>Enterprise</x:v>
      </x:c>
      <x:c r="J929" s="14" t="str">
        <x:v>Midwest</x:v>
      </x:c>
    </x:row>
    <x:row r="930">
      <x:c r="A930" s="50" t="n">
        <x:v>46243</x:v>
      </x:c>
      <x:c r="B930" s="14" t="str">
        <x:v>SKU-0082</x:v>
      </x:c>
      <x:c r="C930" s="52" t="n">
        <x:v>14</x:v>
      </x:c>
      <x:c r="D930" s="40" t="n">
        <x:v>141.69</x:v>
      </x:c>
      <x:c r="E930" s="44" t="n">
        <x:f>C930*D930</x:f>
        <x:v>1983.6599999999999</x:v>
      </x:c>
      <x:c r="F930" s="40" t="n">
        <x:v>79.16</x:v>
      </x:c>
      <x:c r="G930" s="44" t="n">
        <x:f>C930*F930</x:f>
        <x:v>1108.24</x:v>
      </x:c>
      <x:c r="H930" s="44" t="n">
        <x:f>E930-G930</x:f>
        <x:v>875.4199999999998</x:v>
      </x:c>
      <x:c r="I930" s="14" t="str">
        <x:v>Internal Use</x:v>
      </x:c>
      <x:c r="J930" s="14" t="str">
        <x:v>West</x:v>
      </x:c>
    </x:row>
    <x:row r="931">
      <x:c r="A931" s="50" t="n">
        <x:v>45913</x:v>
      </x:c>
      <x:c r="B931" s="14" t="str">
        <x:v>SKU-0016</x:v>
      </x:c>
      <x:c r="C931" s="52" t="n">
        <x:v>1</x:v>
      </x:c>
      <x:c r="D931" s="40" t="n">
        <x:v>377.47</x:v>
      </x:c>
      <x:c r="E931" s="44" t="n">
        <x:f>C931*D931</x:f>
        <x:v>377.47</x:v>
      </x:c>
      <x:c r="F931" s="40" t="n">
        <x:v>204.58</x:v>
      </x:c>
      <x:c r="G931" s="44" t="n">
        <x:f>C931*F931</x:f>
        <x:v>204.58</x:v>
      </x:c>
      <x:c r="H931" s="44" t="n">
        <x:f>E931-G931</x:f>
        <x:v>172.89000000000001</x:v>
      </x:c>
      <x:c r="I931" s="14" t="str">
        <x:v>Distributor</x:v>
      </x:c>
      <x:c r="J931" s="14" t="str">
        <x:v>Northeast</x:v>
      </x:c>
    </x:row>
    <x:row r="932">
      <x:c r="A932" s="50" t="n">
        <x:v>46107</x:v>
      </x:c>
      <x:c r="B932" s="14" t="str">
        <x:v>SKU-0045</x:v>
      </x:c>
      <x:c r="C932" s="52" t="n">
        <x:v>13</x:v>
      </x:c>
      <x:c r="D932" s="40" t="n">
        <x:v>106.46</x:v>
      </x:c>
      <x:c r="E932" s="44" t="n">
        <x:f>C932*D932</x:f>
        <x:v>1383.98</x:v>
      </x:c>
      <x:c r="F932" s="40" t="n">
        <x:v>68.89</x:v>
      </x:c>
      <x:c r="G932" s="44" t="n">
        <x:f>C932*F932</x:f>
        <x:v>895.57</x:v>
      </x:c>
      <x:c r="H932" s="44" t="n">
        <x:f>E932-G932</x:f>
        <x:v>488.40999999999997</x:v>
      </x:c>
      <x:c r="I932" s="14" t="str">
        <x:v>Enterprise</x:v>
      </x:c>
      <x:c r="J932" s="14" t="str">
        <x:v>Midwest</x:v>
      </x:c>
    </x:row>
    <x:row r="933">
      <x:c r="A933" s="50" t="n">
        <x:v>46167</x:v>
      </x:c>
      <x:c r="B933" s="14" t="str">
        <x:v>SKU-0071</x:v>
      </x:c>
      <x:c r="C933" s="52" t="n">
        <x:v>6</x:v>
      </x:c>
      <x:c r="D933" s="40" t="n">
        <x:v>363.29</x:v>
      </x:c>
      <x:c r="E933" s="44" t="n">
        <x:f>C933*D933</x:f>
        <x:v>2179.7400000000002</x:v>
      </x:c>
      <x:c r="F933" s="40" t="n">
        <x:v>198.68</x:v>
      </x:c>
      <x:c r="G933" s="44" t="n">
        <x:f>C933*F933</x:f>
        <x:v>1192.08</x:v>
      </x:c>
      <x:c r="H933" s="44" t="n">
        <x:f>E933-G933</x:f>
        <x:v>987.6600000000003</x:v>
      </x:c>
      <x:c r="I933" s="14" t="str">
        <x:v>Enterprise</x:v>
      </x:c>
      <x:c r="J933" s="14" t="str">
        <x:v>West</x:v>
      </x:c>
    </x:row>
    <x:row r="934">
      <x:c r="A934" s="50" t="n">
        <x:v>45939</x:v>
      </x:c>
      <x:c r="B934" s="14" t="str">
        <x:v>SKU-0023</x:v>
      </x:c>
      <x:c r="C934" s="52" t="n">
        <x:v>18</x:v>
      </x:c>
      <x:c r="D934" s="40" t="n">
        <x:v>90.64</x:v>
      </x:c>
      <x:c r="E934" s="44" t="n">
        <x:f>C934*D934</x:f>
        <x:v>1631.52</x:v>
      </x:c>
      <x:c r="F934" s="40" t="n">
        <x:v>76.21</x:v>
      </x:c>
      <x:c r="G934" s="44" t="n">
        <x:f>C934*F934</x:f>
        <x:v>1371.78</x:v>
      </x:c>
      <x:c r="H934" s="44" t="n">
        <x:f>E934-G934</x:f>
        <x:v>259.74</x:v>
      </x:c>
      <x:c r="I934" s="14" t="str">
        <x:v>Distributor</x:v>
      </x:c>
      <x:c r="J934" s="14" t="str">
        <x:v>Northeast</x:v>
      </x:c>
    </x:row>
    <x:row r="935">
      <x:c r="A935" s="50" t="n">
        <x:v>45885</x:v>
      </x:c>
      <x:c r="B935" s="14" t="str">
        <x:v>SKU-0044</x:v>
      </x:c>
      <x:c r="C935" s="52" t="n">
        <x:v>4</x:v>
      </x:c>
      <x:c r="D935" s="40" t="n">
        <x:v>152.25</x:v>
      </x:c>
      <x:c r="E935" s="44" t="n">
        <x:f>C935*D935</x:f>
        <x:v>609</x:v>
      </x:c>
      <x:c r="F935" s="40" t="n">
        <x:v>126.24</x:v>
      </x:c>
      <x:c r="G935" s="44" t="n">
        <x:f>C935*F935</x:f>
        <x:v>504.96</x:v>
      </x:c>
      <x:c r="H935" s="44" t="n">
        <x:f>E935-G935</x:f>
        <x:v>104.04000000000002</x:v>
      </x:c>
      <x:c r="I935" s="14" t="str">
        <x:v>SMB</x:v>
      </x:c>
      <x:c r="J935" s="14" t="str">
        <x:v>Midwest</x:v>
      </x:c>
    </x:row>
    <x:row r="936">
      <x:c r="A936" s="50" t="n">
        <x:v>45947</x:v>
      </x:c>
      <x:c r="B936" s="14" t="str">
        <x:v>SKU-0049</x:v>
      </x:c>
      <x:c r="C936" s="52" t="n">
        <x:v>5</x:v>
      </x:c>
      <x:c r="D936" s="40" t="n">
        <x:v>92.59</x:v>
      </x:c>
      <x:c r="E936" s="44" t="n">
        <x:f>C936*D936</x:f>
        <x:v>462.95000000000005</x:v>
      </x:c>
      <x:c r="F936" s="40" t="n">
        <x:v>63.39</x:v>
      </x:c>
      <x:c r="G936" s="44" t="n">
        <x:f>C936*F936</x:f>
        <x:v>316.95</x:v>
      </x:c>
      <x:c r="H936" s="44" t="n">
        <x:f>E936-G936</x:f>
        <x:v>146.00000000000006</x:v>
      </x:c>
      <x:c r="I936" s="14" t="str">
        <x:v>Distributor</x:v>
      </x:c>
      <x:c r="J936" s="14" t="str">
        <x:v>Southeast</x:v>
      </x:c>
    </x:row>
    <x:row r="937">
      <x:c r="A937" s="50" t="n">
        <x:v>46041</x:v>
      </x:c>
      <x:c r="B937" s="14" t="str">
        <x:v>SKU-0145</x:v>
      </x:c>
      <x:c r="C937" s="52" t="n">
        <x:v>4</x:v>
      </x:c>
      <x:c r="D937" s="40" t="n">
        <x:v>204.84</x:v>
      </x:c>
      <x:c r="E937" s="44" t="n">
        <x:f>C937*D937</x:f>
        <x:v>819.36</x:v>
      </x:c>
      <x:c r="F937" s="40" t="n">
        <x:v>142.06</x:v>
      </x:c>
      <x:c r="G937" s="44" t="n">
        <x:f>C937*F937</x:f>
        <x:v>568.24</x:v>
      </x:c>
      <x:c r="H937" s="44" t="n">
        <x:f>E937-G937</x:f>
        <x:v>251.12</x:v>
      </x:c>
      <x:c r="I937" s="14" t="str">
        <x:v>SMB</x:v>
      </x:c>
      <x:c r="J937" s="14" t="str">
        <x:v>Southeast</x:v>
      </x:c>
    </x:row>
    <x:row r="938">
      <x:c r="A938" s="50" t="n">
        <x:v>46012</x:v>
      </x:c>
      <x:c r="B938" s="14" t="str">
        <x:v>SKU-0076</x:v>
      </x:c>
      <x:c r="C938" s="52" t="n">
        <x:v>13</x:v>
      </x:c>
      <x:c r="D938" s="40" t="n">
        <x:v>197.06</x:v>
      </x:c>
      <x:c r="E938" s="44" t="n">
        <x:f>C938*D938</x:f>
        <x:v>2561.78</x:v>
      </x:c>
      <x:c r="F938" s="40" t="n">
        <x:v>132.93</x:v>
      </x:c>
      <x:c r="G938" s="44" t="n">
        <x:f>C938*F938</x:f>
        <x:v>1728.0900000000001</x:v>
      </x:c>
      <x:c r="H938" s="44" t="n">
        <x:f>E938-G938</x:f>
        <x:v>833.69</x:v>
      </x:c>
      <x:c r="I938" s="14" t="str">
        <x:v>Distributor</x:v>
      </x:c>
      <x:c r="J938" s="14" t="str">
        <x:v>Midwest</x:v>
      </x:c>
    </x:row>
    <x:row r="939">
      <x:c r="A939" s="50" t="n">
        <x:v>46110</x:v>
      </x:c>
      <x:c r="B939" s="14" t="str">
        <x:v>SKU-0134</x:v>
      </x:c>
      <x:c r="C939" s="52" t="n">
        <x:v>38</x:v>
      </x:c>
      <x:c r="D939" s="40" t="n">
        <x:v>398.75</x:v>
      </x:c>
      <x:c r="E939" s="44" t="n">
        <x:f>C939*D939</x:f>
        <x:v>15152.5</x:v>
      </x:c>
      <x:c r="F939" s="40" t="n">
        <x:v>254.76</x:v>
      </x:c>
      <x:c r="G939" s="44" t="n">
        <x:f>C939*F939</x:f>
        <x:v>9680.88</x:v>
      </x:c>
      <x:c r="H939" s="44" t="n">
        <x:f>E939-G939</x:f>
        <x:v>5471.620000000001</x:v>
      </x:c>
      <x:c r="I939" s="14" t="str">
        <x:v>Internal Use</x:v>
      </x:c>
      <x:c r="J939" s="14" t="str">
        <x:v>Southeast</x:v>
      </x:c>
    </x:row>
    <x:row r="940">
      <x:c r="A940" s="50" t="n">
        <x:v>46171</x:v>
      </x:c>
      <x:c r="B940" s="14" t="str">
        <x:v>SKU-0138</x:v>
      </x:c>
      <x:c r="C940" s="52" t="n">
        <x:v>2</x:v>
      </x:c>
      <x:c r="D940" s="40" t="n">
        <x:v>392.01</x:v>
      </x:c>
      <x:c r="E940" s="44" t="n">
        <x:f>C940*D940</x:f>
        <x:v>784.02</x:v>
      </x:c>
      <x:c r="F940" s="40" t="n">
        <x:v>186.65</x:v>
      </x:c>
      <x:c r="G940" s="44" t="n">
        <x:f>C940*F940</x:f>
        <x:v>373.3</x:v>
      </x:c>
      <x:c r="H940" s="44" t="n">
        <x:f>E940-G940</x:f>
        <x:v>410.71999999999997</x:v>
      </x:c>
      <x:c r="I940" s="14" t="str">
        <x:v>Distributor</x:v>
      </x:c>
      <x:c r="J940" s="14" t="str">
        <x:v>Southeast</x:v>
      </x:c>
    </x:row>
    <x:row r="941">
      <x:c r="A941" s="50" t="n">
        <x:v>46238</x:v>
      </x:c>
      <x:c r="B941" s="14" t="str">
        <x:v>SKU-0088</x:v>
      </x:c>
      <x:c r="C941" s="52" t="n">
        <x:v>14</x:v>
      </x:c>
      <x:c r="D941" s="40" t="n">
        <x:v>37</x:v>
      </x:c>
      <x:c r="E941" s="44" t="n">
        <x:f>C941*D941</x:f>
        <x:v>518</x:v>
      </x:c>
      <x:c r="F941" s="40" t="n">
        <x:v>21.49</x:v>
      </x:c>
      <x:c r="G941" s="44" t="n">
        <x:f>C941*F941</x:f>
        <x:v>300.85999999999996</x:v>
      </x:c>
      <x:c r="H941" s="44" t="n">
        <x:f>E941-G941</x:f>
        <x:v>217.14000000000004</x:v>
      </x:c>
      <x:c r="I941" s="14" t="str">
        <x:v>SMB</x:v>
      </x:c>
      <x:c r="J941" s="14" t="str">
        <x:v>Midwest</x:v>
      </x:c>
    </x:row>
    <x:row r="942">
      <x:c r="A942" s="50" t="n">
        <x:v>46119</x:v>
      </x:c>
      <x:c r="B942" s="14" t="str">
        <x:v>SKU-0056</x:v>
      </x:c>
      <x:c r="C942" s="52" t="n">
        <x:v>9</x:v>
      </x:c>
      <x:c r="D942" s="40" t="n">
        <x:v>313.27</x:v>
      </x:c>
      <x:c r="E942" s="44" t="n">
        <x:f>C942*D942</x:f>
        <x:v>2819.43</x:v>
      </x:c>
      <x:c r="F942" s="40" t="n">
        <x:v>219.68</x:v>
      </x:c>
      <x:c r="G942" s="44" t="n">
        <x:f>C942*F942</x:f>
        <x:v>1977.1200000000001</x:v>
      </x:c>
      <x:c r="H942" s="44" t="n">
        <x:f>E942-G942</x:f>
        <x:v>842.3099999999997</x:v>
      </x:c>
      <x:c r="I942" s="14" t="str">
        <x:v>Internal Use</x:v>
      </x:c>
      <x:c r="J942" s="14" t="str">
        <x:v>Midwest</x:v>
      </x:c>
    </x:row>
    <x:row r="943">
      <x:c r="A943" s="50" t="n">
        <x:v>46168</x:v>
      </x:c>
      <x:c r="B943" s="14" t="str">
        <x:v>SKU-0096</x:v>
      </x:c>
      <x:c r="C943" s="52" t="n">
        <x:v>6</x:v>
      </x:c>
      <x:c r="D943" s="40" t="n">
        <x:v>46.86</x:v>
      </x:c>
      <x:c r="E943" s="44" t="n">
        <x:f>C943*D943</x:f>
        <x:v>281.15999999999997</x:v>
      </x:c>
      <x:c r="F943" s="40" t="n">
        <x:v>29.46</x:v>
      </x:c>
      <x:c r="G943" s="44" t="n">
        <x:f>C943*F943</x:f>
        <x:v>176.76</x:v>
      </x:c>
      <x:c r="H943" s="44" t="n">
        <x:f>E943-G943</x:f>
        <x:v>104.39999999999998</x:v>
      </x:c>
      <x:c r="I943" s="14" t="str">
        <x:v>Enterprise</x:v>
      </x:c>
      <x:c r="J943" s="14" t="str">
        <x:v>Midwest</x:v>
      </x:c>
    </x:row>
    <x:row r="944">
      <x:c r="A944" s="50" t="n">
        <x:v>45961</x:v>
      </x:c>
      <x:c r="B944" s="14" t="str">
        <x:v>SKU-0003</x:v>
      </x:c>
      <x:c r="C944" s="52" t="n">
        <x:v>7</x:v>
      </x:c>
      <x:c r="D944" s="40" t="n">
        <x:v>301.73</x:v>
      </x:c>
      <x:c r="E944" s="44" t="n">
        <x:f>C944*D944</x:f>
        <x:v>2112.11</x:v>
      </x:c>
      <x:c r="F944" s="40" t="n">
        <x:v>141.04</x:v>
      </x:c>
      <x:c r="G944" s="44" t="n">
        <x:f>C944*F944</x:f>
        <x:v>987.28</x:v>
      </x:c>
      <x:c r="H944" s="44" t="n">
        <x:f>E944-G944</x:f>
        <x:v>1124.8300000000002</x:v>
      </x:c>
      <x:c r="I944" s="14" t="str">
        <x:v>Enterprise</x:v>
      </x:c>
      <x:c r="J944" s="14" t="str">
        <x:v>Southeast</x:v>
      </x:c>
    </x:row>
    <x:row r="945">
      <x:c r="A945" s="50" t="n">
        <x:v>46036</x:v>
      </x:c>
      <x:c r="B945" s="14" t="str">
        <x:v>SKU-0092</x:v>
      </x:c>
      <x:c r="C945" s="52" t="n">
        <x:v>3</x:v>
      </x:c>
      <x:c r="D945" s="40" t="n">
        <x:v>185.81</x:v>
      </x:c>
      <x:c r="E945" s="44" t="n">
        <x:f>C945*D945</x:f>
        <x:v>557.4300000000001</x:v>
      </x:c>
      <x:c r="F945" s="40" t="n">
        <x:v>125.08</x:v>
      </x:c>
      <x:c r="G945" s="44" t="n">
        <x:f>C945*F945</x:f>
        <x:v>375.24</x:v>
      </x:c>
      <x:c r="H945" s="44" t="n">
        <x:f>E945-G945</x:f>
        <x:v>182.19000000000005</x:v>
      </x:c>
      <x:c r="I945" s="14" t="str">
        <x:v>Internal Use</x:v>
      </x:c>
      <x:c r="J945" s="14" t="str">
        <x:v>West</x:v>
      </x:c>
    </x:row>
    <x:row r="946">
      <x:c r="A946" s="50" t="n">
        <x:v>46235</x:v>
      </x:c>
      <x:c r="B946" s="14" t="str">
        <x:v>SKU-0148</x:v>
      </x:c>
      <x:c r="C946" s="52" t="n">
        <x:v>7</x:v>
      </x:c>
      <x:c r="D946" s="40" t="n">
        <x:v>426.06</x:v>
      </x:c>
      <x:c r="E946" s="44" t="n">
        <x:f>C946*D946</x:f>
        <x:v>2982.42</x:v>
      </x:c>
      <x:c r="F946" s="40" t="n">
        <x:v>278.48</x:v>
      </x:c>
      <x:c r="G946" s="44" t="n">
        <x:f>C946*F946</x:f>
        <x:v>1949.3600000000001</x:v>
      </x:c>
      <x:c r="H946" s="44" t="n">
        <x:f>E946-G946</x:f>
        <x:v>1033.06</x:v>
      </x:c>
      <x:c r="I946" s="14" t="str">
        <x:v>Distributor</x:v>
      </x:c>
      <x:c r="J946" s="14" t="str">
        <x:v>Midwest</x:v>
      </x:c>
    </x:row>
    <x:row r="947">
      <x:c r="A947" s="50" t="n">
        <x:v>46127</x:v>
      </x:c>
      <x:c r="B947" s="14" t="str">
        <x:v>SKU-0087</x:v>
      </x:c>
      <x:c r="C947" s="52" t="n">
        <x:v>12</x:v>
      </x:c>
      <x:c r="D947" s="40" t="n">
        <x:v>363.55</x:v>
      </x:c>
      <x:c r="E947" s="44" t="n">
        <x:f>C947*D947</x:f>
        <x:v>4362.6</x:v>
      </x:c>
      <x:c r="F947" s="40" t="n">
        <x:v>194.73</x:v>
      </x:c>
      <x:c r="G947" s="44" t="n">
        <x:f>C947*F947</x:f>
        <x:v>2336.7599999999998</x:v>
      </x:c>
      <x:c r="H947" s="44" t="n">
        <x:f>E947-G947</x:f>
        <x:v>2025.8400000000006</x:v>
      </x:c>
      <x:c r="I947" s="14" t="str">
        <x:v>SMB</x:v>
      </x:c>
      <x:c r="J947" s="14" t="str">
        <x:v>Northeast</x:v>
      </x:c>
    </x:row>
    <x:row r="948">
      <x:c r="A948" s="50" t="n">
        <x:v>46098</x:v>
      </x:c>
      <x:c r="B948" s="14" t="str">
        <x:v>SKU-0108</x:v>
      </x:c>
      <x:c r="C948" s="52" t="n">
        <x:v>7</x:v>
      </x:c>
      <x:c r="D948" s="40" t="n">
        <x:v>309.29</x:v>
      </x:c>
      <x:c r="E948" s="44" t="n">
        <x:f>C948*D948</x:f>
        <x:v>2165.03</x:v>
      </x:c>
      <x:c r="F948" s="40" t="n">
        <x:v>242.94</x:v>
      </x:c>
      <x:c r="G948" s="44" t="n">
        <x:f>C948*F948</x:f>
        <x:v>1700.58</x:v>
      </x:c>
      <x:c r="H948" s="44" t="n">
        <x:f>E948-G948</x:f>
        <x:v>464.4500000000003</x:v>
      </x:c>
      <x:c r="I948" s="14" t="str">
        <x:v>Distributor</x:v>
      </x:c>
      <x:c r="J948" s="14" t="str">
        <x:v>Southeast</x:v>
      </x:c>
    </x:row>
    <x:row r="949">
      <x:c r="A949" s="50" t="n">
        <x:v>45951</x:v>
      </x:c>
      <x:c r="B949" s="14" t="str">
        <x:v>SKU-0146</x:v>
      </x:c>
      <x:c r="C949" s="52" t="n">
        <x:v>4</x:v>
      </x:c>
      <x:c r="D949" s="40" t="n">
        <x:v>510.39</x:v>
      </x:c>
      <x:c r="E949" s="44" t="n">
        <x:f>C949*D949</x:f>
        <x:v>2041.56</x:v>
      </x:c>
      <x:c r="F949" s="40" t="n">
        <x:v>261.77</x:v>
      </x:c>
      <x:c r="G949" s="44" t="n">
        <x:f>C949*F949</x:f>
        <x:v>1047.08</x:v>
      </x:c>
      <x:c r="H949" s="44" t="n">
        <x:f>E949-G949</x:f>
        <x:v>994.48</x:v>
      </x:c>
      <x:c r="I949" s="14" t="str">
        <x:v>Enterprise</x:v>
      </x:c>
      <x:c r="J949" s="14" t="str">
        <x:v>Midwest</x:v>
      </x:c>
    </x:row>
    <x:row r="950">
      <x:c r="A950" s="50" t="n">
        <x:v>46057</x:v>
      </x:c>
      <x:c r="B950" s="14" t="str">
        <x:v>SKU-0037</x:v>
      </x:c>
      <x:c r="C950" s="52" t="n">
        <x:v>8</x:v>
      </x:c>
      <x:c r="D950" s="40" t="n">
        <x:v>158.21</x:v>
      </x:c>
      <x:c r="E950" s="44" t="n">
        <x:f>C950*D950</x:f>
        <x:v>1265.68</x:v>
      </x:c>
      <x:c r="F950" s="40" t="n">
        <x:v>115.83</x:v>
      </x:c>
      <x:c r="G950" s="44" t="n">
        <x:f>C950*F950</x:f>
        <x:v>926.64</x:v>
      </x:c>
      <x:c r="H950" s="44" t="n">
        <x:f>E950-G950</x:f>
        <x:v>339.0400000000001</x:v>
      </x:c>
      <x:c r="I950" s="14" t="str">
        <x:v>SMB</x:v>
      </x:c>
      <x:c r="J950" s="14" t="str">
        <x:v>Southeast</x:v>
      </x:c>
    </x:row>
    <x:row r="951">
      <x:c r="A951" s="50" t="n">
        <x:v>46034</x:v>
      </x:c>
      <x:c r="B951" s="14" t="str">
        <x:v>SKU-0045</x:v>
      </x:c>
      <x:c r="C951" s="52" t="n">
        <x:v>6</x:v>
      </x:c>
      <x:c r="D951" s="40" t="n">
        <x:v>110.03</x:v>
      </x:c>
      <x:c r="E951" s="44" t="n">
        <x:f>C951*D951</x:f>
        <x:v>660.1800000000001</x:v>
      </x:c>
      <x:c r="F951" s="40" t="n">
        <x:v>68.89</x:v>
      </x:c>
      <x:c r="G951" s="44" t="n">
        <x:f>C951*F951</x:f>
        <x:v>413.34000000000003</x:v>
      </x:c>
      <x:c r="H951" s="44" t="n">
        <x:f>E951-G951</x:f>
        <x:v>246.84000000000003</x:v>
      </x:c>
      <x:c r="I951" s="14" t="str">
        <x:v>Internal Use</x:v>
      </x:c>
      <x:c r="J951" s="14" t="str">
        <x:v>Northeast</x:v>
      </x:c>
    </x:row>
    <x:row r="952">
      <x:c r="A952" s="50" t="n">
        <x:v>45958</x:v>
      </x:c>
      <x:c r="B952" s="14" t="str">
        <x:v>SKU-0063</x:v>
      </x:c>
      <x:c r="C952" s="52" t="n">
        <x:v>46</x:v>
      </x:c>
      <x:c r="D952" s="40" t="n">
        <x:v>265.41</x:v>
      </x:c>
      <x:c r="E952" s="44" t="n">
        <x:f>C952*D952</x:f>
        <x:v>12208.86</x:v>
      </x:c>
      <x:c r="F952" s="40" t="n">
        <x:v>197.54</x:v>
      </x:c>
      <x:c r="G952" s="44" t="n">
        <x:f>C952*F952</x:f>
        <x:v>9086.84</x:v>
      </x:c>
      <x:c r="H952" s="44" t="n">
        <x:f>E952-G952</x:f>
        <x:v>3122.0200000000004</x:v>
      </x:c>
      <x:c r="I952" s="14" t="str">
        <x:v>Internal Use</x:v>
      </x:c>
      <x:c r="J952" s="14" t="str">
        <x:v>Southeast</x:v>
      </x:c>
    </x:row>
    <x:row r="953">
      <x:c r="A953" s="50" t="n">
        <x:v>45931</x:v>
      </x:c>
      <x:c r="B953" s="14" t="str">
        <x:v>SKU-0089</x:v>
      </x:c>
      <x:c r="C953" s="52" t="n">
        <x:v>7</x:v>
      </x:c>
      <x:c r="D953" s="40" t="n">
        <x:v>69.84</x:v>
      </x:c>
      <x:c r="E953" s="44" t="n">
        <x:f>C953*D953</x:f>
        <x:v>488.88</x:v>
      </x:c>
      <x:c r="F953" s="40" t="n">
        <x:v>48.67</x:v>
      </x:c>
      <x:c r="G953" s="44" t="n">
        <x:f>C953*F953</x:f>
        <x:v>340.69</x:v>
      </x:c>
      <x:c r="H953" s="44" t="n">
        <x:f>E953-G953</x:f>
        <x:v>148.19</x:v>
      </x:c>
      <x:c r="I953" s="14" t="str">
        <x:v>Internal Use</x:v>
      </x:c>
      <x:c r="J953" s="14" t="str">
        <x:v>West</x:v>
      </x:c>
    </x:row>
    <x:row r="954">
      <x:c r="A954" s="50" t="n">
        <x:v>46241</x:v>
      </x:c>
      <x:c r="B954" s="14" t="str">
        <x:v>SKU-0119</x:v>
      </x:c>
      <x:c r="C954" s="52" t="n">
        <x:v>7</x:v>
      </x:c>
      <x:c r="D954" s="40" t="n">
        <x:v>101.48</x:v>
      </x:c>
      <x:c r="E954" s="44" t="n">
        <x:f>C954*D954</x:f>
        <x:v>710.36</x:v>
      </x:c>
      <x:c r="F954" s="40" t="n">
        <x:v>52.57</x:v>
      </x:c>
      <x:c r="G954" s="44" t="n">
        <x:f>C954*F954</x:f>
        <x:v>367.99</x:v>
      </x:c>
      <x:c r="H954" s="44" t="n">
        <x:f>E954-G954</x:f>
        <x:v>342.37</x:v>
      </x:c>
      <x:c r="I954" s="14" t="str">
        <x:v>Internal Use</x:v>
      </x:c>
      <x:c r="J954" s="14" t="str">
        <x:v>Midwest</x:v>
      </x:c>
    </x:row>
    <x:row r="955">
      <x:c r="A955" s="50" t="n">
        <x:v>46225</x:v>
      </x:c>
      <x:c r="B955" s="14" t="str">
        <x:v>SKU-0073</x:v>
      </x:c>
      <x:c r="C955" s="52" t="n">
        <x:v>15</x:v>
      </x:c>
      <x:c r="D955" s="40" t="n">
        <x:v>65.19</x:v>
      </x:c>
      <x:c r="E955" s="44" t="n">
        <x:f>C955*D955</x:f>
        <x:v>977.8499999999999</x:v>
      </x:c>
      <x:c r="F955" s="40" t="n">
        <x:v>37.01</x:v>
      </x:c>
      <x:c r="G955" s="44" t="n">
        <x:f>C955*F955</x:f>
        <x:v>555.15</x:v>
      </x:c>
      <x:c r="H955" s="44" t="n">
        <x:f>E955-G955</x:f>
        <x:v>422.69999999999993</x:v>
      </x:c>
      <x:c r="I955" s="14" t="str">
        <x:v>Enterprise</x:v>
      </x:c>
      <x:c r="J955" s="14" t="str">
        <x:v>Midwest</x:v>
      </x:c>
    </x:row>
    <x:row r="956">
      <x:c r="A956" s="50" t="n">
        <x:v>46222</x:v>
      </x:c>
      <x:c r="B956" s="14" t="str">
        <x:v>SKU-0126</x:v>
      </x:c>
      <x:c r="C956" s="52" t="n">
        <x:v>20</x:v>
      </x:c>
      <x:c r="D956" s="40" t="n">
        <x:v>15.91</x:v>
      </x:c>
      <x:c r="E956" s="44" t="n">
        <x:f>C956*D956</x:f>
        <x:v>318.2</x:v>
      </x:c>
      <x:c r="F956" s="40" t="n">
        <x:v>7.7</x:v>
      </x:c>
      <x:c r="G956" s="44" t="n">
        <x:f>C956*F956</x:f>
        <x:v>154</x:v>
      </x:c>
      <x:c r="H956" s="44" t="n">
        <x:f>E956-G956</x:f>
        <x:v>164.2</x:v>
      </x:c>
      <x:c r="I956" s="14" t="str">
        <x:v>SMB</x:v>
      </x:c>
      <x:c r="J956" s="14" t="str">
        <x:v>Southeast</x:v>
      </x:c>
    </x:row>
    <x:row r="957">
      <x:c r="A957" s="50" t="n">
        <x:v>46065</x:v>
      </x:c>
      <x:c r="B957" s="14" t="str">
        <x:v>SKU-0095</x:v>
      </x:c>
      <x:c r="C957" s="52" t="n">
        <x:v>2</x:v>
      </x:c>
      <x:c r="D957" s="40" t="n">
        <x:v>304.67</x:v>
      </x:c>
      <x:c r="E957" s="44" t="n">
        <x:f>C957*D957</x:f>
        <x:v>609.34</x:v>
      </x:c>
      <x:c r="F957" s="40" t="n">
        <x:v>225.04</x:v>
      </x:c>
      <x:c r="G957" s="44" t="n">
        <x:f>C957*F957</x:f>
        <x:v>450.08</x:v>
      </x:c>
      <x:c r="H957" s="44" t="n">
        <x:f>E957-G957</x:f>
        <x:v>159.26000000000005</x:v>
      </x:c>
      <x:c r="I957" s="14" t="str">
        <x:v>Internal Use</x:v>
      </x:c>
      <x:c r="J957" s="14" t="str">
        <x:v>Northeast</x:v>
      </x:c>
    </x:row>
    <x:row r="958">
      <x:c r="A958" s="50" t="n">
        <x:v>45950</x:v>
      </x:c>
      <x:c r="B958" s="14" t="str">
        <x:v>SKU-0059</x:v>
      </x:c>
      <x:c r="C958" s="52" t="n">
        <x:v>9</x:v>
      </x:c>
      <x:c r="D958" s="40" t="n">
        <x:v>323.38</x:v>
      </x:c>
      <x:c r="E958" s="44" t="n">
        <x:f>C958*D958</x:f>
        <x:v>2910.42</x:v>
      </x:c>
      <x:c r="F958" s="40" t="n">
        <x:v>247.15</x:v>
      </x:c>
      <x:c r="G958" s="44" t="n">
        <x:f>C958*F958</x:f>
        <x:v>2224.35</x:v>
      </x:c>
      <x:c r="H958" s="44" t="n">
        <x:f>E958-G958</x:f>
        <x:v>686.0700000000002</x:v>
      </x:c>
      <x:c r="I958" s="14" t="str">
        <x:v>Enterprise</x:v>
      </x:c>
      <x:c r="J958" s="14" t="str">
        <x:v>Midwest</x:v>
      </x:c>
    </x:row>
    <x:row r="959">
      <x:c r="A959" s="50" t="n">
        <x:v>46214</x:v>
      </x:c>
      <x:c r="B959" s="14" t="str">
        <x:v>SKU-0099</x:v>
      </x:c>
      <x:c r="C959" s="52" t="n">
        <x:v>5</x:v>
      </x:c>
      <x:c r="D959" s="40" t="n">
        <x:v>195.45</x:v>
      </x:c>
      <x:c r="E959" s="44" t="n">
        <x:f>C959*D959</x:f>
        <x:v>977.25</x:v>
      </x:c>
      <x:c r="F959" s="40" t="n">
        <x:v>104</x:v>
      </x:c>
      <x:c r="G959" s="44" t="n">
        <x:f>C959*F959</x:f>
        <x:v>520</x:v>
      </x:c>
      <x:c r="H959" s="44" t="n">
        <x:f>E959-G959</x:f>
        <x:v>457.25</x:v>
      </x:c>
      <x:c r="I959" s="14" t="str">
        <x:v>Internal Use</x:v>
      </x:c>
      <x:c r="J959" s="14" t="str">
        <x:v>Northeast</x:v>
      </x:c>
    </x:row>
    <x:row r="960">
      <x:c r="A960" s="50" t="n">
        <x:v>46095</x:v>
      </x:c>
      <x:c r="B960" s="14" t="str">
        <x:v>SKU-0067</x:v>
      </x:c>
      <x:c r="C960" s="52" t="n">
        <x:v>4</x:v>
      </x:c>
      <x:c r="D960" s="40" t="n">
        <x:v>140.64</x:v>
      </x:c>
      <x:c r="E960" s="44" t="n">
        <x:f>C960*D960</x:f>
        <x:v>562.56</x:v>
      </x:c>
      <x:c r="F960" s="40" t="n">
        <x:v>113.7</x:v>
      </x:c>
      <x:c r="G960" s="44" t="n">
        <x:f>C960*F960</x:f>
        <x:v>454.8</x:v>
      </x:c>
      <x:c r="H960" s="44" t="n">
        <x:f>E960-G960</x:f>
        <x:v>107.75999999999993</x:v>
      </x:c>
      <x:c r="I960" s="14" t="str">
        <x:v>Enterprise</x:v>
      </x:c>
      <x:c r="J960" s="14" t="str">
        <x:v>West</x:v>
      </x:c>
    </x:row>
    <x:row r="961">
      <x:c r="A961" s="50" t="n">
        <x:v>46057</x:v>
      </x:c>
      <x:c r="B961" s="14" t="str">
        <x:v>SKU-0022</x:v>
      </x:c>
      <x:c r="C961" s="52" t="n">
        <x:v>11</x:v>
      </x:c>
      <x:c r="D961" s="40" t="n">
        <x:v>301.27</x:v>
      </x:c>
      <x:c r="E961" s="44" t="n">
        <x:f>C961*D961</x:f>
        <x:v>3313.97</x:v>
      </x:c>
      <x:c r="F961" s="40" t="n">
        <x:v>167.48</x:v>
      </x:c>
      <x:c r="G961" s="44" t="n">
        <x:f>C961*F961</x:f>
        <x:v>1842.28</x:v>
      </x:c>
      <x:c r="H961" s="44" t="n">
        <x:f>E961-G961</x:f>
        <x:v>1471.6899999999998</x:v>
      </x:c>
      <x:c r="I961" s="14" t="str">
        <x:v>Enterprise</x:v>
      </x:c>
      <x:c r="J961" s="14" t="str">
        <x:v>Southeast</x:v>
      </x:c>
    </x:row>
    <x:row r="962">
      <x:c r="A962" s="50" t="n">
        <x:v>45945</x:v>
      </x:c>
      <x:c r="B962" s="14" t="str">
        <x:v>SKU-0082</x:v>
      </x:c>
      <x:c r="C962" s="52" t="n">
        <x:v>10</x:v>
      </x:c>
      <x:c r="D962" s="40" t="n">
        <x:v>152.07</x:v>
      </x:c>
      <x:c r="E962" s="44" t="n">
        <x:f>C962*D962</x:f>
        <x:v>1520.6999999999998</x:v>
      </x:c>
      <x:c r="F962" s="40" t="n">
        <x:v>79.16</x:v>
      </x:c>
      <x:c r="G962" s="44" t="n">
        <x:f>C962*F962</x:f>
        <x:v>791.5999999999999</x:v>
      </x:c>
      <x:c r="H962" s="44" t="n">
        <x:f>E962-G962</x:f>
        <x:v>729.0999999999999</x:v>
      </x:c>
      <x:c r="I962" s="14" t="str">
        <x:v>Internal Use</x:v>
      </x:c>
      <x:c r="J962" s="14" t="str">
        <x:v>West</x:v>
      </x:c>
    </x:row>
    <x:row r="963">
      <x:c r="A963" s="50" t="n">
        <x:v>45907</x:v>
      </x:c>
      <x:c r="B963" s="14" t="str">
        <x:v>SKU-0109</x:v>
      </x:c>
      <x:c r="C963" s="52" t="n">
        <x:v>6</x:v>
      </x:c>
      <x:c r="D963" s="40" t="n">
        <x:v>153.3</x:v>
      </x:c>
      <x:c r="E963" s="44" t="n">
        <x:f>C963*D963</x:f>
        <x:v>919.8000000000001</x:v>
      </x:c>
      <x:c r="F963" s="40" t="n">
        <x:v>119.32</x:v>
      </x:c>
      <x:c r="G963" s="44" t="n">
        <x:f>C963*F963</x:f>
        <x:v>715.92</x:v>
      </x:c>
      <x:c r="H963" s="44" t="n">
        <x:f>E963-G963</x:f>
        <x:v>203.8800000000001</x:v>
      </x:c>
      <x:c r="I963" s="14" t="str">
        <x:v>Internal Use</x:v>
      </x:c>
      <x:c r="J963" s="14" t="str">
        <x:v>Midwest</x:v>
      </x:c>
    </x:row>
    <x:row r="964">
      <x:c r="A964" s="50" t="n">
        <x:v>46244</x:v>
      </x:c>
      <x:c r="B964" s="14" t="str">
        <x:v>SKU-0122</x:v>
      </x:c>
      <x:c r="C964" s="52" t="n">
        <x:v>5</x:v>
      </x:c>
      <x:c r="D964" s="40" t="n">
        <x:v>37.34</x:v>
      </x:c>
      <x:c r="E964" s="44" t="n">
        <x:f>C964*D964</x:f>
        <x:v>186.70000000000002</x:v>
      </x:c>
      <x:c r="F964" s="40" t="n">
        <x:v>25.14</x:v>
      </x:c>
      <x:c r="G964" s="44" t="n">
        <x:f>C964*F964</x:f>
        <x:v>125.7</x:v>
      </x:c>
      <x:c r="H964" s="44" t="n">
        <x:f>E964-G964</x:f>
        <x:v>61.000000000000014</x:v>
      </x:c>
      <x:c r="I964" s="14" t="str">
        <x:v>SMB</x:v>
      </x:c>
      <x:c r="J964" s="14" t="str">
        <x:v>West</x:v>
      </x:c>
    </x:row>
    <x:row r="965">
      <x:c r="A965" s="50" t="n">
        <x:v>46076</x:v>
      </x:c>
      <x:c r="B965" s="14" t="str">
        <x:v>SKU-0137</x:v>
      </x:c>
      <x:c r="C965" s="52" t="n">
        <x:v>13</x:v>
      </x:c>
      <x:c r="D965" s="40" t="n">
        <x:v>153.9</x:v>
      </x:c>
      <x:c r="E965" s="44" t="n">
        <x:f>C965*D965</x:f>
        <x:v>2000.7</x:v>
      </x:c>
      <x:c r="F965" s="40" t="n">
        <x:v>93.99</x:v>
      </x:c>
      <x:c r="G965" s="44" t="n">
        <x:f>C965*F965</x:f>
        <x:v>1221.87</x:v>
      </x:c>
      <x:c r="H965" s="44" t="n">
        <x:f>E965-G965</x:f>
        <x:v>778.8300000000002</x:v>
      </x:c>
      <x:c r="I965" s="14" t="str">
        <x:v>Internal Use</x:v>
      </x:c>
      <x:c r="J965" s="14" t="str">
        <x:v>West</x:v>
      </x:c>
    </x:row>
    <x:row r="966">
      <x:c r="A966" s="50" t="n">
        <x:v>46117</x:v>
      </x:c>
      <x:c r="B966" s="14" t="str">
        <x:v>SKU-0013</x:v>
      </x:c>
      <x:c r="C966" s="52" t="n">
        <x:v>6</x:v>
      </x:c>
      <x:c r="D966" s="40" t="n">
        <x:v>38.07</x:v>
      </x:c>
      <x:c r="E966" s="44" t="n">
        <x:f>C966*D966</x:f>
        <x:v>228.42000000000002</x:v>
      </x:c>
      <x:c r="F966" s="40" t="n">
        <x:v>22.2</x:v>
      </x:c>
      <x:c r="G966" s="44" t="n">
        <x:f>C966*F966</x:f>
        <x:v>133.2</x:v>
      </x:c>
      <x:c r="H966" s="44" t="n">
        <x:f>E966-G966</x:f>
        <x:v>95.22000000000003</x:v>
      </x:c>
      <x:c r="I966" s="14" t="str">
        <x:v>Distributor</x:v>
      </x:c>
      <x:c r="J966" s="14" t="str">
        <x:v>Northeast</x:v>
      </x:c>
    </x:row>
    <x:row r="967">
      <x:c r="A967" s="50" t="n">
        <x:v>46009</x:v>
      </x:c>
      <x:c r="B967" s="14" t="str">
        <x:v>SKU-0095</x:v>
      </x:c>
      <x:c r="C967" s="52" t="n">
        <x:v>6</x:v>
      </x:c>
      <x:c r="D967" s="40" t="n">
        <x:v>311.88</x:v>
      </x:c>
      <x:c r="E967" s="44" t="n">
        <x:f>C967*D967</x:f>
        <x:v>1871.28</x:v>
      </x:c>
      <x:c r="F967" s="40" t="n">
        <x:v>225.04</x:v>
      </x:c>
      <x:c r="G967" s="44" t="n">
        <x:f>C967*F967</x:f>
        <x:v>1350.24</x:v>
      </x:c>
      <x:c r="H967" s="44" t="n">
        <x:f>E967-G967</x:f>
        <x:v>521.04</x:v>
      </x:c>
      <x:c r="I967" s="14" t="str">
        <x:v>Enterprise</x:v>
      </x:c>
      <x:c r="J967" s="14" t="str">
        <x:v>Midwest</x:v>
      </x:c>
    </x:row>
    <x:row r="968">
      <x:c r="A968" s="50" t="n">
        <x:v>46030</x:v>
      </x:c>
      <x:c r="B968" s="14" t="str">
        <x:v>SKU-0046</x:v>
      </x:c>
      <x:c r="C968" s="52" t="n">
        <x:v>7</x:v>
      </x:c>
      <x:c r="D968" s="40" t="n">
        <x:v>116.62</x:v>
      </x:c>
      <x:c r="E968" s="44" t="n">
        <x:f>C968*D968</x:f>
        <x:v>816.34</x:v>
      </x:c>
      <x:c r="F968" s="40" t="n">
        <x:v>66.68</x:v>
      </x:c>
      <x:c r="G968" s="44" t="n">
        <x:f>C968*F968</x:f>
        <x:v>466.76000000000005</x:v>
      </x:c>
      <x:c r="H968" s="44" t="n">
        <x:f>E968-G968</x:f>
        <x:v>349.58</x:v>
      </x:c>
      <x:c r="I968" s="14" t="str">
        <x:v>Enterprise</x:v>
      </x:c>
      <x:c r="J968" s="14" t="str">
        <x:v>Northeast</x:v>
      </x:c>
    </x:row>
    <x:row r="969">
      <x:c r="A969" s="50" t="n">
        <x:v>45898</x:v>
      </x:c>
      <x:c r="B969" s="14" t="str">
        <x:v>SKU-0092</x:v>
      </x:c>
      <x:c r="C969" s="52" t="n">
        <x:v>9</x:v>
      </x:c>
      <x:c r="D969" s="40" t="n">
        <x:v>169.94</x:v>
      </x:c>
      <x:c r="E969" s="44" t="n">
        <x:f>C969*D969</x:f>
        <x:v>1529.46</x:v>
      </x:c>
      <x:c r="F969" s="40" t="n">
        <x:v>125.08</x:v>
      </x:c>
      <x:c r="G969" s="44" t="n">
        <x:f>C969*F969</x:f>
        <x:v>1125.72</x:v>
      </x:c>
      <x:c r="H969" s="44" t="n">
        <x:f>E969-G969</x:f>
        <x:v>403.74</x:v>
      </x:c>
      <x:c r="I969" s="14" t="str">
        <x:v>Enterprise</x:v>
      </x:c>
      <x:c r="J969" s="14" t="str">
        <x:v>Southeast</x:v>
      </x:c>
    </x:row>
    <x:row r="970">
      <x:c r="A970" s="50" t="n">
        <x:v>46204</x:v>
      </x:c>
      <x:c r="B970" s="14" t="str">
        <x:v>SKU-0038</x:v>
      </x:c>
      <x:c r="C970" s="52" t="n">
        <x:v>8</x:v>
      </x:c>
      <x:c r="D970" s="40" t="n">
        <x:v>232.21</x:v>
      </x:c>
      <x:c r="E970" s="44" t="n">
        <x:f>C970*D970</x:f>
        <x:v>1857.68</x:v>
      </x:c>
      <x:c r="F970" s="40" t="n">
        <x:v>160.43</x:v>
      </x:c>
      <x:c r="G970" s="44" t="n">
        <x:f>C970*F970</x:f>
        <x:v>1283.44</x:v>
      </x:c>
      <x:c r="H970" s="44" t="n">
        <x:f>E970-G970</x:f>
        <x:v>574.24</x:v>
      </x:c>
      <x:c r="I970" s="14" t="str">
        <x:v>Internal Use</x:v>
      </x:c>
      <x:c r="J970" s="14" t="str">
        <x:v>Southeast</x:v>
      </x:c>
    </x:row>
    <x:row r="971">
      <x:c r="A971" s="50" t="n">
        <x:v>46171</x:v>
      </x:c>
      <x:c r="B971" s="14" t="str">
        <x:v>SKU-0135</x:v>
      </x:c>
      <x:c r="C971" s="52" t="n">
        <x:v>8</x:v>
      </x:c>
      <x:c r="D971" s="40" t="n">
        <x:v>334.47</x:v>
      </x:c>
      <x:c r="E971" s="44" t="n">
        <x:f>C971*D971</x:f>
        <x:v>2675.76</x:v>
      </x:c>
      <x:c r="F971" s="40" t="n">
        <x:v>275.11</x:v>
      </x:c>
      <x:c r="G971" s="44" t="n">
        <x:f>C971*F971</x:f>
        <x:v>2200.88</x:v>
      </x:c>
      <x:c r="H971" s="44" t="n">
        <x:f>E971-G971</x:f>
        <x:v>474.8800000000001</x:v>
      </x:c>
      <x:c r="I971" s="14" t="str">
        <x:v>SMB</x:v>
      </x:c>
      <x:c r="J971" s="14" t="str">
        <x:v>Northeast</x:v>
      </x:c>
    </x:row>
    <x:row r="972">
      <x:c r="A972" s="50" t="n">
        <x:v>46142</x:v>
      </x:c>
      <x:c r="B972" s="14" t="str">
        <x:v>SKU-0098</x:v>
      </x:c>
      <x:c r="C972" s="52" t="n">
        <x:v>8</x:v>
      </x:c>
      <x:c r="D972" s="40" t="n">
        <x:v>402.43</x:v>
      </x:c>
      <x:c r="E972" s="44" t="n">
        <x:f>C972*D972</x:f>
        <x:v>3219.44</x:v>
      </x:c>
      <x:c r="F972" s="40" t="n">
        <x:v>270.95</x:v>
      </x:c>
      <x:c r="G972" s="44" t="n">
        <x:f>C972*F972</x:f>
        <x:v>2167.6</x:v>
      </x:c>
      <x:c r="H972" s="44" t="n">
        <x:f>E972-G972</x:f>
        <x:v>1051.8400000000001</x:v>
      </x:c>
      <x:c r="I972" s="14" t="str">
        <x:v>Distributor</x:v>
      </x:c>
      <x:c r="J972" s="14" t="str">
        <x:v>Northeast</x:v>
      </x:c>
    </x:row>
    <x:row r="973">
      <x:c r="A973" s="50" t="n">
        <x:v>45939</x:v>
      </x:c>
      <x:c r="B973" s="14" t="str">
        <x:v>SKU-0111</x:v>
      </x:c>
      <x:c r="C973" s="52" t="n">
        <x:v>23</x:v>
      </x:c>
      <x:c r="D973" s="40" t="n">
        <x:v>163.15</x:v>
      </x:c>
      <x:c r="E973" s="44" t="n">
        <x:f>C973*D973</x:f>
        <x:v>3752.4500000000003</x:v>
      </x:c>
      <x:c r="F973" s="40" t="n">
        <x:v>120.79</x:v>
      </x:c>
      <x:c r="G973" s="44" t="n">
        <x:f>C973*F973</x:f>
        <x:v>2778.17</x:v>
      </x:c>
      <x:c r="H973" s="44" t="n">
        <x:f>E973-G973</x:f>
        <x:v>974.2800000000002</x:v>
      </x:c>
      <x:c r="I973" s="14" t="str">
        <x:v>SMB</x:v>
      </x:c>
      <x:c r="J973" s="14" t="str">
        <x:v>Northeast</x:v>
      </x:c>
    </x:row>
    <x:row r="974">
      <x:c r="A974" s="50" t="n">
        <x:v>46173</x:v>
      </x:c>
      <x:c r="B974" s="14" t="str">
        <x:v>SKU-0096</x:v>
      </x:c>
      <x:c r="C974" s="52" t="n">
        <x:v>7</x:v>
      </x:c>
      <x:c r="D974" s="40" t="n">
        <x:v>49.99</x:v>
      </x:c>
      <x:c r="E974" s="44" t="n">
        <x:f>C974*D974</x:f>
        <x:v>349.93</x:v>
      </x:c>
      <x:c r="F974" s="40" t="n">
        <x:v>29.46</x:v>
      </x:c>
      <x:c r="G974" s="44" t="n">
        <x:f>C974*F974</x:f>
        <x:v>206.22</x:v>
      </x:c>
      <x:c r="H974" s="44" t="n">
        <x:f>E974-G974</x:f>
        <x:v>143.71</x:v>
      </x:c>
      <x:c r="I974" s="14" t="str">
        <x:v>SMB</x:v>
      </x:c>
      <x:c r="J974" s="14" t="str">
        <x:v>Midwest</x:v>
      </x:c>
    </x:row>
    <x:row r="975">
      <x:c r="A975" s="50" t="n">
        <x:v>46223</x:v>
      </x:c>
      <x:c r="B975" s="14" t="str">
        <x:v>SKU-0129</x:v>
      </x:c>
      <x:c r="C975" s="52" t="n">
        <x:v>3</x:v>
      </x:c>
      <x:c r="D975" s="40" t="n">
        <x:v>271.89</x:v>
      </x:c>
      <x:c r="E975" s="44" t="n">
        <x:f>C975*D975</x:f>
        <x:v>815.67</x:v>
      </x:c>
      <x:c r="F975" s="40" t="n">
        <x:v>178.22</x:v>
      </x:c>
      <x:c r="G975" s="44" t="n">
        <x:f>C975*F975</x:f>
        <x:v>534.66</x:v>
      </x:c>
      <x:c r="H975" s="44" t="n">
        <x:f>E975-G975</x:f>
        <x:v>281.01</x:v>
      </x:c>
      <x:c r="I975" s="14" t="str">
        <x:v>Distributor</x:v>
      </x:c>
      <x:c r="J975" s="14" t="str">
        <x:v>Midwest</x:v>
      </x:c>
    </x:row>
    <x:row r="976">
      <x:c r="A976" s="50" t="n">
        <x:v>46088</x:v>
      </x:c>
      <x:c r="B976" s="14" t="str">
        <x:v>SKU-0002</x:v>
      </x:c>
      <x:c r="C976" s="52" t="n">
        <x:v>1</x:v>
      </x:c>
      <x:c r="D976" s="40" t="n">
        <x:v>81.72</x:v>
      </x:c>
      <x:c r="E976" s="44" t="n">
        <x:f>C976*D976</x:f>
        <x:v>81.72</x:v>
      </x:c>
      <x:c r="F976" s="40" t="n">
        <x:v>66.06</x:v>
      </x:c>
      <x:c r="G976" s="44" t="n">
        <x:f>C976*F976</x:f>
        <x:v>66.06</x:v>
      </x:c>
      <x:c r="H976" s="44" t="n">
        <x:f>E976-G976</x:f>
        <x:v>15.659999999999997</x:v>
      </x:c>
      <x:c r="I976" s="14" t="str">
        <x:v>Distributor</x:v>
      </x:c>
      <x:c r="J976" s="14" t="str">
        <x:v>Midwest</x:v>
      </x:c>
    </x:row>
    <x:row r="977">
      <x:c r="A977" s="50" t="n">
        <x:v>46186</x:v>
      </x:c>
      <x:c r="B977" s="14" t="str">
        <x:v>SKU-0119</x:v>
      </x:c>
      <x:c r="C977" s="52" t="n">
        <x:v>26</x:v>
      </x:c>
      <x:c r="D977" s="40" t="n">
        <x:v>89.22</x:v>
      </x:c>
      <x:c r="E977" s="44" t="n">
        <x:f>C977*D977</x:f>
        <x:v>2319.72</x:v>
      </x:c>
      <x:c r="F977" s="40" t="n">
        <x:v>52.57</x:v>
      </x:c>
      <x:c r="G977" s="44" t="n">
        <x:f>C977*F977</x:f>
        <x:v>1366.82</x:v>
      </x:c>
      <x:c r="H977" s="44" t="n">
        <x:f>E977-G977</x:f>
        <x:v>952.8999999999999</x:v>
      </x:c>
      <x:c r="I977" s="14" t="str">
        <x:v>SMB</x:v>
      </x:c>
      <x:c r="J977" s="14" t="str">
        <x:v>Northeast</x:v>
      </x:c>
    </x:row>
    <x:row r="978">
      <x:c r="A978" s="50" t="n">
        <x:v>45993</x:v>
      </x:c>
      <x:c r="B978" s="14" t="str">
        <x:v>SKU-0084</x:v>
      </x:c>
      <x:c r="C978" s="52" t="n">
        <x:v>3</x:v>
      </x:c>
      <x:c r="D978" s="40" t="n">
        <x:v>229.3</x:v>
      </x:c>
      <x:c r="E978" s="44" t="n">
        <x:f>C978*D978</x:f>
        <x:v>687.9000000000001</x:v>
      </x:c>
      <x:c r="F978" s="40" t="n">
        <x:v>108.77</x:v>
      </x:c>
      <x:c r="G978" s="44" t="n">
        <x:f>C978*F978</x:f>
        <x:v>326.31</x:v>
      </x:c>
      <x:c r="H978" s="44" t="n">
        <x:f>E978-G978</x:f>
        <x:v>361.5900000000001</x:v>
      </x:c>
      <x:c r="I978" s="14" t="str">
        <x:v>Internal Use</x:v>
      </x:c>
      <x:c r="J978" s="14" t="str">
        <x:v>West</x:v>
      </x:c>
    </x:row>
    <x:row r="979">
      <x:c r="A979" s="50" t="n">
        <x:v>46157</x:v>
      </x:c>
      <x:c r="B979" s="14" t="str">
        <x:v>SKU-0085</x:v>
      </x:c>
      <x:c r="C979" s="52" t="n">
        <x:v>1</x:v>
      </x:c>
      <x:c r="D979" s="40" t="n">
        <x:v>358.68</x:v>
      </x:c>
      <x:c r="E979" s="44" t="n">
        <x:f>C979*D979</x:f>
        <x:v>358.68</x:v>
      </x:c>
      <x:c r="F979" s="40" t="n">
        <x:v>222.39</x:v>
      </x:c>
      <x:c r="G979" s="44" t="n">
        <x:f>C979*F979</x:f>
        <x:v>222.39</x:v>
      </x:c>
      <x:c r="H979" s="44" t="n">
        <x:f>E979-G979</x:f>
        <x:v>136.29000000000002</x:v>
      </x:c>
      <x:c r="I979" s="14" t="str">
        <x:v>Distributor</x:v>
      </x:c>
      <x:c r="J979" s="14" t="str">
        <x:v>Midwest</x:v>
      </x:c>
    </x:row>
    <x:row r="980">
      <x:c r="A980" s="50" t="n">
        <x:v>46107</x:v>
      </x:c>
      <x:c r="B980" s="14" t="str">
        <x:v>SKU-0089</x:v>
      </x:c>
      <x:c r="C980" s="52" t="n">
        <x:v>8</x:v>
      </x:c>
      <x:c r="D980" s="40" t="n">
        <x:v>64.33</x:v>
      </x:c>
      <x:c r="E980" s="44" t="n">
        <x:f>C980*D980</x:f>
        <x:v>514.64</x:v>
      </x:c>
      <x:c r="F980" s="40" t="n">
        <x:v>48.67</x:v>
      </x:c>
      <x:c r="G980" s="44" t="n">
        <x:f>C980*F980</x:f>
        <x:v>389.36</x:v>
      </x:c>
      <x:c r="H980" s="44" t="n">
        <x:f>E980-G980</x:f>
        <x:v>125.27999999999997</x:v>
      </x:c>
      <x:c r="I980" s="14" t="str">
        <x:v>Internal Use</x:v>
      </x:c>
      <x:c r="J980" s="14" t="str">
        <x:v>Midwest</x:v>
      </x:c>
    </x:row>
    <x:row r="981">
      <x:c r="A981" s="50" t="n">
        <x:v>45896</x:v>
      </x:c>
      <x:c r="B981" s="14" t="str">
        <x:v>SKU-0104</x:v>
      </x:c>
      <x:c r="C981" s="52" t="n">
        <x:v>15</x:v>
      </x:c>
      <x:c r="D981" s="40" t="n">
        <x:v>149.42</x:v>
      </x:c>
      <x:c r="E981" s="44" t="n">
        <x:f>C981*D981</x:f>
        <x:v>2241.2999999999997</x:v>
      </x:c>
      <x:c r="F981" s="40" t="n">
        <x:v>105.32</x:v>
      </x:c>
      <x:c r="G981" s="44" t="n">
        <x:f>C981*F981</x:f>
        <x:v>1579.8</x:v>
      </x:c>
      <x:c r="H981" s="44" t="n">
        <x:f>E981-G981</x:f>
        <x:v>661.4999999999998</x:v>
      </x:c>
      <x:c r="I981" s="14" t="str">
        <x:v>Internal Use</x:v>
      </x:c>
      <x:c r="J981" s="14" t="str">
        <x:v>Midwest</x:v>
      </x:c>
    </x:row>
    <x:row r="982">
      <x:c r="A982" s="50" t="n">
        <x:v>45986</x:v>
      </x:c>
      <x:c r="B982" s="14" t="str">
        <x:v>SKU-0022</x:v>
      </x:c>
      <x:c r="C982" s="52" t="n">
        <x:v>18</x:v>
      </x:c>
      <x:c r="D982" s="40" t="n">
        <x:v>276.75</x:v>
      </x:c>
      <x:c r="E982" s="44" t="n">
        <x:f>C982*D982</x:f>
        <x:v>4981.5</x:v>
      </x:c>
      <x:c r="F982" s="40" t="n">
        <x:v>167.48</x:v>
      </x:c>
      <x:c r="G982" s="44" t="n">
        <x:f>C982*F982</x:f>
        <x:v>3014.64</x:v>
      </x:c>
      <x:c r="H982" s="44" t="n">
        <x:f>E982-G982</x:f>
        <x:v>1966.8600000000001</x:v>
      </x:c>
      <x:c r="I982" s="14" t="str">
        <x:v>Distributor</x:v>
      </x:c>
      <x:c r="J982" s="14" t="str">
        <x:v>West</x:v>
      </x:c>
    </x:row>
    <x:row r="983">
      <x:c r="A983" s="50" t="n">
        <x:v>45895</x:v>
      </x:c>
      <x:c r="B983" s="14" t="str">
        <x:v>SKU-0120</x:v>
      </x:c>
      <x:c r="C983" s="52" t="n">
        <x:v>2</x:v>
      </x:c>
      <x:c r="D983" s="40" t="n">
        <x:v>73.41</x:v>
      </x:c>
      <x:c r="E983" s="44" t="n">
        <x:f>C983*D983</x:f>
        <x:v>146.82</x:v>
      </x:c>
      <x:c r="F983" s="40" t="n">
        <x:v>41.87</x:v>
      </x:c>
      <x:c r="G983" s="44" t="n">
        <x:f>C983*F983</x:f>
        <x:v>83.74</x:v>
      </x:c>
      <x:c r="H983" s="44" t="n">
        <x:f>E983-G983</x:f>
        <x:v>63.08</x:v>
      </x:c>
      <x:c r="I983" s="14" t="str">
        <x:v>Internal Use</x:v>
      </x:c>
      <x:c r="J983" s="14" t="str">
        <x:v>West</x:v>
      </x:c>
    </x:row>
    <x:row r="984">
      <x:c r="A984" s="50" t="n">
        <x:v>46025</x:v>
      </x:c>
      <x:c r="B984" s="14" t="str">
        <x:v>SKU-0006</x:v>
      </x:c>
      <x:c r="C984" s="52" t="n">
        <x:v>10</x:v>
      </x:c>
      <x:c r="D984" s="40" t="n">
        <x:v>276.83</x:v>
      </x:c>
      <x:c r="E984" s="44" t="n">
        <x:f>C984*D984</x:f>
        <x:v>2768.2999999999997</x:v>
      </x:c>
      <x:c r="F984" s="40" t="n">
        <x:v>241.37</x:v>
      </x:c>
      <x:c r="G984" s="44" t="n">
        <x:f>C984*F984</x:f>
        <x:v>2413.7</x:v>
      </x:c>
      <x:c r="H984" s="44" t="n">
        <x:f>E984-G984</x:f>
        <x:v>354.5999999999999</x:v>
      </x:c>
      <x:c r="I984" s="14" t="str">
        <x:v>SMB</x:v>
      </x:c>
      <x:c r="J984" s="14" t="str">
        <x:v>West</x:v>
      </x:c>
    </x:row>
    <x:row r="985">
      <x:c r="A985" s="50" t="n">
        <x:v>45929</x:v>
      </x:c>
      <x:c r="B985" s="14" t="str">
        <x:v>SKU-0032</x:v>
      </x:c>
      <x:c r="C985" s="52" t="n">
        <x:v>7</x:v>
      </x:c>
      <x:c r="D985" s="40" t="n">
        <x:v>260.78</x:v>
      </x:c>
      <x:c r="E985" s="44" t="n">
        <x:f>C985*D985</x:f>
        <x:v>1825.4599999999998</x:v>
      </x:c>
      <x:c r="F985" s="40" t="n">
        <x:v>221</x:v>
      </x:c>
      <x:c r="G985" s="44" t="n">
        <x:f>C985*F985</x:f>
        <x:v>1547</x:v>
      </x:c>
      <x:c r="H985" s="44" t="n">
        <x:f>E985-G985</x:f>
        <x:v>278.4599999999998</x:v>
      </x:c>
      <x:c r="I985" s="14" t="str">
        <x:v>Distributor</x:v>
      </x:c>
      <x:c r="J985" s="14" t="str">
        <x:v>Southeast</x:v>
      </x:c>
    </x:row>
    <x:row r="986">
      <x:c r="A986" s="50" t="n">
        <x:v>46085</x:v>
      </x:c>
      <x:c r="B986" s="14" t="str">
        <x:v>SKU-0041</x:v>
      </x:c>
      <x:c r="C986" s="52" t="n">
        <x:v>10</x:v>
      </x:c>
      <x:c r="D986" s="40" t="n">
        <x:v>192.92</x:v>
      </x:c>
      <x:c r="E986" s="44" t="n">
        <x:f>C986*D986</x:f>
        <x:v>1929.1999999999998</x:v>
      </x:c>
      <x:c r="F986" s="40" t="n">
        <x:v>117.51</x:v>
      </x:c>
      <x:c r="G986" s="44" t="n">
        <x:f>C986*F986</x:f>
        <x:v>1175.1000000000001</x:v>
      </x:c>
      <x:c r="H986" s="44" t="n">
        <x:f>E986-G986</x:f>
        <x:v>754.0999999999997</x:v>
      </x:c>
      <x:c r="I986" s="14" t="str">
        <x:v>Distributor</x:v>
      </x:c>
      <x:c r="J986" s="14" t="str">
        <x:v>Midwest</x:v>
      </x:c>
    </x:row>
    <x:row r="987">
      <x:c r="A987" s="50" t="n">
        <x:v>46202</x:v>
      </x:c>
      <x:c r="B987" s="14" t="str">
        <x:v>SKU-0093</x:v>
      </x:c>
      <x:c r="C987" s="52" t="n">
        <x:v>5</x:v>
      </x:c>
      <x:c r="D987" s="40" t="n">
        <x:v>295.17</x:v>
      </x:c>
      <x:c r="E987" s="44" t="n">
        <x:f>C987*D987</x:f>
        <x:v>1475.8500000000001</x:v>
      </x:c>
      <x:c r="F987" s="40" t="n">
        <x:v>239.3</x:v>
      </x:c>
      <x:c r="G987" s="44" t="n">
        <x:f>C987*F987</x:f>
        <x:v>1196.5</x:v>
      </x:c>
      <x:c r="H987" s="44" t="n">
        <x:f>E987-G987</x:f>
        <x:v>279.35000000000014</x:v>
      </x:c>
      <x:c r="I987" s="14" t="str">
        <x:v>Internal Use</x:v>
      </x:c>
      <x:c r="J987" s="14" t="str">
        <x:v>West</x:v>
      </x:c>
    </x:row>
    <x:row r="988">
      <x:c r="A988" s="50" t="n">
        <x:v>46026</x:v>
      </x:c>
      <x:c r="B988" s="14" t="str">
        <x:v>SKU-0119</x:v>
      </x:c>
      <x:c r="C988" s="52" t="n">
        <x:v>20</x:v>
      </x:c>
      <x:c r="D988" s="40" t="n">
        <x:v>101.31</x:v>
      </x:c>
      <x:c r="E988" s="44" t="n">
        <x:f>C988*D988</x:f>
        <x:v>2026.2</x:v>
      </x:c>
      <x:c r="F988" s="40" t="n">
        <x:v>52.57</x:v>
      </x:c>
      <x:c r="G988" s="44" t="n">
        <x:f>C988*F988</x:f>
        <x:v>1051.4</x:v>
      </x:c>
      <x:c r="H988" s="44" t="n">
        <x:f>E988-G988</x:f>
        <x:v>974.8</x:v>
      </x:c>
      <x:c r="I988" s="14" t="str">
        <x:v>SMB</x:v>
      </x:c>
      <x:c r="J988" s="14" t="str">
        <x:v>West</x:v>
      </x:c>
    </x:row>
    <x:row r="989">
      <x:c r="A989" s="50" t="n">
        <x:v>45881</x:v>
      </x:c>
      <x:c r="B989" s="14" t="str">
        <x:v>SKU-0074</x:v>
      </x:c>
      <x:c r="C989" s="52" t="n">
        <x:v>9</x:v>
      </x:c>
      <x:c r="D989" s="40" t="n">
        <x:v>345.81</x:v>
      </x:c>
      <x:c r="E989" s="44" t="n">
        <x:f>C989*D989</x:f>
        <x:v>3112.29</x:v>
      </x:c>
      <x:c r="F989" s="40" t="n">
        <x:v>206.33</x:v>
      </x:c>
      <x:c r="G989" s="44" t="n">
        <x:f>C989*F989</x:f>
        <x:v>1856.97</x:v>
      </x:c>
      <x:c r="H989" s="44" t="n">
        <x:f>E989-G989</x:f>
        <x:v>1255.32</x:v>
      </x:c>
      <x:c r="I989" s="14" t="str">
        <x:v>SMB</x:v>
      </x:c>
      <x:c r="J989" s="14" t="str">
        <x:v>Northeast</x:v>
      </x:c>
    </x:row>
    <x:row r="990">
      <x:c r="A990" s="50" t="n">
        <x:v>46177</x:v>
      </x:c>
      <x:c r="B990" s="14" t="str">
        <x:v>SKU-0099</x:v>
      </x:c>
      <x:c r="C990" s="52" t="n">
        <x:v>6</x:v>
      </x:c>
      <x:c r="D990" s="40" t="n">
        <x:v>204.98</x:v>
      </x:c>
      <x:c r="E990" s="44" t="n">
        <x:f>C990*D990</x:f>
        <x:v>1229.8799999999999</x:v>
      </x:c>
      <x:c r="F990" s="40" t="n">
        <x:v>104</x:v>
      </x:c>
      <x:c r="G990" s="44" t="n">
        <x:f>C990*F990</x:f>
        <x:v>624</x:v>
      </x:c>
      <x:c r="H990" s="44" t="n">
        <x:f>E990-G990</x:f>
        <x:v>605.8799999999999</x:v>
      </x:c>
      <x:c r="I990" s="14" t="str">
        <x:v>SMB</x:v>
      </x:c>
      <x:c r="J990" s="14" t="str">
        <x:v>Northeast</x:v>
      </x:c>
    </x:row>
    <x:row r="991">
      <x:c r="A991" s="50" t="n">
        <x:v>46089</x:v>
      </x:c>
      <x:c r="B991" s="14" t="str">
        <x:v>SKU-0147</x:v>
      </x:c>
      <x:c r="C991" s="52" t="n">
        <x:v>22</x:v>
      </x:c>
      <x:c r="D991" s="40" t="n">
        <x:v>57.49</x:v>
      </x:c>
      <x:c r="E991" s="44" t="n">
        <x:f>C991*D991</x:f>
        <x:v>1264.78</x:v>
      </x:c>
      <x:c r="F991" s="40" t="n">
        <x:v>27.95</x:v>
      </x:c>
      <x:c r="G991" s="44" t="n">
        <x:f>C991*F991</x:f>
        <x:v>614.9</x:v>
      </x:c>
      <x:c r="H991" s="44" t="n">
        <x:f>E991-G991</x:f>
        <x:v>649.88</x:v>
      </x:c>
      <x:c r="I991" s="14" t="str">
        <x:v>Internal Use</x:v>
      </x:c>
      <x:c r="J991" s="14" t="str">
        <x:v>Northeast</x:v>
      </x:c>
    </x:row>
    <x:row r="992">
      <x:c r="A992" s="50" t="n">
        <x:v>45891</x:v>
      </x:c>
      <x:c r="B992" s="14" t="str">
        <x:v>SKU-0095</x:v>
      </x:c>
      <x:c r="C992" s="52" t="n">
        <x:v>14</x:v>
      </x:c>
      <x:c r="D992" s="40" t="n">
        <x:v>316.33</x:v>
      </x:c>
      <x:c r="E992" s="44" t="n">
        <x:f>C992*D992</x:f>
        <x:v>4428.62</x:v>
      </x:c>
      <x:c r="F992" s="40" t="n">
        <x:v>225.04</x:v>
      </x:c>
      <x:c r="G992" s="44" t="n">
        <x:f>C992*F992</x:f>
        <x:v>3150.56</x:v>
      </x:c>
      <x:c r="H992" s="44" t="n">
        <x:f>E992-G992</x:f>
        <x:v>1278.06</x:v>
      </x:c>
      <x:c r="I992" s="14" t="str">
        <x:v>SMB</x:v>
      </x:c>
      <x:c r="J992" s="14" t="str">
        <x:v>West</x:v>
      </x:c>
    </x:row>
    <x:row r="993">
      <x:c r="A993" s="50" t="n">
        <x:v>46002</x:v>
      </x:c>
      <x:c r="B993" s="14" t="str">
        <x:v>SKU-0095</x:v>
      </x:c>
      <x:c r="C993" s="52" t="n">
        <x:v>21</x:v>
      </x:c>
      <x:c r="D993" s="40" t="n">
        <x:v>290.04</x:v>
      </x:c>
      <x:c r="E993" s="44" t="n">
        <x:f>C993*D993</x:f>
        <x:v>6090.84</x:v>
      </x:c>
      <x:c r="F993" s="40" t="n">
        <x:v>225.04</x:v>
      </x:c>
      <x:c r="G993" s="44" t="n">
        <x:f>C993*F993</x:f>
        <x:v>4725.84</x:v>
      </x:c>
      <x:c r="H993" s="44" t="n">
        <x:f>E993-G993</x:f>
        <x:v>1365</x:v>
      </x:c>
      <x:c r="I993" s="14" t="str">
        <x:v>Enterprise</x:v>
      </x:c>
      <x:c r="J993" s="14" t="str">
        <x:v>Southeast</x:v>
      </x:c>
    </x:row>
    <x:row r="994">
      <x:c r="A994" s="50" t="n">
        <x:v>46116</x:v>
      </x:c>
      <x:c r="B994" s="14" t="str">
        <x:v>SKU-0148</x:v>
      </x:c>
      <x:c r="C994" s="52" t="n">
        <x:v>7</x:v>
      </x:c>
      <x:c r="D994" s="40" t="n">
        <x:v>401.72</x:v>
      </x:c>
      <x:c r="E994" s="44" t="n">
        <x:f>C994*D994</x:f>
        <x:v>2812.04</x:v>
      </x:c>
      <x:c r="F994" s="40" t="n">
        <x:v>278.48</x:v>
      </x:c>
      <x:c r="G994" s="44" t="n">
        <x:f>C994*F994</x:f>
        <x:v>1949.3600000000001</x:v>
      </x:c>
      <x:c r="H994" s="44" t="n">
        <x:f>E994-G994</x:f>
        <x:v>862.6799999999998</x:v>
      </x:c>
      <x:c r="I994" s="14" t="str">
        <x:v>SMB</x:v>
      </x:c>
      <x:c r="J994" s="14" t="str">
        <x:v>Southeast</x:v>
      </x:c>
    </x:row>
    <x:row r="995">
      <x:c r="A995" s="50" t="n">
        <x:v>46136</x:v>
      </x:c>
      <x:c r="B995" s="14" t="str">
        <x:v>SKU-0119</x:v>
      </x:c>
      <x:c r="C995" s="52" t="n">
        <x:v>24</x:v>
      </x:c>
      <x:c r="D995" s="40" t="n">
        <x:v>100.06</x:v>
      </x:c>
      <x:c r="E995" s="44" t="n">
        <x:f>C995*D995</x:f>
        <x:v>2401.44</x:v>
      </x:c>
      <x:c r="F995" s="40" t="n">
        <x:v>52.57</x:v>
      </x:c>
      <x:c r="G995" s="44" t="n">
        <x:f>C995*F995</x:f>
        <x:v>1261.68</x:v>
      </x:c>
      <x:c r="H995" s="44" t="n">
        <x:f>E995-G995</x:f>
        <x:v>1139.76</x:v>
      </x:c>
      <x:c r="I995" s="14" t="str">
        <x:v>SMB</x:v>
      </x:c>
      <x:c r="J995" s="14" t="str">
        <x:v>Southeast</x:v>
      </x:c>
    </x:row>
    <x:row r="996">
      <x:c r="A996" s="50" t="n">
        <x:v>45915</x:v>
      </x:c>
      <x:c r="B996" s="14" t="str">
        <x:v>SKU-0119</x:v>
      </x:c>
      <x:c r="C996" s="52" t="n">
        <x:v>56</x:v>
      </x:c>
      <x:c r="D996" s="40" t="n">
        <x:v>102.36</x:v>
      </x:c>
      <x:c r="E996" s="44" t="n">
        <x:f>C996*D996</x:f>
        <x:v>5732.16</x:v>
      </x:c>
      <x:c r="F996" s="40" t="n">
        <x:v>52.57</x:v>
      </x:c>
      <x:c r="G996" s="44" t="n">
        <x:f>C996*F996</x:f>
        <x:v>2943.92</x:v>
      </x:c>
      <x:c r="H996" s="44" t="n">
        <x:f>E996-G996</x:f>
        <x:v>2788.24</x:v>
      </x:c>
      <x:c r="I996" s="14" t="str">
        <x:v>Internal Use</x:v>
      </x:c>
      <x:c r="J996" s="14" t="str">
        <x:v>Northeast</x:v>
      </x:c>
    </x:row>
    <x:row r="997">
      <x:c r="A997" s="50" t="n">
        <x:v>46013</x:v>
      </x:c>
      <x:c r="B997" s="14" t="str">
        <x:v>SKU-0107</x:v>
      </x:c>
      <x:c r="C997" s="52" t="n">
        <x:v>28</x:v>
      </x:c>
      <x:c r="D997" s="40" t="n">
        <x:v>434.05</x:v>
      </x:c>
      <x:c r="E997" s="44" t="n">
        <x:f>C997*D997</x:f>
        <x:v>12153.4</x:v>
      </x:c>
      <x:c r="F997" s="40" t="n">
        <x:v>217.39</x:v>
      </x:c>
      <x:c r="G997" s="44" t="n">
        <x:f>C997*F997</x:f>
        <x:v>6086.92</x:v>
      </x:c>
      <x:c r="H997" s="44" t="n">
        <x:f>E997-G997</x:f>
        <x:v>6066.48</x:v>
      </x:c>
      <x:c r="I997" s="14" t="str">
        <x:v>Enterprise</x:v>
      </x:c>
      <x:c r="J997" s="14" t="str">
        <x:v>West</x:v>
      </x:c>
    </x:row>
    <x:row r="998">
      <x:c r="A998" s="50" t="n">
        <x:v>45910</x:v>
      </x:c>
      <x:c r="B998" s="14" t="str">
        <x:v>SKU-0124</x:v>
      </x:c>
      <x:c r="C998" s="52" t="n">
        <x:v>5</x:v>
      </x:c>
      <x:c r="D998" s="40" t="n">
        <x:v>137.17</x:v>
      </x:c>
      <x:c r="E998" s="44" t="n">
        <x:f>C998*D998</x:f>
        <x:v>685.8499999999999</x:v>
      </x:c>
      <x:c r="F998" s="40" t="n">
        <x:v>59.23</x:v>
      </x:c>
      <x:c r="G998" s="44" t="n">
        <x:f>C998*F998</x:f>
        <x:v>296.15</x:v>
      </x:c>
      <x:c r="H998" s="44" t="n">
        <x:f>E998-G998</x:f>
        <x:v>389.69999999999993</x:v>
      </x:c>
      <x:c r="I998" s="14" t="str">
        <x:v>Enterprise</x:v>
      </x:c>
      <x:c r="J998" s="14" t="str">
        <x:v>Midwest</x:v>
      </x:c>
    </x:row>
    <x:row r="999">
      <x:c r="A999" s="50" t="n">
        <x:v>46141</x:v>
      </x:c>
      <x:c r="B999" s="14" t="str">
        <x:v>SKU-0103</x:v>
      </x:c>
      <x:c r="C999" s="52" t="n">
        <x:v>12</x:v>
      </x:c>
      <x:c r="D999" s="40" t="n">
        <x:v>279.95</x:v>
      </x:c>
      <x:c r="E999" s="44" t="n">
        <x:f>C999*D999</x:f>
        <x:v>3359.3999999999996</x:v>
      </x:c>
      <x:c r="F999" s="40" t="n">
        <x:v>208.48</x:v>
      </x:c>
      <x:c r="G999" s="44" t="n">
        <x:f>C999*F999</x:f>
        <x:v>2501.7599999999998</x:v>
      </x:c>
      <x:c r="H999" s="44" t="n">
        <x:f>E999-G999</x:f>
        <x:v>857.6399999999999</x:v>
      </x:c>
      <x:c r="I999" s="14" t="str">
        <x:v>Enterprise</x:v>
      </x:c>
      <x:c r="J999" s="14" t="str">
        <x:v>Southeast</x:v>
      </x:c>
    </x:row>
    <x:row r="1000">
      <x:c r="A1000" s="50" t="n">
        <x:v>46176</x:v>
      </x:c>
      <x:c r="B1000" s="14" t="str">
        <x:v>SKU-0068</x:v>
      </x:c>
      <x:c r="C1000" s="52" t="n">
        <x:v>13</x:v>
      </x:c>
      <x:c r="D1000" s="40" t="n">
        <x:v>222.82</x:v>
      </x:c>
      <x:c r="E1000" s="44" t="n">
        <x:f>C1000*D1000</x:f>
        <x:v>2896.66</x:v>
      </x:c>
      <x:c r="F1000" s="40" t="n">
        <x:v>157.37</x:v>
      </x:c>
      <x:c r="G1000" s="44" t="n">
        <x:f>C1000*F1000</x:f>
        <x:v>2045.81</x:v>
      </x:c>
      <x:c r="H1000" s="44" t="n">
        <x:f>E1000-G1000</x:f>
        <x:v>850.8499999999999</x:v>
      </x:c>
      <x:c r="I1000" s="14" t="str">
        <x:v>Internal Use</x:v>
      </x:c>
      <x:c r="J1000" s="14" t="str">
        <x:v>Midwest</x:v>
      </x:c>
    </x:row>
    <x:row r="1001">
      <x:c r="A1001" s="50" t="n">
        <x:v>46004</x:v>
      </x:c>
      <x:c r="B1001" s="14" t="str">
        <x:v>SKU-0037</x:v>
      </x:c>
      <x:c r="C1001" s="52" t="n">
        <x:v>15</x:v>
      </x:c>
      <x:c r="D1001" s="40" t="n">
        <x:v>160.74</x:v>
      </x:c>
      <x:c r="E1001" s="44" t="n">
        <x:f>C1001*D1001</x:f>
        <x:v>2411.1000000000004</x:v>
      </x:c>
      <x:c r="F1001" s="40" t="n">
        <x:v>115.83</x:v>
      </x:c>
      <x:c r="G1001" s="44" t="n">
        <x:f>C1001*F1001</x:f>
        <x:v>1737.45</x:v>
      </x:c>
      <x:c r="H1001" s="44" t="n">
        <x:f>E1001-G1001</x:f>
        <x:v>673.6500000000003</x:v>
      </x:c>
      <x:c r="I1001" s="14" t="str">
        <x:v>Enterprise</x:v>
      </x:c>
      <x:c r="J1001" s="14" t="str">
        <x:v>West</x:v>
      </x:c>
    </x:row>
    <x:row r="1002">
      <x:c r="A1002" s="50" t="n">
        <x:v>46005</x:v>
      </x:c>
      <x:c r="B1002" s="14" t="str">
        <x:v>SKU-0126</x:v>
      </x:c>
      <x:c r="C1002" s="52" t="n">
        <x:v>15</x:v>
      </x:c>
      <x:c r="D1002" s="40" t="n">
        <x:v>17.11</x:v>
      </x:c>
      <x:c r="E1002" s="44" t="n">
        <x:f>C1002*D1002</x:f>
        <x:v>256.65</x:v>
      </x:c>
      <x:c r="F1002" s="40" t="n">
        <x:v>7.7</x:v>
      </x:c>
      <x:c r="G1002" s="44" t="n">
        <x:f>C1002*F1002</x:f>
        <x:v>115.5</x:v>
      </x:c>
      <x:c r="H1002" s="44" t="n">
        <x:f>E1002-G1002</x:f>
        <x:v>141.14999999999998</x:v>
      </x:c>
      <x:c r="I1002" s="14" t="str">
        <x:v>Distributor</x:v>
      </x:c>
      <x:c r="J1002" s="14" t="str">
        <x:v>West</x:v>
      </x:c>
    </x:row>
    <x:row r="1003">
      <x:c r="A1003" s="50" t="n">
        <x:v>46170</x:v>
      </x:c>
      <x:c r="B1003" s="14" t="str">
        <x:v>SKU-0067</x:v>
      </x:c>
      <x:c r="C1003" s="52" t="n">
        <x:v>3</x:v>
      </x:c>
      <x:c r="D1003" s="40" t="n">
        <x:v>130.03</x:v>
      </x:c>
      <x:c r="E1003" s="44" t="n">
        <x:f>C1003*D1003</x:f>
        <x:v>390.09000000000003</x:v>
      </x:c>
      <x:c r="F1003" s="40" t="n">
        <x:v>113.7</x:v>
      </x:c>
      <x:c r="G1003" s="44" t="n">
        <x:f>C1003*F1003</x:f>
        <x:v>341.1</x:v>
      </x:c>
      <x:c r="H1003" s="44" t="n">
        <x:f>E1003-G1003</x:f>
        <x:v>48.99000000000001</x:v>
      </x:c>
      <x:c r="I1003" s="14" t="str">
        <x:v>Distributor</x:v>
      </x:c>
      <x:c r="J1003" s="14" t="str">
        <x:v>Midwest</x:v>
      </x:c>
    </x:row>
    <x:row r="1004">
      <x:c r="A1004" s="50" t="n">
        <x:v>46037</x:v>
      </x:c>
      <x:c r="B1004" s="14" t="str">
        <x:v>SKU-0075</x:v>
      </x:c>
      <x:c r="C1004" s="52" t="n">
        <x:v>12</x:v>
      </x:c>
      <x:c r="D1004" s="40" t="n">
        <x:v>25.5</x:v>
      </x:c>
      <x:c r="E1004" s="44" t="n">
        <x:f>C1004*D1004</x:f>
        <x:v>306</x:v>
      </x:c>
      <x:c r="F1004" s="40" t="n">
        <x:v>13.66</x:v>
      </x:c>
      <x:c r="G1004" s="44" t="n">
        <x:f>C1004*F1004</x:f>
        <x:v>163.92000000000002</x:v>
      </x:c>
      <x:c r="H1004" s="44" t="n">
        <x:f>E1004-G1004</x:f>
        <x:v>142.07999999999998</x:v>
      </x:c>
      <x:c r="I1004" s="14" t="str">
        <x:v>Distributor</x:v>
      </x:c>
      <x:c r="J1004" s="14" t="str">
        <x:v>Southeast</x:v>
      </x:c>
    </x:row>
    <x:row r="1005">
      <x:c r="A1005" s="50" t="n">
        <x:v>45955</x:v>
      </x:c>
      <x:c r="B1005" s="14" t="str">
        <x:v>SKU-0033</x:v>
      </x:c>
      <x:c r="C1005" s="52" t="n">
        <x:v>25</x:v>
      </x:c>
      <x:c r="D1005" s="40" t="n">
        <x:v>263.78</x:v>
      </x:c>
      <x:c r="E1005" s="44" t="n">
        <x:f>C1005*D1005</x:f>
        <x:v>6594.499999999999</x:v>
      </x:c>
      <x:c r="F1005" s="40" t="n">
        <x:v>185.66</x:v>
      </x:c>
      <x:c r="G1005" s="44" t="n">
        <x:f>C1005*F1005</x:f>
        <x:v>4641.5</x:v>
      </x:c>
      <x:c r="H1005" s="44" t="n">
        <x:f>E1005-G1005</x:f>
        <x:v>1952.999999999999</x:v>
      </x:c>
      <x:c r="I1005" s="14" t="str">
        <x:v>SMB</x:v>
      </x:c>
      <x:c r="J1005" s="14" t="str">
        <x:v>Northeast</x:v>
      </x:c>
    </x:row>
    <x:row r="1006">
      <x:c r="A1006" s="50" t="n">
        <x:v>46178</x:v>
      </x:c>
      <x:c r="B1006" s="14" t="str">
        <x:v>SKU-0055</x:v>
      </x:c>
      <x:c r="C1006" s="52" t="n">
        <x:v>4</x:v>
      </x:c>
      <x:c r="D1006" s="40" t="n">
        <x:v>334.36</x:v>
      </x:c>
      <x:c r="E1006" s="44" t="n">
        <x:f>C1006*D1006</x:f>
        <x:v>1337.44</x:v>
      </x:c>
      <x:c r="F1006" s="40" t="n">
        <x:v>263.76</x:v>
      </x:c>
      <x:c r="G1006" s="44" t="n">
        <x:f>C1006*F1006</x:f>
        <x:v>1055.04</x:v>
      </x:c>
      <x:c r="H1006" s="44" t="n">
        <x:f>E1006-G1006</x:f>
        <x:v>282.4000000000001</x:v>
      </x:c>
      <x:c r="I1006" s="14" t="str">
        <x:v>Internal Use</x:v>
      </x:c>
      <x:c r="J1006" s="14" t="str">
        <x:v>West</x:v>
      </x:c>
    </x:row>
    <x:row r="1007">
      <x:c r="A1007" s="50" t="n">
        <x:v>46056</x:v>
      </x:c>
      <x:c r="B1007" s="14" t="str">
        <x:v>SKU-0044</x:v>
      </x:c>
      <x:c r="C1007" s="52" t="n">
        <x:v>14</x:v>
      </x:c>
      <x:c r="D1007" s="40" t="n">
        <x:v>162.76</x:v>
      </x:c>
      <x:c r="E1007" s="44" t="n">
        <x:f>C1007*D1007</x:f>
        <x:v>2278.64</x:v>
      </x:c>
      <x:c r="F1007" s="40" t="n">
        <x:v>126.24</x:v>
      </x:c>
      <x:c r="G1007" s="44" t="n">
        <x:f>C1007*F1007</x:f>
        <x:v>1767.36</x:v>
      </x:c>
      <x:c r="H1007" s="44" t="n">
        <x:f>E1007-G1007</x:f>
        <x:v>511.28</x:v>
      </x:c>
      <x:c r="I1007" s="14" t="str">
        <x:v>Distributor</x:v>
      </x:c>
      <x:c r="J1007" s="14" t="str">
        <x:v>West</x:v>
      </x:c>
    </x:row>
    <x:row r="1008">
      <x:c r="A1008" s="50" t="n">
        <x:v>46211</x:v>
      </x:c>
      <x:c r="B1008" s="14" t="str">
        <x:v>SKU-0125</x:v>
      </x:c>
      <x:c r="C1008" s="52" t="n">
        <x:v>3</x:v>
      </x:c>
      <x:c r="D1008" s="40" t="n">
        <x:v>58.52</x:v>
      </x:c>
      <x:c r="E1008" s="44" t="n">
        <x:f>C1008*D1008</x:f>
        <x:v>175.56</x:v>
      </x:c>
      <x:c r="F1008" s="40" t="n">
        <x:v>38.35</x:v>
      </x:c>
      <x:c r="G1008" s="44" t="n">
        <x:f>C1008*F1008</x:f>
        <x:v>115.05000000000001</x:v>
      </x:c>
      <x:c r="H1008" s="44" t="n">
        <x:f>E1008-G1008</x:f>
        <x:v>60.50999999999999</x:v>
      </x:c>
      <x:c r="I1008" s="14" t="str">
        <x:v>Internal Use</x:v>
      </x:c>
      <x:c r="J1008" s="14" t="str">
        <x:v>Northeast</x:v>
      </x:c>
    </x:row>
    <x:row r="1009">
      <x:c r="A1009" s="50" t="n">
        <x:v>46055</x:v>
      </x:c>
      <x:c r="B1009" s="14" t="str">
        <x:v>SKU-0017</x:v>
      </x:c>
      <x:c r="C1009" s="52" t="n">
        <x:v>5</x:v>
      </x:c>
      <x:c r="D1009" s="40" t="n">
        <x:v>147</x:v>
      </x:c>
      <x:c r="E1009" s="44" t="n">
        <x:f>C1009*D1009</x:f>
        <x:v>735</x:v>
      </x:c>
      <x:c r="F1009" s="40" t="n">
        <x:v>71.82</x:v>
      </x:c>
      <x:c r="G1009" s="44" t="n">
        <x:f>C1009*F1009</x:f>
        <x:v>359.09999999999997</x:v>
      </x:c>
      <x:c r="H1009" s="44" t="n">
        <x:f>E1009-G1009</x:f>
        <x:v>375.90000000000003</x:v>
      </x:c>
      <x:c r="I1009" s="14" t="str">
        <x:v>Enterprise</x:v>
      </x:c>
      <x:c r="J1009" s="14" t="str">
        <x:v>Southeast</x:v>
      </x:c>
    </x:row>
    <x:row r="1010">
      <x:c r="A1010" s="50" t="n">
        <x:v>46135</x:v>
      </x:c>
      <x:c r="B1010" s="14" t="str">
        <x:v>SKU-0092</x:v>
      </x:c>
      <x:c r="C1010" s="52" t="n">
        <x:v>4</x:v>
      </x:c>
      <x:c r="D1010" s="40" t="n">
        <x:v>190.05</x:v>
      </x:c>
      <x:c r="E1010" s="44" t="n">
        <x:f>C1010*D1010</x:f>
        <x:v>760.2</x:v>
      </x:c>
      <x:c r="F1010" s="40" t="n">
        <x:v>125.08</x:v>
      </x:c>
      <x:c r="G1010" s="44" t="n">
        <x:f>C1010*F1010</x:f>
        <x:v>500.32</x:v>
      </x:c>
      <x:c r="H1010" s="44" t="n">
        <x:f>E1010-G1010</x:f>
        <x:v>259.88000000000005</x:v>
      </x:c>
      <x:c r="I1010" s="14" t="str">
        <x:v>SMB</x:v>
      </x:c>
      <x:c r="J1010" s="14" t="str">
        <x:v>Southeast</x:v>
      </x:c>
    </x:row>
    <x:row r="1011">
      <x:c r="A1011" s="50" t="n">
        <x:v>46220</x:v>
      </x:c>
      <x:c r="B1011" s="14" t="str">
        <x:v>SKU-0094</x:v>
      </x:c>
      <x:c r="C1011" s="52" t="n">
        <x:v>31</x:v>
      </x:c>
      <x:c r="D1011" s="40" t="n">
        <x:v>9.43</x:v>
      </x:c>
      <x:c r="E1011" s="44" t="n">
        <x:f>C1011*D1011</x:f>
        <x:v>292.33</x:v>
      </x:c>
      <x:c r="F1011" s="40" t="n">
        <x:v>4.75</x:v>
      </x:c>
      <x:c r="G1011" s="44" t="n">
        <x:f>C1011*F1011</x:f>
        <x:v>147.25</x:v>
      </x:c>
      <x:c r="H1011" s="44" t="n">
        <x:f>E1011-G1011</x:f>
        <x:v>145.07999999999998</x:v>
      </x:c>
      <x:c r="I1011" s="14" t="str">
        <x:v>Enterprise</x:v>
      </x:c>
      <x:c r="J1011" s="14" t="str">
        <x:v>Northeast</x:v>
      </x:c>
    </x:row>
    <x:row r="1012">
      <x:c r="A1012" s="50" t="n">
        <x:v>46170</x:v>
      </x:c>
      <x:c r="B1012" s="14" t="str">
        <x:v>SKU-0115</x:v>
      </x:c>
      <x:c r="C1012" s="52" t="n">
        <x:v>9</x:v>
      </x:c>
      <x:c r="D1012" s="40" t="n">
        <x:v>36.08</x:v>
      </x:c>
      <x:c r="E1012" s="44" t="n">
        <x:f>C1012*D1012</x:f>
        <x:v>324.71999999999997</x:v>
      </x:c>
      <x:c r="F1012" s="40" t="n">
        <x:v>27.81</x:v>
      </x:c>
      <x:c r="G1012" s="44" t="n">
        <x:f>C1012*F1012</x:f>
        <x:v>250.29</x:v>
      </x:c>
      <x:c r="H1012" s="44" t="n">
        <x:f>E1012-G1012</x:f>
        <x:v>74.42999999999998</x:v>
      </x:c>
      <x:c r="I1012" s="14" t="str">
        <x:v>SMB</x:v>
      </x:c>
      <x:c r="J1012" s="14" t="str">
        <x:v>Southeast</x:v>
      </x:c>
    </x:row>
    <x:row r="1013">
      <x:c r="A1013" s="50" t="n">
        <x:v>46233</x:v>
      </x:c>
      <x:c r="B1013" s="14" t="str">
        <x:v>SKU-0059</x:v>
      </x:c>
      <x:c r="C1013" s="52" t="n">
        <x:v>12</x:v>
      </x:c>
      <x:c r="D1013" s="40" t="n">
        <x:v>358.15</x:v>
      </x:c>
      <x:c r="E1013" s="44" t="n">
        <x:f>C1013*D1013</x:f>
        <x:v>4297.799999999999</x:v>
      </x:c>
      <x:c r="F1013" s="40" t="n">
        <x:v>247.15</x:v>
      </x:c>
      <x:c r="G1013" s="44" t="n">
        <x:f>C1013*F1013</x:f>
        <x:v>2965.8</x:v>
      </x:c>
      <x:c r="H1013" s="44" t="n">
        <x:f>E1013-G1013</x:f>
        <x:v>1331.999999999999</x:v>
      </x:c>
      <x:c r="I1013" s="14" t="str">
        <x:v>Distributor</x:v>
      </x:c>
      <x:c r="J1013" s="14" t="str">
        <x:v>Midwest</x:v>
      </x:c>
    </x:row>
    <x:row r="1014">
      <x:c r="A1014" s="50" t="n">
        <x:v>45977</x:v>
      </x:c>
      <x:c r="B1014" s="14" t="str">
        <x:v>SKU-0024</x:v>
      </x:c>
      <x:c r="C1014" s="52" t="n">
        <x:v>6</x:v>
      </x:c>
      <x:c r="D1014" s="40" t="n">
        <x:v>230.02</x:v>
      </x:c>
      <x:c r="E1014" s="44" t="n">
        <x:f>C1014*D1014</x:f>
        <x:v>1380.1200000000001</x:v>
      </x:c>
      <x:c r="F1014" s="40" t="n">
        <x:v>151.69</x:v>
      </x:c>
      <x:c r="G1014" s="44" t="n">
        <x:f>C1014*F1014</x:f>
        <x:v>910.14</x:v>
      </x:c>
      <x:c r="H1014" s="44" t="n">
        <x:f>E1014-G1014</x:f>
        <x:v>469.98000000000013</x:v>
      </x:c>
      <x:c r="I1014" s="14" t="str">
        <x:v>Internal Use</x:v>
      </x:c>
      <x:c r="J1014" s="14" t="str">
        <x:v>West</x:v>
      </x:c>
    </x:row>
    <x:row r="1015">
      <x:c r="A1015" s="50" t="n">
        <x:v>46154</x:v>
      </x:c>
      <x:c r="B1015" s="14" t="str">
        <x:v>SKU-0026</x:v>
      </x:c>
      <x:c r="C1015" s="52" t="n">
        <x:v>13</x:v>
      </x:c>
      <x:c r="D1015" s="40" t="n">
        <x:v>463.36</x:v>
      </x:c>
      <x:c r="E1015" s="44" t="n">
        <x:f>C1015*D1015</x:f>
        <x:v>6023.68</x:v>
      </x:c>
      <x:c r="F1015" s="40" t="n">
        <x:v>249.4</x:v>
      </x:c>
      <x:c r="G1015" s="44" t="n">
        <x:f>C1015*F1015</x:f>
        <x:v>3242.2000000000003</x:v>
      </x:c>
      <x:c r="H1015" s="44" t="n">
        <x:f>E1015-G1015</x:f>
        <x:v>2781.48</x:v>
      </x:c>
      <x:c r="I1015" s="14" t="str">
        <x:v>Internal Use</x:v>
      </x:c>
      <x:c r="J1015" s="14" t="str">
        <x:v>Northeast</x:v>
      </x:c>
    </x:row>
    <x:row r="1016">
      <x:c r="A1016" s="50" t="n">
        <x:v>45981</x:v>
      </x:c>
      <x:c r="B1016" s="14" t="str">
        <x:v>SKU-0122</x:v>
      </x:c>
      <x:c r="C1016" s="52" t="n">
        <x:v>2</x:v>
      </x:c>
      <x:c r="D1016" s="40" t="n">
        <x:v>38.71</x:v>
      </x:c>
      <x:c r="E1016" s="44" t="n">
        <x:f>C1016*D1016</x:f>
        <x:v>77.42</x:v>
      </x:c>
      <x:c r="F1016" s="40" t="n">
        <x:v>25.14</x:v>
      </x:c>
      <x:c r="G1016" s="44" t="n">
        <x:f>C1016*F1016</x:f>
        <x:v>50.28</x:v>
      </x:c>
      <x:c r="H1016" s="44" t="n">
        <x:f>E1016-G1016</x:f>
        <x:v>27.14</x:v>
      </x:c>
      <x:c r="I1016" s="14" t="str">
        <x:v>Distributor</x:v>
      </x:c>
      <x:c r="J1016" s="14" t="str">
        <x:v>Northeast</x:v>
      </x:c>
    </x:row>
    <x:row r="1017">
      <x:c r="A1017" s="50" t="n">
        <x:v>46100</x:v>
      </x:c>
      <x:c r="B1017" s="14" t="str">
        <x:v>SKU-0149</x:v>
      </x:c>
      <x:c r="C1017" s="52" t="n">
        <x:v>12</x:v>
      </x:c>
      <x:c r="D1017" s="40" t="n">
        <x:v>366.7</x:v>
      </x:c>
      <x:c r="E1017" s="44" t="n">
        <x:f>C1017*D1017</x:f>
        <x:v>4400.4</x:v>
      </x:c>
      <x:c r="F1017" s="40" t="n">
        <x:v>257.08</x:v>
      </x:c>
      <x:c r="G1017" s="44" t="n">
        <x:f>C1017*F1017</x:f>
        <x:v>3084.96</x:v>
      </x:c>
      <x:c r="H1017" s="44" t="n">
        <x:f>E1017-G1017</x:f>
        <x:v>1315.4399999999996</x:v>
      </x:c>
      <x:c r="I1017" s="14" t="str">
        <x:v>Internal Use</x:v>
      </x:c>
      <x:c r="J1017" s="14" t="str">
        <x:v>Midwest</x:v>
      </x:c>
    </x:row>
    <x:row r="1018">
      <x:c r="A1018" s="50" t="n">
        <x:v>46203</x:v>
      </x:c>
      <x:c r="B1018" s="14" t="str">
        <x:v>SKU-0127</x:v>
      </x:c>
      <x:c r="C1018" s="52" t="n">
        <x:v>3</x:v>
      </x:c>
      <x:c r="D1018" s="40" t="n">
        <x:v>258.98</x:v>
      </x:c>
      <x:c r="E1018" s="44" t="n">
        <x:f>C1018*D1018</x:f>
        <x:v>776.94</x:v>
      </x:c>
      <x:c r="F1018" s="40" t="n">
        <x:v>114.9</x:v>
      </x:c>
      <x:c r="G1018" s="44" t="n">
        <x:f>C1018*F1018</x:f>
        <x:v>344.70000000000005</x:v>
      </x:c>
      <x:c r="H1018" s="44" t="n">
        <x:f>E1018-G1018</x:f>
        <x:v>432.24</x:v>
      </x:c>
      <x:c r="I1018" s="14" t="str">
        <x:v>Distributor</x:v>
      </x:c>
      <x:c r="J1018" s="14" t="str">
        <x:v>Midwest</x:v>
      </x:c>
    </x:row>
    <x:row r="1019">
      <x:c r="A1019" s="50" t="n">
        <x:v>46007</x:v>
      </x:c>
      <x:c r="B1019" s="14" t="str">
        <x:v>SKU-0137</x:v>
      </x:c>
      <x:c r="C1019" s="52" t="n">
        <x:v>4</x:v>
      </x:c>
      <x:c r="D1019" s="40" t="n">
        <x:v>153.63</x:v>
      </x:c>
      <x:c r="E1019" s="44" t="n">
        <x:f>C1019*D1019</x:f>
        <x:v>614.52</x:v>
      </x:c>
      <x:c r="F1019" s="40" t="n">
        <x:v>93.99</x:v>
      </x:c>
      <x:c r="G1019" s="44" t="n">
        <x:f>C1019*F1019</x:f>
        <x:v>375.96</x:v>
      </x:c>
      <x:c r="H1019" s="44" t="n">
        <x:f>E1019-G1019</x:f>
        <x:v>238.56</x:v>
      </x:c>
      <x:c r="I1019" s="14" t="str">
        <x:v>Internal Use</x:v>
      </x:c>
      <x:c r="J1019" s="14" t="str">
        <x:v>Northeast</x:v>
      </x:c>
    </x:row>
    <x:row r="1020">
      <x:c r="A1020" s="50" t="n">
        <x:v>46129</x:v>
      </x:c>
      <x:c r="B1020" s="14" t="str">
        <x:v>SKU-0047</x:v>
      </x:c>
      <x:c r="C1020" s="52" t="n">
        <x:v>9</x:v>
      </x:c>
      <x:c r="D1020" s="40" t="n">
        <x:v>326</x:v>
      </x:c>
      <x:c r="E1020" s="44" t="n">
        <x:f>C1020*D1020</x:f>
        <x:v>2934</x:v>
      </x:c>
      <x:c r="F1020" s="40" t="n">
        <x:v>233.63</x:v>
      </x:c>
      <x:c r="G1020" s="44" t="n">
        <x:f>C1020*F1020</x:f>
        <x:v>2102.67</x:v>
      </x:c>
      <x:c r="H1020" s="44" t="n">
        <x:f>E1020-G1020</x:f>
        <x:v>831.3299999999999</x:v>
      </x:c>
      <x:c r="I1020" s="14" t="str">
        <x:v>Internal Use</x:v>
      </x:c>
      <x:c r="J1020" s="14" t="str">
        <x:v>Midwest</x:v>
      </x:c>
    </x:row>
    <x:row r="1021">
      <x:c r="A1021" s="50" t="n">
        <x:v>46106</x:v>
      </x:c>
      <x:c r="B1021" s="14" t="str">
        <x:v>SKU-0025</x:v>
      </x:c>
      <x:c r="C1021" s="52" t="n">
        <x:v>4</x:v>
      </x:c>
      <x:c r="D1021" s="40" t="n">
        <x:v>567.15</x:v>
      </x:c>
      <x:c r="E1021" s="44" t="n">
        <x:f>C1021*D1021</x:f>
        <x:v>2268.6</x:v>
      </x:c>
      <x:c r="F1021" s="40" t="n">
        <x:v>275.52</x:v>
      </x:c>
      <x:c r="G1021" s="44" t="n">
        <x:f>C1021*F1021</x:f>
        <x:v>1102.08</x:v>
      </x:c>
      <x:c r="H1021" s="44" t="n">
        <x:f>E1021-G1021</x:f>
        <x:v>1166.52</x:v>
      </x:c>
      <x:c r="I1021" s="14" t="str">
        <x:v>SMB</x:v>
      </x:c>
      <x:c r="J1021" s="14" t="str">
        <x:v>Northeast</x:v>
      </x:c>
    </x:row>
    <x:row r="1022">
      <x:c r="A1022" s="50" t="n">
        <x:v>45989</x:v>
      </x:c>
      <x:c r="B1022" s="14" t="str">
        <x:v>SKU-0060</x:v>
      </x:c>
      <x:c r="C1022" s="52" t="n">
        <x:v>6</x:v>
      </x:c>
      <x:c r="D1022" s="40" t="n">
        <x:v>124.34</x:v>
      </x:c>
      <x:c r="E1022" s="44" t="n">
        <x:f>C1022*D1022</x:f>
        <x:v>746.04</x:v>
      </x:c>
      <x:c r="F1022" s="40" t="n">
        <x:v>61.36</x:v>
      </x:c>
      <x:c r="G1022" s="44" t="n">
        <x:f>C1022*F1022</x:f>
        <x:v>368.15999999999997</x:v>
      </x:c>
      <x:c r="H1022" s="44" t="n">
        <x:f>E1022-G1022</x:f>
        <x:v>377.88</x:v>
      </x:c>
      <x:c r="I1022" s="14" t="str">
        <x:v>Internal Use</x:v>
      </x:c>
      <x:c r="J1022" s="14" t="str">
        <x:v>Northeast</x:v>
      </x:c>
    </x:row>
    <x:row r="1023">
      <x:c r="A1023" s="50" t="n">
        <x:v>46192</x:v>
      </x:c>
      <x:c r="B1023" s="14" t="str">
        <x:v>SKU-0077</x:v>
      </x:c>
      <x:c r="C1023" s="52" t="n">
        <x:v>2</x:v>
      </x:c>
      <x:c r="D1023" s="40" t="n">
        <x:v>15.33</x:v>
      </x:c>
      <x:c r="E1023" s="44" t="n">
        <x:f>C1023*D1023</x:f>
        <x:v>30.66</x:v>
      </x:c>
      <x:c r="F1023" s="40" t="n">
        <x:v>12.68</x:v>
      </x:c>
      <x:c r="G1023" s="44" t="n">
        <x:f>C1023*F1023</x:f>
        <x:v>25.36</x:v>
      </x:c>
      <x:c r="H1023" s="44" t="n">
        <x:f>E1023-G1023</x:f>
        <x:v>5.300000000000001</x:v>
      </x:c>
      <x:c r="I1023" s="14" t="str">
        <x:v>SMB</x:v>
      </x:c>
      <x:c r="J1023" s="14" t="str">
        <x:v>West</x:v>
      </x:c>
    </x:row>
    <x:row r="1024">
      <x:c r="A1024" s="50" t="n">
        <x:v>45960</x:v>
      </x:c>
      <x:c r="B1024" s="14" t="str">
        <x:v>SKU-0044</x:v>
      </x:c>
      <x:c r="C1024" s="52" t="n">
        <x:v>10</x:v>
      </x:c>
      <x:c r="D1024" s="40" t="n">
        <x:v>174.17</x:v>
      </x:c>
      <x:c r="E1024" s="44" t="n">
        <x:f>C1024*D1024</x:f>
        <x:v>1741.6999999999998</x:v>
      </x:c>
      <x:c r="F1024" s="40" t="n">
        <x:v>126.24</x:v>
      </x:c>
      <x:c r="G1024" s="44" t="n">
        <x:f>C1024*F1024</x:f>
        <x:v>1262.3999999999999</x:v>
      </x:c>
      <x:c r="H1024" s="44" t="n">
        <x:f>E1024-G1024</x:f>
        <x:v>479.29999999999995</x:v>
      </x:c>
      <x:c r="I1024" s="14" t="str">
        <x:v>Internal Use</x:v>
      </x:c>
      <x:c r="J1024" s="14" t="str">
        <x:v>West</x:v>
      </x:c>
    </x:row>
    <x:row r="1025">
      <x:c r="A1025" s="50" t="n">
        <x:v>45997</x:v>
      </x:c>
      <x:c r="B1025" s="14" t="str">
        <x:v>SKU-0069</x:v>
      </x:c>
      <x:c r="C1025" s="52" t="n">
        <x:v>27</x:v>
      </x:c>
      <x:c r="D1025" s="40" t="n">
        <x:v>408.56</x:v>
      </x:c>
      <x:c r="E1025" s="44" t="n">
        <x:f>C1025*D1025</x:f>
        <x:v>11031.12</x:v>
      </x:c>
      <x:c r="F1025" s="40" t="n">
        <x:v>277.23</x:v>
      </x:c>
      <x:c r="G1025" s="44" t="n">
        <x:f>C1025*F1025</x:f>
        <x:v>7485.210000000001</x:v>
      </x:c>
      <x:c r="H1025" s="44" t="n">
        <x:f>E1025-G1025</x:f>
        <x:v>3545.91</x:v>
      </x:c>
      <x:c r="I1025" s="14" t="str">
        <x:v>Distributor</x:v>
      </x:c>
      <x:c r="J1025" s="14" t="str">
        <x:v>Midwest</x:v>
      </x:c>
    </x:row>
    <x:row r="1026">
      <x:c r="A1026" s="50" t="n">
        <x:v>46036</x:v>
      </x:c>
      <x:c r="B1026" s="14" t="str">
        <x:v>SKU-0038</x:v>
      </x:c>
      <x:c r="C1026" s="52" t="n">
        <x:v>6</x:v>
      </x:c>
      <x:c r="D1026" s="40" t="n">
        <x:v>246.84</x:v>
      </x:c>
      <x:c r="E1026" s="44" t="n">
        <x:f>C1026*D1026</x:f>
        <x:v>1481.04</x:v>
      </x:c>
      <x:c r="F1026" s="40" t="n">
        <x:v>160.43</x:v>
      </x:c>
      <x:c r="G1026" s="44" t="n">
        <x:f>C1026*F1026</x:f>
        <x:v>962.58</x:v>
      </x:c>
      <x:c r="H1026" s="44" t="n">
        <x:f>E1026-G1026</x:f>
        <x:v>518.4599999999999</x:v>
      </x:c>
      <x:c r="I1026" s="14" t="str">
        <x:v>Internal Use</x:v>
      </x:c>
      <x:c r="J1026" s="14" t="str">
        <x:v>Midwest</x:v>
      </x:c>
    </x:row>
    <x:row r="1027">
      <x:c r="A1027" s="50" t="n">
        <x:v>46168</x:v>
      </x:c>
      <x:c r="B1027" s="14" t="str">
        <x:v>SKU-0109</x:v>
      </x:c>
      <x:c r="C1027" s="52" t="n">
        <x:v>7</x:v>
      </x:c>
      <x:c r="D1027" s="40" t="n">
        <x:v>156.26</x:v>
      </x:c>
      <x:c r="E1027" s="44" t="n">
        <x:f>C1027*D1027</x:f>
        <x:v>1093.82</x:v>
      </x:c>
      <x:c r="F1027" s="40" t="n">
        <x:v>119.32</x:v>
      </x:c>
      <x:c r="G1027" s="44" t="n">
        <x:f>C1027*F1027</x:f>
        <x:v>835.24</x:v>
      </x:c>
      <x:c r="H1027" s="44" t="n">
        <x:f>E1027-G1027</x:f>
        <x:v>258.5799999999999</x:v>
      </x:c>
      <x:c r="I1027" s="14" t="str">
        <x:v>Internal Use</x:v>
      </x:c>
      <x:c r="J1027" s="14" t="str">
        <x:v>Northeast</x:v>
      </x:c>
    </x:row>
    <x:row r="1028">
      <x:c r="A1028" s="50" t="n">
        <x:v>46061</x:v>
      </x:c>
      <x:c r="B1028" s="14" t="str">
        <x:v>SKU-0105</x:v>
      </x:c>
      <x:c r="C1028" s="52" t="n">
        <x:v>11</x:v>
      </x:c>
      <x:c r="D1028" s="40" t="n">
        <x:v>147.06</x:v>
      </x:c>
      <x:c r="E1028" s="44" t="n">
        <x:f>C1028*D1028</x:f>
        <x:v>1617.66</x:v>
      </x:c>
      <x:c r="F1028" s="40" t="n">
        <x:v>112.98</x:v>
      </x:c>
      <x:c r="G1028" s="44" t="n">
        <x:f>C1028*F1028</x:f>
        <x:v>1242.78</x:v>
      </x:c>
      <x:c r="H1028" s="44" t="n">
        <x:f>E1028-G1028</x:f>
        <x:v>374.8800000000001</x:v>
      </x:c>
      <x:c r="I1028" s="14" t="str">
        <x:v>Distributor</x:v>
      </x:c>
      <x:c r="J1028" s="14" t="str">
        <x:v>Northeast</x:v>
      </x:c>
    </x:row>
    <x:row r="1029">
      <x:c r="A1029" s="50" t="n">
        <x:v>45986</x:v>
      </x:c>
      <x:c r="B1029" s="14" t="str">
        <x:v>SKU-0052</x:v>
      </x:c>
      <x:c r="C1029" s="52" t="n">
        <x:v>12</x:v>
      </x:c>
      <x:c r="D1029" s="40" t="n">
        <x:v>269.76</x:v>
      </x:c>
      <x:c r="E1029" s="44" t="n">
        <x:f>C1029*D1029</x:f>
        <x:v>3237.12</x:v>
      </x:c>
      <x:c r="F1029" s="40" t="n">
        <x:v>210.35</x:v>
      </x:c>
      <x:c r="G1029" s="44" t="n">
        <x:f>C1029*F1029</x:f>
        <x:v>2524.2</x:v>
      </x:c>
      <x:c r="H1029" s="44" t="n">
        <x:f>E1029-G1029</x:f>
        <x:v>712.9200000000001</x:v>
      </x:c>
      <x:c r="I1029" s="14" t="str">
        <x:v>Enterprise</x:v>
      </x:c>
      <x:c r="J1029" s="14" t="str">
        <x:v>Midwest</x:v>
      </x:c>
    </x:row>
    <x:row r="1030">
      <x:c r="A1030" s="50" t="n">
        <x:v>46075</x:v>
      </x:c>
      <x:c r="B1030" s="14" t="str">
        <x:v>SKU-0110</x:v>
      </x:c>
      <x:c r="C1030" s="52" t="n">
        <x:v>5</x:v>
      </x:c>
      <x:c r="D1030" s="40" t="n">
        <x:v>26.67</x:v>
      </x:c>
      <x:c r="E1030" s="44" t="n">
        <x:f>C1030*D1030</x:f>
        <x:v>133.35000000000002</x:v>
      </x:c>
      <x:c r="F1030" s="40" t="n">
        <x:v>14.53</x:v>
      </x:c>
      <x:c r="G1030" s="44" t="n">
        <x:f>C1030*F1030</x:f>
        <x:v>72.64999999999999</x:v>
      </x:c>
      <x:c r="H1030" s="44" t="n">
        <x:f>E1030-G1030</x:f>
        <x:v>60.70000000000003</x:v>
      </x:c>
      <x:c r="I1030" s="14" t="str">
        <x:v>SMB</x:v>
      </x:c>
      <x:c r="J1030" s="14" t="str">
        <x:v>West</x:v>
      </x:c>
    </x:row>
    <x:row r="1031">
      <x:c r="A1031" s="50" t="n">
        <x:v>45934</x:v>
      </x:c>
      <x:c r="B1031" s="14" t="str">
        <x:v>SKU-0071</x:v>
      </x:c>
      <x:c r="C1031" s="52" t="n">
        <x:v>129</x:v>
      </x:c>
      <x:c r="D1031" s="40" t="n">
        <x:v>384.23</x:v>
      </x:c>
      <x:c r="E1031" s="44" t="n">
        <x:f>C1031*D1031</x:f>
        <x:v>49565.670000000006</x:v>
      </x:c>
      <x:c r="F1031" s="40" t="n">
        <x:v>198.68</x:v>
      </x:c>
      <x:c r="G1031" s="44" t="n">
        <x:f>C1031*F1031</x:f>
        <x:v>25629.72</x:v>
      </x:c>
      <x:c r="H1031" s="44" t="n">
        <x:f>E1031-G1031</x:f>
        <x:v>23935.950000000004</x:v>
      </x:c>
      <x:c r="I1031" s="14" t="str">
        <x:v>Internal Use</x:v>
      </x:c>
      <x:c r="J1031" s="14" t="str">
        <x:v>West</x:v>
      </x:c>
    </x:row>
    <x:row r="1032">
      <x:c r="A1032" s="50" t="n">
        <x:v>46023</x:v>
      </x:c>
      <x:c r="B1032" s="14" t="str">
        <x:v>SKU-0064</x:v>
      </x:c>
      <x:c r="C1032" s="52" t="n">
        <x:v>5</x:v>
      </x:c>
      <x:c r="D1032" s="40" t="n">
        <x:v>96.45</x:v>
      </x:c>
      <x:c r="E1032" s="44" t="n">
        <x:f>C1032*D1032</x:f>
        <x:v>482.25</x:v>
      </x:c>
      <x:c r="F1032" s="40" t="n">
        <x:v>62.55</x:v>
      </x:c>
      <x:c r="G1032" s="44" t="n">
        <x:f>C1032*F1032</x:f>
        <x:v>312.75</x:v>
      </x:c>
      <x:c r="H1032" s="44" t="n">
        <x:f>E1032-G1032</x:f>
        <x:v>169.5</x:v>
      </x:c>
      <x:c r="I1032" s="14" t="str">
        <x:v>Distributor</x:v>
      </x:c>
      <x:c r="J1032" s="14" t="str">
        <x:v>Northeast</x:v>
      </x:c>
    </x:row>
    <x:row r="1033">
      <x:c r="A1033" s="50" t="n">
        <x:v>45948</x:v>
      </x:c>
      <x:c r="B1033" s="14" t="str">
        <x:v>SKU-0121</x:v>
      </x:c>
      <x:c r="C1033" s="52" t="n">
        <x:v>12</x:v>
      </x:c>
      <x:c r="D1033" s="40" t="n">
        <x:v>126.88</x:v>
      </x:c>
      <x:c r="E1033" s="44" t="n">
        <x:f>C1033*D1033</x:f>
        <x:v>1522.56</x:v>
      </x:c>
      <x:c r="F1033" s="40" t="n">
        <x:v>88.98</x:v>
      </x:c>
      <x:c r="G1033" s="44" t="n">
        <x:f>C1033*F1033</x:f>
        <x:v>1067.76</x:v>
      </x:c>
      <x:c r="H1033" s="44" t="n">
        <x:f>E1033-G1033</x:f>
        <x:v>454.79999999999995</x:v>
      </x:c>
      <x:c r="I1033" s="14" t="str">
        <x:v>Internal Use</x:v>
      </x:c>
      <x:c r="J1033" s="14" t="str">
        <x:v>Southeast</x:v>
      </x:c>
    </x:row>
    <x:row r="1034">
      <x:c r="A1034" s="50" t="n">
        <x:v>46173</x:v>
      </x:c>
      <x:c r="B1034" s="14" t="str">
        <x:v>SKU-0084</x:v>
      </x:c>
      <x:c r="C1034" s="52" t="n">
        <x:v>10</x:v>
      </x:c>
      <x:c r="D1034" s="40" t="n">
        <x:v>223.99</x:v>
      </x:c>
      <x:c r="E1034" s="44" t="n">
        <x:f>C1034*D1034</x:f>
        <x:v>2239.9</x:v>
      </x:c>
      <x:c r="F1034" s="40" t="n">
        <x:v>108.77</x:v>
      </x:c>
      <x:c r="G1034" s="44" t="n">
        <x:f>C1034*F1034</x:f>
        <x:v>1087.7</x:v>
      </x:c>
      <x:c r="H1034" s="44" t="n">
        <x:f>E1034-G1034</x:f>
        <x:v>1152.2</x:v>
      </x:c>
      <x:c r="I1034" s="14" t="str">
        <x:v>Distributor</x:v>
      </x:c>
      <x:c r="J1034" s="14" t="str">
        <x:v>Northeast</x:v>
      </x:c>
    </x:row>
    <x:row r="1035">
      <x:c r="A1035" s="50" t="n">
        <x:v>45914</x:v>
      </x:c>
      <x:c r="B1035" s="14" t="str">
        <x:v>SKU-0036</x:v>
      </x:c>
      <x:c r="C1035" s="52" t="n">
        <x:v>48</x:v>
      </x:c>
      <x:c r="D1035" s="40" t="n">
        <x:v>280.43</x:v>
      </x:c>
      <x:c r="E1035" s="44" t="n">
        <x:f>C1035*D1035</x:f>
        <x:v>13460.64</x:v>
      </x:c>
      <x:c r="F1035" s="40" t="n">
        <x:v>122.19</x:v>
      </x:c>
      <x:c r="G1035" s="44" t="n">
        <x:f>C1035*F1035</x:f>
        <x:v>5865.12</x:v>
      </x:c>
      <x:c r="H1035" s="44" t="n">
        <x:f>E1035-G1035</x:f>
        <x:v>7595.5199999999995</x:v>
      </x:c>
      <x:c r="I1035" s="14" t="str">
        <x:v>Distributor</x:v>
      </x:c>
      <x:c r="J1035" s="14" t="str">
        <x:v>West</x:v>
      </x:c>
    </x:row>
    <x:row r="1036">
      <x:c r="A1036" s="50" t="n">
        <x:v>45974</x:v>
      </x:c>
      <x:c r="B1036" s="14" t="str">
        <x:v>SKU-0055</x:v>
      </x:c>
      <x:c r="C1036" s="52" t="n">
        <x:v>6</x:v>
      </x:c>
      <x:c r="D1036" s="40" t="n">
        <x:v>339.85</x:v>
      </x:c>
      <x:c r="E1036" s="44" t="n">
        <x:f>C1036*D1036</x:f>
        <x:v>2039.1000000000001</x:v>
      </x:c>
      <x:c r="F1036" s="40" t="n">
        <x:v>263.76</x:v>
      </x:c>
      <x:c r="G1036" s="44" t="n">
        <x:f>C1036*F1036</x:f>
        <x:v>1582.56</x:v>
      </x:c>
      <x:c r="H1036" s="44" t="n">
        <x:f>E1036-G1036</x:f>
        <x:v>456.5400000000002</x:v>
      </x:c>
      <x:c r="I1036" s="14" t="str">
        <x:v>SMB</x:v>
      </x:c>
      <x:c r="J1036" s="14" t="str">
        <x:v>Midwest</x:v>
      </x:c>
    </x:row>
    <x:row r="1037">
      <x:c r="A1037" s="50" t="n">
        <x:v>46189</x:v>
      </x:c>
      <x:c r="B1037" s="14" t="str">
        <x:v>SKU-0066</x:v>
      </x:c>
      <x:c r="C1037" s="52" t="n">
        <x:v>3</x:v>
      </x:c>
      <x:c r="D1037" s="40" t="n">
        <x:v>397.64</x:v>
      </x:c>
      <x:c r="E1037" s="44" t="n">
        <x:f>C1037*D1037</x:f>
        <x:v>1192.92</x:v>
      </x:c>
      <x:c r="F1037" s="40" t="n">
        <x:v>244.68</x:v>
      </x:c>
      <x:c r="G1037" s="44" t="n">
        <x:f>C1037*F1037</x:f>
        <x:v>734.04</x:v>
      </x:c>
      <x:c r="H1037" s="44" t="n">
        <x:f>E1037-G1037</x:f>
        <x:v>458.8800000000001</x:v>
      </x:c>
      <x:c r="I1037" s="14" t="str">
        <x:v>Internal Use</x:v>
      </x:c>
      <x:c r="J1037" s="14" t="str">
        <x:v>Northeast</x:v>
      </x:c>
    </x:row>
    <x:row r="1038">
      <x:c r="A1038" s="50" t="n">
        <x:v>45910</x:v>
      </x:c>
      <x:c r="B1038" s="14" t="str">
        <x:v>SKU-0136</x:v>
      </x:c>
      <x:c r="C1038" s="52" t="n">
        <x:v>28</x:v>
      </x:c>
      <x:c r="D1038" s="40" t="n">
        <x:v>135.29</x:v>
      </x:c>
      <x:c r="E1038" s="44" t="n">
        <x:f>C1038*D1038</x:f>
        <x:v>3788.12</x:v>
      </x:c>
      <x:c r="F1038" s="40" t="n">
        <x:v>105.97</x:v>
      </x:c>
      <x:c r="G1038" s="44" t="n">
        <x:f>C1038*F1038</x:f>
        <x:v>2967.16</x:v>
      </x:c>
      <x:c r="H1038" s="44" t="n">
        <x:f>E1038-G1038</x:f>
        <x:v>820.96</x:v>
      </x:c>
      <x:c r="I1038" s="14" t="str">
        <x:v>Internal Use</x:v>
      </x:c>
      <x:c r="J1038" s="14" t="str">
        <x:v>Northeast</x:v>
      </x:c>
    </x:row>
    <x:row r="1039">
      <x:c r="A1039" s="50" t="n">
        <x:v>46047</x:v>
      </x:c>
      <x:c r="B1039" s="14" t="str">
        <x:v>SKU-0130</x:v>
      </x:c>
      <x:c r="C1039" s="52" t="n">
        <x:v>19</x:v>
      </x:c>
      <x:c r="D1039" s="40" t="n">
        <x:v>96.61</x:v>
      </x:c>
      <x:c r="E1039" s="44" t="n">
        <x:f>C1039*D1039</x:f>
        <x:v>1835.59</x:v>
      </x:c>
      <x:c r="F1039" s="40" t="n">
        <x:v>73.53</x:v>
      </x:c>
      <x:c r="G1039" s="44" t="n">
        <x:f>C1039*F1039</x:f>
        <x:v>1397.07</x:v>
      </x:c>
      <x:c r="H1039" s="44" t="n">
        <x:f>E1039-G1039</x:f>
        <x:v>438.52</x:v>
      </x:c>
      <x:c r="I1039" s="14" t="str">
        <x:v>Enterprise</x:v>
      </x:c>
      <x:c r="J1039" s="14" t="str">
        <x:v>Northeast</x:v>
      </x:c>
    </x:row>
    <x:row r="1040">
      <x:c r="A1040" s="50" t="n">
        <x:v>45927</x:v>
      </x:c>
      <x:c r="B1040" s="14" t="str">
        <x:v>SKU-0145</x:v>
      </x:c>
      <x:c r="C1040" s="52" t="n">
        <x:v>11</x:v>
      </x:c>
      <x:c r="D1040" s="40" t="n">
        <x:v>223.57</x:v>
      </x:c>
      <x:c r="E1040" s="44" t="n">
        <x:f>C1040*D1040</x:f>
        <x:v>2459.27</x:v>
      </x:c>
      <x:c r="F1040" s="40" t="n">
        <x:v>142.06</x:v>
      </x:c>
      <x:c r="G1040" s="44" t="n">
        <x:f>C1040*F1040</x:f>
        <x:v>1562.66</x:v>
      </x:c>
      <x:c r="H1040" s="44" t="n">
        <x:f>E1040-G1040</x:f>
        <x:v>896.6099999999999</x:v>
      </x:c>
      <x:c r="I1040" s="14" t="str">
        <x:v>Enterprise</x:v>
      </x:c>
      <x:c r="J1040" s="14" t="str">
        <x:v>West</x:v>
      </x:c>
    </x:row>
    <x:row r="1041">
      <x:c r="A1041" s="50" t="n">
        <x:v>45917</x:v>
      </x:c>
      <x:c r="B1041" s="14" t="str">
        <x:v>SKU-0049</x:v>
      </x:c>
      <x:c r="C1041" s="52" t="n">
        <x:v>17</x:v>
      </x:c>
      <x:c r="D1041" s="40" t="n">
        <x:v>92.44</x:v>
      </x:c>
      <x:c r="E1041" s="44" t="n">
        <x:f>C1041*D1041</x:f>
        <x:v>1571.48</x:v>
      </x:c>
      <x:c r="F1041" s="40" t="n">
        <x:v>63.39</x:v>
      </x:c>
      <x:c r="G1041" s="44" t="n">
        <x:f>C1041*F1041</x:f>
        <x:v>1077.63</x:v>
      </x:c>
      <x:c r="H1041" s="44" t="n">
        <x:f>E1041-G1041</x:f>
        <x:v>493.8499999999999</x:v>
      </x:c>
      <x:c r="I1041" s="14" t="str">
        <x:v>Internal Use</x:v>
      </x:c>
      <x:c r="J1041" s="14" t="str">
        <x:v>Southeast</x:v>
      </x:c>
    </x:row>
    <x:row r="1042">
      <x:c r="A1042" s="50" t="n">
        <x:v>45917</x:v>
      </x:c>
      <x:c r="B1042" s="14" t="str">
        <x:v>SKU-0085</x:v>
      </x:c>
      <x:c r="C1042" s="52" t="n">
        <x:v>3</x:v>
      </x:c>
      <x:c r="D1042" s="40" t="n">
        <x:v>385.02</x:v>
      </x:c>
      <x:c r="E1042" s="44" t="n">
        <x:f>C1042*D1042</x:f>
        <x:v>1155.06</x:v>
      </x:c>
      <x:c r="F1042" s="40" t="n">
        <x:v>222.39</x:v>
      </x:c>
      <x:c r="G1042" s="44" t="n">
        <x:f>C1042*F1042</x:f>
        <x:v>667.17</x:v>
      </x:c>
      <x:c r="H1042" s="44" t="n">
        <x:f>E1042-G1042</x:f>
        <x:v>487.89</x:v>
      </x:c>
      <x:c r="I1042" s="14" t="str">
        <x:v>Internal Use</x:v>
      </x:c>
      <x:c r="J1042" s="14" t="str">
        <x:v>Northeast</x:v>
      </x:c>
    </x:row>
    <x:row r="1043">
      <x:c r="A1043" s="50" t="n">
        <x:v>46174</x:v>
      </x:c>
      <x:c r="B1043" s="14" t="str">
        <x:v>SKU-0103</x:v>
      </x:c>
      <x:c r="C1043" s="52" t="n">
        <x:v>4</x:v>
      </x:c>
      <x:c r="D1043" s="40" t="n">
        <x:v>263.56</x:v>
      </x:c>
      <x:c r="E1043" s="44" t="n">
        <x:f>C1043*D1043</x:f>
        <x:v>1054.24</x:v>
      </x:c>
      <x:c r="F1043" s="40" t="n">
        <x:v>208.48</x:v>
      </x:c>
      <x:c r="G1043" s="44" t="n">
        <x:f>C1043*F1043</x:f>
        <x:v>833.92</x:v>
      </x:c>
      <x:c r="H1043" s="44" t="n">
        <x:f>E1043-G1043</x:f>
        <x:v>220.32000000000005</x:v>
      </x:c>
      <x:c r="I1043" s="14" t="str">
        <x:v>Enterprise</x:v>
      </x:c>
      <x:c r="J1043" s="14" t="str">
        <x:v>Southeast</x:v>
      </x:c>
    </x:row>
    <x:row r="1044">
      <x:c r="A1044" s="50" t="n">
        <x:v>46098</x:v>
      </x:c>
      <x:c r="B1044" s="14" t="str">
        <x:v>SKU-0083</x:v>
      </x:c>
      <x:c r="C1044" s="52" t="n">
        <x:v>14</x:v>
      </x:c>
      <x:c r="D1044" s="40" t="n">
        <x:v>197.79</x:v>
      </x:c>
      <x:c r="E1044" s="44" t="n">
        <x:f>C1044*D1044</x:f>
        <x:v>2769.06</x:v>
      </x:c>
      <x:c r="F1044" s="40" t="n">
        <x:v>126.42</x:v>
      </x:c>
      <x:c r="G1044" s="44" t="n">
        <x:f>C1044*F1044</x:f>
        <x:v>1769.88</x:v>
      </x:c>
      <x:c r="H1044" s="44" t="n">
        <x:f>E1044-G1044</x:f>
        <x:v>999.1799999999998</x:v>
      </x:c>
      <x:c r="I1044" s="14" t="str">
        <x:v>SMB</x:v>
      </x:c>
      <x:c r="J1044" s="14" t="str">
        <x:v>Midwest</x:v>
      </x:c>
    </x:row>
    <x:row r="1045">
      <x:c r="A1045" s="50" t="n">
        <x:v>45958</x:v>
      </x:c>
      <x:c r="B1045" s="14" t="str">
        <x:v>SKU-0148</x:v>
      </x:c>
      <x:c r="C1045" s="52" t="n">
        <x:v>5</x:v>
      </x:c>
      <x:c r="D1045" s="40" t="n">
        <x:v>393.29</x:v>
      </x:c>
      <x:c r="E1045" s="44" t="n">
        <x:f>C1045*D1045</x:f>
        <x:v>1966.45</x:v>
      </x:c>
      <x:c r="F1045" s="40" t="n">
        <x:v>278.48</x:v>
      </x:c>
      <x:c r="G1045" s="44" t="n">
        <x:f>C1045*F1045</x:f>
        <x:v>1392.4</x:v>
      </x:c>
      <x:c r="H1045" s="44" t="n">
        <x:f>E1045-G1045</x:f>
        <x:v>574.05</x:v>
      </x:c>
      <x:c r="I1045" s="14" t="str">
        <x:v>Enterprise</x:v>
      </x:c>
      <x:c r="J1045" s="14" t="str">
        <x:v>Northeast</x:v>
      </x:c>
    </x:row>
    <x:row r="1046">
      <x:c r="A1046" s="50" t="n">
        <x:v>46188</x:v>
      </x:c>
      <x:c r="B1046" s="14" t="str">
        <x:v>SKU-0137</x:v>
      </x:c>
      <x:c r="C1046" s="52" t="n">
        <x:v>4</x:v>
      </x:c>
      <x:c r="D1046" s="40" t="n">
        <x:v>143.38</x:v>
      </x:c>
      <x:c r="E1046" s="44" t="n">
        <x:f>C1046*D1046</x:f>
        <x:v>573.52</x:v>
      </x:c>
      <x:c r="F1046" s="40" t="n">
        <x:v>93.99</x:v>
      </x:c>
      <x:c r="G1046" s="44" t="n">
        <x:f>C1046*F1046</x:f>
        <x:v>375.96</x:v>
      </x:c>
      <x:c r="H1046" s="44" t="n">
        <x:f>E1046-G1046</x:f>
        <x:v>197.56</x:v>
      </x:c>
      <x:c r="I1046" s="14" t="str">
        <x:v>Distributor</x:v>
      </x:c>
      <x:c r="J1046" s="14" t="str">
        <x:v>Southeast</x:v>
      </x:c>
    </x:row>
    <x:row r="1047">
      <x:c r="A1047" s="50" t="n">
        <x:v>45983</x:v>
      </x:c>
      <x:c r="B1047" s="14" t="str">
        <x:v>SKU-0054</x:v>
      </x:c>
      <x:c r="C1047" s="52" t="n">
        <x:v>5</x:v>
      </x:c>
      <x:c r="D1047" s="40" t="n">
        <x:v>79.97</x:v>
      </x:c>
      <x:c r="E1047" s="44" t="n">
        <x:f>C1047*D1047</x:f>
        <x:v>399.85</x:v>
      </x:c>
      <x:c r="F1047" s="40" t="n">
        <x:v>49.06</x:v>
      </x:c>
      <x:c r="G1047" s="44" t="n">
        <x:f>C1047*F1047</x:f>
        <x:v>245.3</x:v>
      </x:c>
      <x:c r="H1047" s="44" t="n">
        <x:f>E1047-G1047</x:f>
        <x:v>154.55</x:v>
      </x:c>
      <x:c r="I1047" s="14" t="str">
        <x:v>SMB</x:v>
      </x:c>
      <x:c r="J1047" s="14" t="str">
        <x:v>Midwest</x:v>
      </x:c>
    </x:row>
    <x:row r="1048">
      <x:c r="A1048" s="50" t="n">
        <x:v>45950</x:v>
      </x:c>
      <x:c r="B1048" s="14" t="str">
        <x:v>SKU-0007</x:v>
      </x:c>
      <x:c r="C1048" s="52" t="n">
        <x:v>16</x:v>
      </x:c>
      <x:c r="D1048" s="40" t="n">
        <x:v>175.01</x:v>
      </x:c>
      <x:c r="E1048" s="44" t="n">
        <x:f>C1048*D1048</x:f>
        <x:v>2800.16</x:v>
      </x:c>
      <x:c r="F1048" s="40" t="n">
        <x:v>123.15</x:v>
      </x:c>
      <x:c r="G1048" s="44" t="n">
        <x:f>C1048*F1048</x:f>
        <x:v>1970.4</x:v>
      </x:c>
      <x:c r="H1048" s="44" t="n">
        <x:f>E1048-G1048</x:f>
        <x:v>829.7599999999998</x:v>
      </x:c>
      <x:c r="I1048" s="14" t="str">
        <x:v>Internal Use</x:v>
      </x:c>
      <x:c r="J1048" s="14" t="str">
        <x:v>West</x:v>
      </x:c>
    </x:row>
    <x:row r="1049">
      <x:c r="A1049" s="50" t="n">
        <x:v>45985</x:v>
      </x:c>
      <x:c r="B1049" s="14" t="str">
        <x:v>SKU-0051</x:v>
      </x:c>
      <x:c r="C1049" s="52" t="n">
        <x:v>22</x:v>
      </x:c>
      <x:c r="D1049" s="40" t="n">
        <x:v>99.58</x:v>
      </x:c>
      <x:c r="E1049" s="44" t="n">
        <x:f>C1049*D1049</x:f>
        <x:v>2190.7599999999998</x:v>
      </x:c>
      <x:c r="F1049" s="40" t="n">
        <x:v>74.69</x:v>
      </x:c>
      <x:c r="G1049" s="44" t="n">
        <x:f>C1049*F1049</x:f>
        <x:v>1643.1799999999998</x:v>
      </x:c>
      <x:c r="H1049" s="44" t="n">
        <x:f>E1049-G1049</x:f>
        <x:v>547.5799999999999</x:v>
      </x:c>
      <x:c r="I1049" s="14" t="str">
        <x:v>SMB</x:v>
      </x:c>
      <x:c r="J1049" s="14" t="str">
        <x:v>Northeast</x:v>
      </x:c>
    </x:row>
    <x:row r="1050">
      <x:c r="A1050" s="50" t="n">
        <x:v>45987</x:v>
      </x:c>
      <x:c r="B1050" s="14" t="str">
        <x:v>SKU-0042</x:v>
      </x:c>
      <x:c r="C1050" s="52" t="n">
        <x:v>3</x:v>
      </x:c>
      <x:c r="D1050" s="40" t="n">
        <x:v>295.55</x:v>
      </x:c>
      <x:c r="E1050" s="44" t="n">
        <x:f>C1050*D1050</x:f>
        <x:v>886.6500000000001</x:v>
      </x:c>
      <x:c r="F1050" s="40" t="n">
        <x:v>218.51</x:v>
      </x:c>
      <x:c r="G1050" s="44" t="n">
        <x:f>C1050*F1050</x:f>
        <x:v>655.53</x:v>
      </x:c>
      <x:c r="H1050" s="44" t="n">
        <x:f>E1050-G1050</x:f>
        <x:v>231.12000000000012</x:v>
      </x:c>
      <x:c r="I1050" s="14" t="str">
        <x:v>Distributor</x:v>
      </x:c>
      <x:c r="J1050" s="14" t="str">
        <x:v>West</x:v>
      </x:c>
    </x:row>
    <x:row r="1051">
      <x:c r="A1051" s="50" t="n">
        <x:v>45987</x:v>
      </x:c>
      <x:c r="B1051" s="14" t="str">
        <x:v>SKU-0049</x:v>
      </x:c>
      <x:c r="C1051" s="52" t="n">
        <x:v>6</x:v>
      </x:c>
      <x:c r="D1051" s="40" t="n">
        <x:v>90.01</x:v>
      </x:c>
      <x:c r="E1051" s="44" t="n">
        <x:f>C1051*D1051</x:f>
        <x:v>540.0600000000001</x:v>
      </x:c>
      <x:c r="F1051" s="40" t="n">
        <x:v>63.39</x:v>
      </x:c>
      <x:c r="G1051" s="44" t="n">
        <x:f>C1051*F1051</x:f>
        <x:v>380.34000000000003</x:v>
      </x:c>
      <x:c r="H1051" s="44" t="n">
        <x:f>E1051-G1051</x:f>
        <x:v>159.72000000000003</x:v>
      </x:c>
      <x:c r="I1051" s="14" t="str">
        <x:v>Internal Use</x:v>
      </x:c>
      <x:c r="J1051" s="14" t="str">
        <x:v>Northeast</x:v>
      </x:c>
    </x:row>
    <x:row r="1052">
      <x:c r="A1052" s="50" t="n">
        <x:v>46074</x:v>
      </x:c>
      <x:c r="B1052" s="14" t="str">
        <x:v>SKU-0002</x:v>
      </x:c>
      <x:c r="C1052" s="52" t="n">
        <x:v>18</x:v>
      </x:c>
      <x:c r="D1052" s="40" t="n">
        <x:v>84.18</x:v>
      </x:c>
      <x:c r="E1052" s="44" t="n">
        <x:f>C1052*D1052</x:f>
        <x:v>1515.2400000000002</x:v>
      </x:c>
      <x:c r="F1052" s="40" t="n">
        <x:v>66.06</x:v>
      </x:c>
      <x:c r="G1052" s="44" t="n">
        <x:f>C1052*F1052</x:f>
        <x:v>1189.08</x:v>
      </x:c>
      <x:c r="H1052" s="44" t="n">
        <x:f>E1052-G1052</x:f>
        <x:v>326.1600000000003</x:v>
      </x:c>
      <x:c r="I1052" s="14" t="str">
        <x:v>Distributor</x:v>
      </x:c>
      <x:c r="J1052" s="14" t="str">
        <x:v>Midwest</x:v>
      </x:c>
    </x:row>
    <x:row r="1053">
      <x:c r="A1053" s="50" t="n">
        <x:v>45913</x:v>
      </x:c>
      <x:c r="B1053" s="14" t="str">
        <x:v>SKU-0080</x:v>
      </x:c>
      <x:c r="C1053" s="52" t="n">
        <x:v>4</x:v>
      </x:c>
      <x:c r="D1053" s="40" t="n">
        <x:v>149.79</x:v>
      </x:c>
      <x:c r="E1053" s="44" t="n">
        <x:f>C1053*D1053</x:f>
        <x:v>599.16</x:v>
      </x:c>
      <x:c r="F1053" s="40" t="n">
        <x:v>115.72</x:v>
      </x:c>
      <x:c r="G1053" s="44" t="n">
        <x:f>C1053*F1053</x:f>
        <x:v>462.88</x:v>
      </x:c>
      <x:c r="H1053" s="44" t="n">
        <x:f>E1053-G1053</x:f>
        <x:v>136.27999999999997</x:v>
      </x:c>
      <x:c r="I1053" s="14" t="str">
        <x:v>Enterprise</x:v>
      </x:c>
      <x:c r="J1053" s="14" t="str">
        <x:v>West</x:v>
      </x:c>
    </x:row>
    <x:row r="1054">
      <x:c r="A1054" s="50" t="n">
        <x:v>45888</x:v>
      </x:c>
      <x:c r="B1054" s="14" t="str">
        <x:v>SKU-0121</x:v>
      </x:c>
      <x:c r="C1054" s="52" t="n">
        <x:v>21</x:v>
      </x:c>
      <x:c r="D1054" s="40" t="n">
        <x:v>128.54</x:v>
      </x:c>
      <x:c r="E1054" s="44" t="n">
        <x:f>C1054*D1054</x:f>
        <x:v>2699.3399999999997</x:v>
      </x:c>
      <x:c r="F1054" s="40" t="n">
        <x:v>88.98</x:v>
      </x:c>
      <x:c r="G1054" s="44" t="n">
        <x:f>C1054*F1054</x:f>
        <x:v>1868.5800000000002</x:v>
      </x:c>
      <x:c r="H1054" s="44" t="n">
        <x:f>E1054-G1054</x:f>
        <x:v>830.7599999999995</x:v>
      </x:c>
      <x:c r="I1054" s="14" t="str">
        <x:v>Distributor</x:v>
      </x:c>
      <x:c r="J1054" s="14" t="str">
        <x:v>Northeast</x:v>
      </x:c>
    </x:row>
    <x:row r="1055">
      <x:c r="A1055" s="50" t="n">
        <x:v>46007</x:v>
      </x:c>
      <x:c r="B1055" s="14" t="str">
        <x:v>SKU-0037</x:v>
      </x:c>
      <x:c r="C1055" s="52" t="n">
        <x:v>9</x:v>
      </x:c>
      <x:c r="D1055" s="40" t="n">
        <x:v>170.57</x:v>
      </x:c>
      <x:c r="E1055" s="44" t="n">
        <x:f>C1055*D1055</x:f>
        <x:v>1535.1299999999999</x:v>
      </x:c>
      <x:c r="F1055" s="40" t="n">
        <x:v>115.83</x:v>
      </x:c>
      <x:c r="G1055" s="44" t="n">
        <x:f>C1055*F1055</x:f>
        <x:v>1042.47</x:v>
      </x:c>
      <x:c r="H1055" s="44" t="n">
        <x:f>E1055-G1055</x:f>
        <x:v>492.65999999999985</x:v>
      </x:c>
      <x:c r="I1055" s="14" t="str">
        <x:v>Enterprise</x:v>
      </x:c>
      <x:c r="J1055" s="14" t="str">
        <x:v>Northeast</x:v>
      </x:c>
    </x:row>
    <x:row r="1056">
      <x:c r="A1056" s="50" t="n">
        <x:v>46218</x:v>
      </x:c>
      <x:c r="B1056" s="14" t="str">
        <x:v>SKU-0054</x:v>
      </x:c>
      <x:c r="C1056" s="52" t="n">
        <x:v>4</x:v>
      </x:c>
      <x:c r="D1056" s="40" t="n">
        <x:v>87.01</x:v>
      </x:c>
      <x:c r="E1056" s="44" t="n">
        <x:f>C1056*D1056</x:f>
        <x:v>348.04</x:v>
      </x:c>
      <x:c r="F1056" s="40" t="n">
        <x:v>49.06</x:v>
      </x:c>
      <x:c r="G1056" s="44" t="n">
        <x:f>C1056*F1056</x:f>
        <x:v>196.24</x:v>
      </x:c>
      <x:c r="H1056" s="44" t="n">
        <x:f>E1056-G1056</x:f>
        <x:v>151.8</x:v>
      </x:c>
      <x:c r="I1056" s="14" t="str">
        <x:v>Internal Use</x:v>
      </x:c>
      <x:c r="J1056" s="14" t="str">
        <x:v>Southeast</x:v>
      </x:c>
    </x:row>
    <x:row r="1057">
      <x:c r="A1057" s="50" t="n">
        <x:v>46145</x:v>
      </x:c>
      <x:c r="B1057" s="14" t="str">
        <x:v>SKU-0045</x:v>
      </x:c>
      <x:c r="C1057" s="52" t="n">
        <x:v>15</x:v>
      </x:c>
      <x:c r="D1057" s="40" t="n">
        <x:v>110.37</x:v>
      </x:c>
      <x:c r="E1057" s="44" t="n">
        <x:f>C1057*D1057</x:f>
        <x:v>1655.5500000000002</x:v>
      </x:c>
      <x:c r="F1057" s="40" t="n">
        <x:v>68.89</x:v>
      </x:c>
      <x:c r="G1057" s="44" t="n">
        <x:f>C1057*F1057</x:f>
        <x:v>1033.35</x:v>
      </x:c>
      <x:c r="H1057" s="44" t="n">
        <x:f>E1057-G1057</x:f>
        <x:v>622.2000000000003</x:v>
      </x:c>
      <x:c r="I1057" s="14" t="str">
        <x:v>Enterprise</x:v>
      </x:c>
      <x:c r="J1057" s="14" t="str">
        <x:v>Southeast</x:v>
      </x:c>
    </x:row>
    <x:row r="1058">
      <x:c r="A1058" s="50" t="n">
        <x:v>46134</x:v>
      </x:c>
      <x:c r="B1058" s="14" t="str">
        <x:v>SKU-0008</x:v>
      </x:c>
      <x:c r="C1058" s="52" t="n">
        <x:v>4</x:v>
      </x:c>
      <x:c r="D1058" s="40" t="n">
        <x:v>185.12</x:v>
      </x:c>
      <x:c r="E1058" s="44" t="n">
        <x:f>C1058*D1058</x:f>
        <x:v>740.48</x:v>
      </x:c>
      <x:c r="F1058" s="40" t="n">
        <x:v>143.38</x:v>
      </x:c>
      <x:c r="G1058" s="44" t="n">
        <x:f>C1058*F1058</x:f>
        <x:v>573.52</x:v>
      </x:c>
      <x:c r="H1058" s="44" t="n">
        <x:f>E1058-G1058</x:f>
        <x:v>166.96000000000004</x:v>
      </x:c>
      <x:c r="I1058" s="14" t="str">
        <x:v>Distributor</x:v>
      </x:c>
      <x:c r="J1058" s="14" t="str">
        <x:v>Midwest</x:v>
      </x:c>
    </x:row>
    <x:row r="1059">
      <x:c r="A1059" s="50" t="n">
        <x:v>45893</x:v>
      </x:c>
      <x:c r="B1059" s="14" t="str">
        <x:v>SKU-0008</x:v>
      </x:c>
      <x:c r="C1059" s="52" t="n">
        <x:v>1</x:v>
      </x:c>
      <x:c r="D1059" s="40" t="n">
        <x:v>175.27</x:v>
      </x:c>
      <x:c r="E1059" s="44" t="n">
        <x:f>C1059*D1059</x:f>
        <x:v>175.27</x:v>
      </x:c>
      <x:c r="F1059" s="40" t="n">
        <x:v>143.38</x:v>
      </x:c>
      <x:c r="G1059" s="44" t="n">
        <x:f>C1059*F1059</x:f>
        <x:v>143.38</x:v>
      </x:c>
      <x:c r="H1059" s="44" t="n">
        <x:f>E1059-G1059</x:f>
        <x:v>31.890000000000015</x:v>
      </x:c>
      <x:c r="I1059" s="14" t="str">
        <x:v>SMB</x:v>
      </x:c>
      <x:c r="J1059" s="14" t="str">
        <x:v>West</x:v>
      </x:c>
    </x:row>
    <x:row r="1060">
      <x:c r="A1060" s="50" t="n">
        <x:v>46156</x:v>
      </x:c>
      <x:c r="B1060" s="14" t="str">
        <x:v>SKU-0012</x:v>
      </x:c>
      <x:c r="C1060" s="52" t="n">
        <x:v>5</x:v>
      </x:c>
      <x:c r="D1060" s="40" t="n">
        <x:v>385.97</x:v>
      </x:c>
      <x:c r="E1060" s="44" t="n">
        <x:f>C1060*D1060</x:f>
        <x:v>1929.8500000000001</x:v>
      </x:c>
      <x:c r="F1060" s="40" t="n">
        <x:v>252.14</x:v>
      </x:c>
      <x:c r="G1060" s="44" t="n">
        <x:f>C1060*F1060</x:f>
        <x:v>1260.6999999999998</x:v>
      </x:c>
      <x:c r="H1060" s="44" t="n">
        <x:f>E1060-G1060</x:f>
        <x:v>669.1500000000003</x:v>
      </x:c>
      <x:c r="I1060" s="14" t="str">
        <x:v>SMB</x:v>
      </x:c>
      <x:c r="J1060" s="14" t="str">
        <x:v>Northeast</x:v>
      </x:c>
    </x:row>
    <x:row r="1061">
      <x:c r="A1061" s="50" t="n">
        <x:v>46058</x:v>
      </x:c>
      <x:c r="B1061" s="14" t="str">
        <x:v>SKU-0004</x:v>
      </x:c>
      <x:c r="C1061" s="52" t="n">
        <x:v>1</x:v>
      </x:c>
      <x:c r="D1061" s="40" t="n">
        <x:v>367.57</x:v>
      </x:c>
      <x:c r="E1061" s="44" t="n">
        <x:f>C1061*D1061</x:f>
        <x:v>367.57</x:v>
      </x:c>
      <x:c r="F1061" s="40" t="n">
        <x:v>164.72</x:v>
      </x:c>
      <x:c r="G1061" s="44" t="n">
        <x:f>C1061*F1061</x:f>
        <x:v>164.72</x:v>
      </x:c>
      <x:c r="H1061" s="44" t="n">
        <x:f>E1061-G1061</x:f>
        <x:v>202.85</x:v>
      </x:c>
      <x:c r="I1061" s="14" t="str">
        <x:v>Internal Use</x:v>
      </x:c>
      <x:c r="J1061" s="14" t="str">
        <x:v>Southeast</x:v>
      </x:c>
    </x:row>
    <x:row r="1062">
      <x:c r="A1062" s="50" t="n">
        <x:v>46039</x:v>
      </x:c>
      <x:c r="B1062" s="14" t="str">
        <x:v>SKU-0001</x:v>
      </x:c>
      <x:c r="C1062" s="52" t="n">
        <x:v>6</x:v>
      </x:c>
      <x:c r="D1062" s="40" t="n">
        <x:v>276.61</x:v>
      </x:c>
      <x:c r="E1062" s="44" t="n">
        <x:f>C1062*D1062</x:f>
        <x:v>1659.66</x:v>
      </x:c>
      <x:c r="F1062" s="40" t="n">
        <x:v>178.71</x:v>
      </x:c>
      <x:c r="G1062" s="44" t="n">
        <x:f>C1062*F1062</x:f>
        <x:v>1072.26</x:v>
      </x:c>
      <x:c r="H1062" s="44" t="n">
        <x:f>E1062-G1062</x:f>
        <x:v>587.4000000000001</x:v>
      </x:c>
      <x:c r="I1062" s="14" t="str">
        <x:v>Distributor</x:v>
      </x:c>
      <x:c r="J1062" s="14" t="str">
        <x:v>Midwest</x:v>
      </x:c>
    </x:row>
    <x:row r="1063">
      <x:c r="A1063" s="50" t="n">
        <x:v>46124</x:v>
      </x:c>
      <x:c r="B1063" s="14" t="str">
        <x:v>SKU-0025</x:v>
      </x:c>
      <x:c r="C1063" s="52" t="n">
        <x:v>8</x:v>
      </x:c>
      <x:c r="D1063" s="40" t="n">
        <x:v>546.26</x:v>
      </x:c>
      <x:c r="E1063" s="44" t="n">
        <x:f>C1063*D1063</x:f>
        <x:v>4370.08</x:v>
      </x:c>
      <x:c r="F1063" s="40" t="n">
        <x:v>275.52</x:v>
      </x:c>
      <x:c r="G1063" s="44" t="n">
        <x:f>C1063*F1063</x:f>
        <x:v>2204.16</x:v>
      </x:c>
      <x:c r="H1063" s="44" t="n">
        <x:f>E1063-G1063</x:f>
        <x:v>2165.92</x:v>
      </x:c>
      <x:c r="I1063" s="14" t="str">
        <x:v>SMB</x:v>
      </x:c>
      <x:c r="J1063" s="14" t="str">
        <x:v>Southeast</x:v>
      </x:c>
    </x:row>
    <x:row r="1064">
      <x:c r="A1064" s="50" t="n">
        <x:v>45946</x:v>
      </x:c>
      <x:c r="B1064" s="14" t="str">
        <x:v>SKU-0132</x:v>
      </x:c>
      <x:c r="C1064" s="52" t="n">
        <x:v>14</x:v>
      </x:c>
      <x:c r="D1064" s="40" t="n">
        <x:v>353.98</x:v>
      </x:c>
      <x:c r="E1064" s="44" t="n">
        <x:f>C1064*D1064</x:f>
        <x:v>4955.72</x:v>
      </x:c>
      <x:c r="F1064" s="40" t="n">
        <x:v>177.71</x:v>
      </x:c>
      <x:c r="G1064" s="44" t="n">
        <x:f>C1064*F1064</x:f>
        <x:v>2487.94</x:v>
      </x:c>
      <x:c r="H1064" s="44" t="n">
        <x:f>E1064-G1064</x:f>
        <x:v>2467.78</x:v>
      </x:c>
      <x:c r="I1064" s="14" t="str">
        <x:v>Enterprise</x:v>
      </x:c>
      <x:c r="J1064" s="14" t="str">
        <x:v>West</x:v>
      </x:c>
    </x:row>
    <x:row r="1065">
      <x:c r="A1065" s="50" t="n">
        <x:v>46194</x:v>
      </x:c>
      <x:c r="B1065" s="14" t="str">
        <x:v>SKU-0073</x:v>
      </x:c>
      <x:c r="C1065" s="52" t="n">
        <x:v>4</x:v>
      </x:c>
      <x:c r="D1065" s="40" t="n">
        <x:v>63.06</x:v>
      </x:c>
      <x:c r="E1065" s="44" t="n">
        <x:f>C1065*D1065</x:f>
        <x:v>252.24</x:v>
      </x:c>
      <x:c r="F1065" s="40" t="n">
        <x:v>37.01</x:v>
      </x:c>
      <x:c r="G1065" s="44" t="n">
        <x:f>C1065*F1065</x:f>
        <x:v>148.04</x:v>
      </x:c>
      <x:c r="H1065" s="44" t="n">
        <x:f>E1065-G1065</x:f>
        <x:v>104.20000000000002</x:v>
      </x:c>
      <x:c r="I1065" s="14" t="str">
        <x:v>Distributor</x:v>
      </x:c>
      <x:c r="J1065" s="14" t="str">
        <x:v>Midwest</x:v>
      </x:c>
    </x:row>
    <x:row r="1066">
      <x:c r="A1066" s="50" t="n">
        <x:v>46222</x:v>
      </x:c>
      <x:c r="B1066" s="14" t="str">
        <x:v>SKU-0119</x:v>
      </x:c>
      <x:c r="C1066" s="52" t="n">
        <x:v>11</x:v>
      </x:c>
      <x:c r="D1066" s="40" t="n">
        <x:v>102.25</x:v>
      </x:c>
      <x:c r="E1066" s="44" t="n">
        <x:f>C1066*D1066</x:f>
        <x:v>1124.75</x:v>
      </x:c>
      <x:c r="F1066" s="40" t="n">
        <x:v>52.57</x:v>
      </x:c>
      <x:c r="G1066" s="44" t="n">
        <x:f>C1066*F1066</x:f>
        <x:v>578.27</x:v>
      </x:c>
      <x:c r="H1066" s="44" t="n">
        <x:f>E1066-G1066</x:f>
        <x:v>546.48</x:v>
      </x:c>
      <x:c r="I1066" s="14" t="str">
        <x:v>Distributor</x:v>
      </x:c>
      <x:c r="J1066" s="14" t="str">
        <x:v>Southeast</x:v>
      </x:c>
    </x:row>
    <x:row r="1067">
      <x:c r="A1067" s="50" t="n">
        <x:v>46096</x:v>
      </x:c>
      <x:c r="B1067" s="14" t="str">
        <x:v>SKU-0084</x:v>
      </x:c>
      <x:c r="C1067" s="52" t="n">
        <x:v>7</x:v>
      </x:c>
      <x:c r="D1067" s="40" t="n">
        <x:v>230.13</x:v>
      </x:c>
      <x:c r="E1067" s="44" t="n">
        <x:f>C1067*D1067</x:f>
        <x:v>1610.9099999999999</x:v>
      </x:c>
      <x:c r="F1067" s="40" t="n">
        <x:v>108.77</x:v>
      </x:c>
      <x:c r="G1067" s="44" t="n">
        <x:f>C1067*F1067</x:f>
        <x:v>761.39</x:v>
      </x:c>
      <x:c r="H1067" s="44" t="n">
        <x:f>E1067-G1067</x:f>
        <x:v>849.5199999999999</x:v>
      </x:c>
      <x:c r="I1067" s="14" t="str">
        <x:v>Enterprise</x:v>
      </x:c>
      <x:c r="J1067" s="14" t="str">
        <x:v>West</x:v>
      </x:c>
    </x:row>
    <x:row r="1068">
      <x:c r="A1068" s="50" t="n">
        <x:v>45981</x:v>
      </x:c>
      <x:c r="B1068" s="14" t="str">
        <x:v>SKU-0013</x:v>
      </x:c>
      <x:c r="C1068" s="52" t="n">
        <x:v>27</x:v>
      </x:c>
      <x:c r="D1068" s="40" t="n">
        <x:v>36.59</x:v>
      </x:c>
      <x:c r="E1068" s="44" t="n">
        <x:f>C1068*D1068</x:f>
        <x:v>987.9300000000001</x:v>
      </x:c>
      <x:c r="F1068" s="40" t="n">
        <x:v>22.2</x:v>
      </x:c>
      <x:c r="G1068" s="44" t="n">
        <x:f>C1068*F1068</x:f>
        <x:v>599.4</x:v>
      </x:c>
      <x:c r="H1068" s="44" t="n">
        <x:f>E1068-G1068</x:f>
        <x:v>388.5300000000001</x:v>
      </x:c>
      <x:c r="I1068" s="14" t="str">
        <x:v>Internal Use</x:v>
      </x:c>
      <x:c r="J1068" s="14" t="str">
        <x:v>Midwest</x:v>
      </x:c>
    </x:row>
    <x:row r="1069">
      <x:c r="A1069" s="50" t="n">
        <x:v>46172</x:v>
      </x:c>
      <x:c r="B1069" s="14" t="str">
        <x:v>SKU-0003</x:v>
      </x:c>
      <x:c r="C1069" s="52" t="n">
        <x:v>7</x:v>
      </x:c>
      <x:c r="D1069" s="40" t="n">
        <x:v>280.84</x:v>
      </x:c>
      <x:c r="E1069" s="44" t="n">
        <x:f>C1069*D1069</x:f>
        <x:v>1965.8799999999999</x:v>
      </x:c>
      <x:c r="F1069" s="40" t="n">
        <x:v>141.04</x:v>
      </x:c>
      <x:c r="G1069" s="44" t="n">
        <x:f>C1069*F1069</x:f>
        <x:v>987.28</x:v>
      </x:c>
      <x:c r="H1069" s="44" t="n">
        <x:f>E1069-G1069</x:f>
        <x:v>978.5999999999999</x:v>
      </x:c>
      <x:c r="I1069" s="14" t="str">
        <x:v>Internal Use</x:v>
      </x:c>
      <x:c r="J1069" s="14" t="str">
        <x:v>West</x:v>
      </x:c>
    </x:row>
    <x:row r="1070">
      <x:c r="A1070" s="50" t="n">
        <x:v>46112</x:v>
      </x:c>
      <x:c r="B1070" s="14" t="str">
        <x:v>SKU-0055</x:v>
      </x:c>
      <x:c r="C1070" s="52" t="n">
        <x:v>13</x:v>
      </x:c>
      <x:c r="D1070" s="40" t="n">
        <x:v>326.79</x:v>
      </x:c>
      <x:c r="E1070" s="44" t="n">
        <x:f>C1070*D1070</x:f>
        <x:v>4248.27</x:v>
      </x:c>
      <x:c r="F1070" s="40" t="n">
        <x:v>263.76</x:v>
      </x:c>
      <x:c r="G1070" s="44" t="n">
        <x:f>C1070*F1070</x:f>
        <x:v>3428.88</x:v>
      </x:c>
      <x:c r="H1070" s="44" t="n">
        <x:f>E1070-G1070</x:f>
        <x:v>819.3900000000003</x:v>
      </x:c>
      <x:c r="I1070" s="14" t="str">
        <x:v>Distributor</x:v>
      </x:c>
      <x:c r="J1070" s="14" t="str">
        <x:v>Midwest</x:v>
      </x:c>
    </x:row>
    <x:row r="1071">
      <x:c r="A1071" s="50" t="n">
        <x:v>45975</x:v>
      </x:c>
      <x:c r="B1071" s="14" t="str">
        <x:v>SKU-0087</x:v>
      </x:c>
      <x:c r="C1071" s="52" t="n">
        <x:v>1</x:v>
      </x:c>
      <x:c r="D1071" s="40" t="n">
        <x:v>338.34</x:v>
      </x:c>
      <x:c r="E1071" s="44" t="n">
        <x:f>C1071*D1071</x:f>
        <x:v>338.34</x:v>
      </x:c>
      <x:c r="F1071" s="40" t="n">
        <x:v>194.73</x:v>
      </x:c>
      <x:c r="G1071" s="44" t="n">
        <x:f>C1071*F1071</x:f>
        <x:v>194.73</x:v>
      </x:c>
      <x:c r="H1071" s="44" t="n">
        <x:f>E1071-G1071</x:f>
        <x:v>143.60999999999999</x:v>
      </x:c>
      <x:c r="I1071" s="14" t="str">
        <x:v>Internal Use</x:v>
      </x:c>
      <x:c r="J1071" s="14" t="str">
        <x:v>Northeast</x:v>
      </x:c>
    </x:row>
    <x:row r="1072">
      <x:c r="A1072" s="50" t="n">
        <x:v>46145</x:v>
      </x:c>
      <x:c r="B1072" s="14" t="str">
        <x:v>SKU-0088</x:v>
      </x:c>
      <x:c r="C1072" s="52" t="n">
        <x:v>2</x:v>
      </x:c>
      <x:c r="D1072" s="40" t="n">
        <x:v>36.51</x:v>
      </x:c>
      <x:c r="E1072" s="44" t="n">
        <x:f>C1072*D1072</x:f>
        <x:v>73.02</x:v>
      </x:c>
      <x:c r="F1072" s="40" t="n">
        <x:v>21.49</x:v>
      </x:c>
      <x:c r="G1072" s="44" t="n">
        <x:f>C1072*F1072</x:f>
        <x:v>42.98</x:v>
      </x:c>
      <x:c r="H1072" s="44" t="n">
        <x:f>E1072-G1072</x:f>
        <x:v>30.04</x:v>
      </x:c>
      <x:c r="I1072" s="14" t="str">
        <x:v>Enterprise</x:v>
      </x:c>
      <x:c r="J1072" s="14" t="str">
        <x:v>Southeast</x:v>
      </x:c>
    </x:row>
    <x:row r="1073">
      <x:c r="A1073" s="50" t="n">
        <x:v>45996</x:v>
      </x:c>
      <x:c r="B1073" s="14" t="str">
        <x:v>SKU-0025</x:v>
      </x:c>
      <x:c r="C1073" s="52" t="n">
        <x:v>4</x:v>
      </x:c>
      <x:c r="D1073" s="40" t="n">
        <x:v>536.39</x:v>
      </x:c>
      <x:c r="E1073" s="44" t="n">
        <x:f>C1073*D1073</x:f>
        <x:v>2145.56</x:v>
      </x:c>
      <x:c r="F1073" s="40" t="n">
        <x:v>275.52</x:v>
      </x:c>
      <x:c r="G1073" s="44" t="n">
        <x:f>C1073*F1073</x:f>
        <x:v>1102.08</x:v>
      </x:c>
      <x:c r="H1073" s="44" t="n">
        <x:f>E1073-G1073</x:f>
        <x:v>1043.48</x:v>
      </x:c>
      <x:c r="I1073" s="14" t="str">
        <x:v>Enterprise</x:v>
      </x:c>
      <x:c r="J1073" s="14" t="str">
        <x:v>Southeast</x:v>
      </x:c>
    </x:row>
    <x:row r="1074">
      <x:c r="A1074" s="50" t="n">
        <x:v>46141</x:v>
      </x:c>
      <x:c r="B1074" s="14" t="str">
        <x:v>SKU-0102</x:v>
      </x:c>
      <x:c r="C1074" s="52" t="n">
        <x:v>14</x:v>
      </x:c>
      <x:c r="D1074" s="40" t="n">
        <x:v>356.96</x:v>
      </x:c>
      <x:c r="E1074" s="44" t="n">
        <x:f>C1074*D1074</x:f>
        <x:v>4997.44</x:v>
      </x:c>
      <x:c r="F1074" s="40" t="n">
        <x:v>278.87</x:v>
      </x:c>
      <x:c r="G1074" s="44" t="n">
        <x:f>C1074*F1074</x:f>
        <x:v>3904.1800000000003</x:v>
      </x:c>
      <x:c r="H1074" s="44" t="n">
        <x:f>E1074-G1074</x:f>
        <x:v>1093.2599999999993</x:v>
      </x:c>
      <x:c r="I1074" s="14" t="str">
        <x:v>SMB</x:v>
      </x:c>
      <x:c r="J1074" s="14" t="str">
        <x:v>Northeast</x:v>
      </x:c>
    </x:row>
    <x:row r="1075">
      <x:c r="A1075" s="50" t="n">
        <x:v>46065</x:v>
      </x:c>
      <x:c r="B1075" s="14" t="str">
        <x:v>SKU-0137</x:v>
      </x:c>
      <x:c r="C1075" s="52" t="n">
        <x:v>10</x:v>
      </x:c>
      <x:c r="D1075" s="40" t="n">
        <x:v>165.3</x:v>
      </x:c>
      <x:c r="E1075" s="44" t="n">
        <x:f>C1075*D1075</x:f>
        <x:v>1653</x:v>
      </x:c>
      <x:c r="F1075" s="40" t="n">
        <x:v>93.99</x:v>
      </x:c>
      <x:c r="G1075" s="44" t="n">
        <x:f>C1075*F1075</x:f>
        <x:v>939.9</x:v>
      </x:c>
      <x:c r="H1075" s="44" t="n">
        <x:f>E1075-G1075</x:f>
        <x:v>713.1</x:v>
      </x:c>
      <x:c r="I1075" s="14" t="str">
        <x:v>SMB</x:v>
      </x:c>
      <x:c r="J1075" s="14" t="str">
        <x:v>Midwest</x:v>
      </x:c>
    </x:row>
    <x:row r="1076">
      <x:c r="A1076" s="50" t="n">
        <x:v>45931</x:v>
      </x:c>
      <x:c r="B1076" s="14" t="str">
        <x:v>SKU-0041</x:v>
      </x:c>
      <x:c r="C1076" s="52" t="n">
        <x:v>17</x:v>
      </x:c>
      <x:c r="D1076" s="40" t="n">
        <x:v>212.82</x:v>
      </x:c>
      <x:c r="E1076" s="44" t="n">
        <x:f>C1076*D1076</x:f>
        <x:v>3617.94</x:v>
      </x:c>
      <x:c r="F1076" s="40" t="n">
        <x:v>117.51</x:v>
      </x:c>
      <x:c r="G1076" s="44" t="n">
        <x:f>C1076*F1076</x:f>
        <x:v>1997.67</x:v>
      </x:c>
      <x:c r="H1076" s="44" t="n">
        <x:f>E1076-G1076</x:f>
        <x:v>1620.27</x:v>
      </x:c>
      <x:c r="I1076" s="14" t="str">
        <x:v>SMB</x:v>
      </x:c>
      <x:c r="J1076" s="14" t="str">
        <x:v>Southeast</x:v>
      </x:c>
    </x:row>
    <x:row r="1077">
      <x:c r="A1077" s="50" t="n">
        <x:v>46192</x:v>
      </x:c>
      <x:c r="B1077" s="14" t="str">
        <x:v>SKU-0139</x:v>
      </x:c>
      <x:c r="C1077" s="52" t="n">
        <x:v>7</x:v>
      </x:c>
      <x:c r="D1077" s="40" t="n">
        <x:v>254.17</x:v>
      </x:c>
      <x:c r="E1077" s="44" t="n">
        <x:f>C1077*D1077</x:f>
        <x:v>1779.1899999999998</x:v>
      </x:c>
      <x:c r="F1077" s="40" t="n">
        <x:v>157.6</x:v>
      </x:c>
      <x:c r="G1077" s="44" t="n">
        <x:f>C1077*F1077</x:f>
        <x:v>1103.2</x:v>
      </x:c>
      <x:c r="H1077" s="44" t="n">
        <x:f>E1077-G1077</x:f>
        <x:v>675.9899999999998</x:v>
      </x:c>
      <x:c r="I1077" s="14" t="str">
        <x:v>Internal Use</x:v>
      </x:c>
      <x:c r="J1077" s="14" t="str">
        <x:v>Midwest</x:v>
      </x:c>
    </x:row>
    <x:row r="1078">
      <x:c r="A1078" s="50" t="n">
        <x:v>46147</x:v>
      </x:c>
      <x:c r="B1078" s="14" t="str">
        <x:v>SKU-0100</x:v>
      </x:c>
      <x:c r="C1078" s="52" t="n">
        <x:v>8</x:v>
      </x:c>
      <x:c r="D1078" s="40" t="n">
        <x:v>199.51</x:v>
      </x:c>
      <x:c r="E1078" s="44" t="n">
        <x:f>C1078*D1078</x:f>
        <x:v>1596.08</x:v>
      </x:c>
      <x:c r="F1078" s="40" t="n">
        <x:v>108.23</x:v>
      </x:c>
      <x:c r="G1078" s="44" t="n">
        <x:f>C1078*F1078</x:f>
        <x:v>865.84</x:v>
      </x:c>
      <x:c r="H1078" s="44" t="n">
        <x:f>E1078-G1078</x:f>
        <x:v>730.2399999999999</x:v>
      </x:c>
      <x:c r="I1078" s="14" t="str">
        <x:v>Enterprise</x:v>
      </x:c>
      <x:c r="J1078" s="14" t="str">
        <x:v>Northeast</x:v>
      </x:c>
    </x:row>
    <x:row r="1079">
      <x:c r="A1079" s="50" t="n">
        <x:v>46242</x:v>
      </x:c>
      <x:c r="B1079" s="14" t="str">
        <x:v>SKU-0065</x:v>
      </x:c>
      <x:c r="C1079" s="52" t="n">
        <x:v>10</x:v>
      </x:c>
      <x:c r="D1079" s="40" t="n">
        <x:v>66.69</x:v>
      </x:c>
      <x:c r="E1079" s="44" t="n">
        <x:f>C1079*D1079</x:f>
        <x:v>666.9</x:v>
      </x:c>
      <x:c r="F1079" s="40" t="n">
        <x:v>52.3</x:v>
      </x:c>
      <x:c r="G1079" s="44" t="n">
        <x:f>C1079*F1079</x:f>
        <x:v>523</x:v>
      </x:c>
      <x:c r="H1079" s="44" t="n">
        <x:f>E1079-G1079</x:f>
        <x:v>143.89999999999998</x:v>
      </x:c>
      <x:c r="I1079" s="14" t="str">
        <x:v>Enterprise</x:v>
      </x:c>
      <x:c r="J1079" s="14" t="str">
        <x:v>Northeast</x:v>
      </x:c>
    </x:row>
    <x:row r="1080">
      <x:c r="A1080" s="50" t="n">
        <x:v>45951</x:v>
      </x:c>
      <x:c r="B1080" s="14" t="str">
        <x:v>SKU-0106</x:v>
      </x:c>
      <x:c r="C1080" s="52" t="n">
        <x:v>59</x:v>
      </x:c>
      <x:c r="D1080" s="40" t="n">
        <x:v>318.66</x:v>
      </x:c>
      <x:c r="E1080" s="44" t="n">
        <x:f>C1080*D1080</x:f>
        <x:v>18800.940000000002</x:v>
      </x:c>
      <x:c r="F1080" s="40" t="n">
        <x:v>220.84</x:v>
      </x:c>
      <x:c r="G1080" s="44" t="n">
        <x:f>C1080*F1080</x:f>
        <x:v>13029.56</x:v>
      </x:c>
      <x:c r="H1080" s="44" t="n">
        <x:f>E1080-G1080</x:f>
        <x:v>5771.380000000003</x:v>
      </x:c>
      <x:c r="I1080" s="14" t="str">
        <x:v>SMB</x:v>
      </x:c>
      <x:c r="J1080" s="14" t="str">
        <x:v>West</x:v>
      </x:c>
    </x:row>
    <x:row r="1081">
      <x:c r="A1081" s="50" t="n">
        <x:v>46210</x:v>
      </x:c>
      <x:c r="B1081" s="14" t="str">
        <x:v>SKU-0041</x:v>
      </x:c>
      <x:c r="C1081" s="52" t="n">
        <x:v>6</x:v>
      </x:c>
      <x:c r="D1081" s="40" t="n">
        <x:v>193.88</x:v>
      </x:c>
      <x:c r="E1081" s="44" t="n">
        <x:f>C1081*D1081</x:f>
        <x:v>1163.28</x:v>
      </x:c>
      <x:c r="F1081" s="40" t="n">
        <x:v>117.51</x:v>
      </x:c>
      <x:c r="G1081" s="44" t="n">
        <x:f>C1081*F1081</x:f>
        <x:v>705.0600000000001</x:v>
      </x:c>
      <x:c r="H1081" s="44" t="n">
        <x:f>E1081-G1081</x:f>
        <x:v>458.2199999999999</x:v>
      </x:c>
      <x:c r="I1081" s="14" t="str">
        <x:v>Distributor</x:v>
      </x:c>
      <x:c r="J1081" s="14" t="str">
        <x:v>Northeast</x:v>
      </x:c>
    </x:row>
    <x:row r="1082">
      <x:c r="A1082" s="50" t="n">
        <x:v>46021</x:v>
      </x:c>
      <x:c r="B1082" s="14" t="str">
        <x:v>SKU-0058</x:v>
      </x:c>
      <x:c r="C1082" s="52" t="n">
        <x:v>3</x:v>
      </x:c>
      <x:c r="D1082" s="40" t="n">
        <x:v>378.35</x:v>
      </x:c>
      <x:c r="E1082" s="44" t="n">
        <x:f>C1082*D1082</x:f>
        <x:v>1135.0500000000002</x:v>
      </x:c>
      <x:c r="F1082" s="40" t="n">
        <x:v>226.78</x:v>
      </x:c>
      <x:c r="G1082" s="44" t="n">
        <x:f>C1082*F1082</x:f>
        <x:v>680.34</x:v>
      </x:c>
      <x:c r="H1082" s="44" t="n">
        <x:f>E1082-G1082</x:f>
        <x:v>454.71000000000015</x:v>
      </x:c>
      <x:c r="I1082" s="14" t="str">
        <x:v>SMB</x:v>
      </x:c>
      <x:c r="J1082" s="14" t="str">
        <x:v>Southeast</x:v>
      </x:c>
    </x:row>
    <x:row r="1083">
      <x:c r="A1083" s="50" t="n">
        <x:v>45952</x:v>
      </x:c>
      <x:c r="B1083" s="14" t="str">
        <x:v>SKU-0114</x:v>
      </x:c>
      <x:c r="C1083" s="52" t="n">
        <x:v>24</x:v>
      </x:c>
      <x:c r="D1083" s="40" t="n">
        <x:v>316.84</x:v>
      </x:c>
      <x:c r="E1083" s="44" t="n">
        <x:f>C1083*D1083</x:f>
        <x:v>7604.16</x:v>
      </x:c>
      <x:c r="F1083" s="40" t="n">
        <x:v>232.11</x:v>
      </x:c>
      <x:c r="G1083" s="44" t="n">
        <x:f>C1083*F1083</x:f>
        <x:v>5570.64</x:v>
      </x:c>
      <x:c r="H1083" s="44" t="n">
        <x:f>E1083-G1083</x:f>
        <x:v>2033.5199999999995</x:v>
      </x:c>
      <x:c r="I1083" s="14" t="str">
        <x:v>Enterprise</x:v>
      </x:c>
      <x:c r="J1083" s="14" t="str">
        <x:v>Midwest</x:v>
      </x:c>
    </x:row>
    <x:row r="1084">
      <x:c r="A1084" s="50" t="n">
        <x:v>45932</x:v>
      </x:c>
      <x:c r="B1084" s="14" t="str">
        <x:v>SKU-0135</x:v>
      </x:c>
      <x:c r="C1084" s="52" t="n">
        <x:v>22</x:v>
      </x:c>
      <x:c r="D1084" s="40" t="n">
        <x:v>327.09</x:v>
      </x:c>
      <x:c r="E1084" s="44" t="n">
        <x:f>C1084*D1084</x:f>
        <x:v>7195.98</x:v>
      </x:c>
      <x:c r="F1084" s="40" t="n">
        <x:v>275.11</x:v>
      </x:c>
      <x:c r="G1084" s="44" t="n">
        <x:f>C1084*F1084</x:f>
        <x:v>6052.42</x:v>
      </x:c>
      <x:c r="H1084" s="44" t="n">
        <x:f>E1084-G1084</x:f>
        <x:v>1143.5599999999995</x:v>
      </x:c>
      <x:c r="I1084" s="14" t="str">
        <x:v>Internal Use</x:v>
      </x:c>
      <x:c r="J1084" s="14" t="str">
        <x:v>Midwest</x:v>
      </x:c>
    </x:row>
    <x:row r="1085">
      <x:c r="A1085" s="50" t="n">
        <x:v>46157</x:v>
      </x:c>
      <x:c r="B1085" s="14" t="str">
        <x:v>SKU-0032</x:v>
      </x:c>
      <x:c r="C1085" s="52" t="n">
        <x:v>16</x:v>
      </x:c>
      <x:c r="D1085" s="40" t="n">
        <x:v>259.06</x:v>
      </x:c>
      <x:c r="E1085" s="44" t="n">
        <x:f>C1085*D1085</x:f>
        <x:v>4144.96</x:v>
      </x:c>
      <x:c r="F1085" s="40" t="n">
        <x:v>221</x:v>
      </x:c>
      <x:c r="G1085" s="44" t="n">
        <x:f>C1085*F1085</x:f>
        <x:v>3536</x:v>
      </x:c>
      <x:c r="H1085" s="44" t="n">
        <x:f>E1085-G1085</x:f>
        <x:v>608.96</x:v>
      </x:c>
      <x:c r="I1085" s="14" t="str">
        <x:v>Distributor</x:v>
      </x:c>
      <x:c r="J1085" s="14" t="str">
        <x:v>Midwest</x:v>
      </x:c>
    </x:row>
    <x:row r="1086">
      <x:c r="A1086" s="50" t="n">
        <x:v>46075</x:v>
      </x:c>
      <x:c r="B1086" s="14" t="str">
        <x:v>SKU-0011</x:v>
      </x:c>
      <x:c r="C1086" s="52" t="n">
        <x:v>16</x:v>
      </x:c>
      <x:c r="D1086" s="40" t="n">
        <x:v>373.64</x:v>
      </x:c>
      <x:c r="E1086" s="44" t="n">
        <x:f>C1086*D1086</x:f>
        <x:v>5978.24</x:v>
      </x:c>
      <x:c r="F1086" s="40" t="n">
        <x:v>244.6</x:v>
      </x:c>
      <x:c r="G1086" s="44" t="n">
        <x:f>C1086*F1086</x:f>
        <x:v>3913.6</x:v>
      </x:c>
      <x:c r="H1086" s="44" t="n">
        <x:f>E1086-G1086</x:f>
        <x:v>2064.64</x:v>
      </x:c>
      <x:c r="I1086" s="14" t="str">
        <x:v>Internal Use</x:v>
      </x:c>
      <x:c r="J1086" s="14" t="str">
        <x:v>Southeast</x:v>
      </x:c>
    </x:row>
    <x:row r="1087">
      <x:c r="A1087" s="50" t="n">
        <x:v>46029</x:v>
      </x:c>
      <x:c r="B1087" s="14" t="str">
        <x:v>SKU-0125</x:v>
      </x:c>
      <x:c r="C1087" s="52" t="n">
        <x:v>5</x:v>
      </x:c>
      <x:c r="D1087" s="40" t="n">
        <x:v>66.32</x:v>
      </x:c>
      <x:c r="E1087" s="44" t="n">
        <x:f>C1087*D1087</x:f>
        <x:v>331.59999999999997</x:v>
      </x:c>
      <x:c r="F1087" s="40" t="n">
        <x:v>38.35</x:v>
      </x:c>
      <x:c r="G1087" s="44" t="n">
        <x:f>C1087*F1087</x:f>
        <x:v>191.75</x:v>
      </x:c>
      <x:c r="H1087" s="44" t="n">
        <x:f>E1087-G1087</x:f>
        <x:v>139.84999999999997</x:v>
      </x:c>
      <x:c r="I1087" s="14" t="str">
        <x:v>Distributor</x:v>
      </x:c>
      <x:c r="J1087" s="14" t="str">
        <x:v>Southeast</x:v>
      </x:c>
    </x:row>
    <x:row r="1088">
      <x:c r="A1088" s="50" t="n">
        <x:v>46239</x:v>
      </x:c>
      <x:c r="B1088" s="14" t="str">
        <x:v>SKU-0127</x:v>
      </x:c>
      <x:c r="C1088" s="52" t="n">
        <x:v>27</x:v>
      </x:c>
      <x:c r="D1088" s="40" t="n">
        <x:v>263.9</x:v>
      </x:c>
      <x:c r="E1088" s="44" t="n">
        <x:f>C1088*D1088</x:f>
        <x:v>7125.299999999999</x:v>
      </x:c>
      <x:c r="F1088" s="40" t="n">
        <x:v>114.9</x:v>
      </x:c>
      <x:c r="G1088" s="44" t="n">
        <x:f>C1088*F1088</x:f>
        <x:v>3102.3</x:v>
      </x:c>
      <x:c r="H1088" s="44" t="n">
        <x:f>E1088-G1088</x:f>
        <x:v>4022.999999999999</x:v>
      </x:c>
      <x:c r="I1088" s="14" t="str">
        <x:v>Distributor</x:v>
      </x:c>
      <x:c r="J1088" s="14" t="str">
        <x:v>Midwest</x:v>
      </x:c>
    </x:row>
    <x:row r="1089">
      <x:c r="A1089" s="50" t="n">
        <x:v>46207</x:v>
      </x:c>
      <x:c r="B1089" s="14" t="str">
        <x:v>SKU-0065</x:v>
      </x:c>
      <x:c r="C1089" s="52" t="n">
        <x:v>9</x:v>
      </x:c>
      <x:c r="D1089" s="40" t="n">
        <x:v>65.85</x:v>
      </x:c>
      <x:c r="E1089" s="44" t="n">
        <x:f>C1089*D1089</x:f>
        <x:v>592.65</x:v>
      </x:c>
      <x:c r="F1089" s="40" t="n">
        <x:v>52.3</x:v>
      </x:c>
      <x:c r="G1089" s="44" t="n">
        <x:f>C1089*F1089</x:f>
        <x:v>470.7</x:v>
      </x:c>
      <x:c r="H1089" s="44" t="n">
        <x:f>E1089-G1089</x:f>
        <x:v>121.94999999999999</x:v>
      </x:c>
      <x:c r="I1089" s="14" t="str">
        <x:v>Distributor</x:v>
      </x:c>
      <x:c r="J1089" s="14" t="str">
        <x:v>Northeast</x:v>
      </x:c>
    </x:row>
    <x:row r="1090">
      <x:c r="A1090" s="50" t="n">
        <x:v>45931</x:v>
      </x:c>
      <x:c r="B1090" s="14" t="str">
        <x:v>SKU-0004</x:v>
      </x:c>
      <x:c r="C1090" s="52" t="n">
        <x:v>15</x:v>
      </x:c>
      <x:c r="D1090" s="40" t="n">
        <x:v>353.07</x:v>
      </x:c>
      <x:c r="E1090" s="44" t="n">
        <x:f>C1090*D1090</x:f>
        <x:v>5296.05</x:v>
      </x:c>
      <x:c r="F1090" s="40" t="n">
        <x:v>164.72</x:v>
      </x:c>
      <x:c r="G1090" s="44" t="n">
        <x:f>C1090*F1090</x:f>
        <x:v>2470.8</x:v>
      </x:c>
      <x:c r="H1090" s="44" t="n">
        <x:f>E1090-G1090</x:f>
        <x:v>2825.25</x:v>
      </x:c>
      <x:c r="I1090" s="14" t="str">
        <x:v>SMB</x:v>
      </x:c>
      <x:c r="J1090" s="14" t="str">
        <x:v>West</x:v>
      </x:c>
    </x:row>
    <x:row r="1091">
      <x:c r="A1091" s="50" t="n">
        <x:v>45933</x:v>
      </x:c>
      <x:c r="B1091" s="14" t="str">
        <x:v>SKU-0069</x:v>
      </x:c>
      <x:c r="C1091" s="52" t="n">
        <x:v>8</x:v>
      </x:c>
      <x:c r="D1091" s="40" t="n">
        <x:v>391.24</x:v>
      </x:c>
      <x:c r="E1091" s="44" t="n">
        <x:f>C1091*D1091</x:f>
        <x:v>3129.92</x:v>
      </x:c>
      <x:c r="F1091" s="40" t="n">
        <x:v>277.23</x:v>
      </x:c>
      <x:c r="G1091" s="44" t="n">
        <x:f>C1091*F1091</x:f>
        <x:v>2217.84</x:v>
      </x:c>
      <x:c r="H1091" s="44" t="n">
        <x:f>E1091-G1091</x:f>
        <x:v>912.0799999999999</x:v>
      </x:c>
      <x:c r="I1091" s="14" t="str">
        <x:v>Internal Use</x:v>
      </x:c>
      <x:c r="J1091" s="14" t="str">
        <x:v>Northeast</x:v>
      </x:c>
    </x:row>
    <x:row r="1092">
      <x:c r="A1092" s="50" t="n">
        <x:v>46182</x:v>
      </x:c>
      <x:c r="B1092" s="14" t="str">
        <x:v>SKU-0028</x:v>
      </x:c>
      <x:c r="C1092" s="52" t="n">
        <x:v>33</x:v>
      </x:c>
      <x:c r="D1092" s="40" t="n">
        <x:v>332.3</x:v>
      </x:c>
      <x:c r="E1092" s="44" t="n">
        <x:f>C1092*D1092</x:f>
        <x:v>10965.9</x:v>
      </x:c>
      <x:c r="F1092" s="40" t="n">
        <x:v>274.39</x:v>
      </x:c>
      <x:c r="G1092" s="44" t="n">
        <x:f>C1092*F1092</x:f>
        <x:v>9054.869999999999</x:v>
      </x:c>
      <x:c r="H1092" s="44" t="n">
        <x:f>E1092-G1092</x:f>
        <x:v>1911.0300000000007</x:v>
      </x:c>
      <x:c r="I1092" s="14" t="str">
        <x:v>Enterprise</x:v>
      </x:c>
      <x:c r="J1092" s="14" t="str">
        <x:v>Northeast</x:v>
      </x:c>
    </x:row>
    <x:row r="1093">
      <x:c r="A1093" s="50" t="n">
        <x:v>46064</x:v>
      </x:c>
      <x:c r="B1093" s="14" t="str">
        <x:v>SKU-0062</x:v>
      </x:c>
      <x:c r="C1093" s="52" t="n">
        <x:v>13</x:v>
      </x:c>
      <x:c r="D1093" s="40" t="n">
        <x:v>116.67</x:v>
      </x:c>
      <x:c r="E1093" s="44" t="n">
        <x:f>C1093*D1093</x:f>
        <x:v>1516.71</x:v>
      </x:c>
      <x:c r="F1093" s="40" t="n">
        <x:v>63.99</x:v>
      </x:c>
      <x:c r="G1093" s="44" t="n">
        <x:f>C1093*F1093</x:f>
        <x:v>831.87</x:v>
      </x:c>
      <x:c r="H1093" s="44" t="n">
        <x:f>E1093-G1093</x:f>
        <x:v>684.84</x:v>
      </x:c>
      <x:c r="I1093" s="14" t="str">
        <x:v>Internal Use</x:v>
      </x:c>
      <x:c r="J1093" s="14" t="str">
        <x:v>Northeast</x:v>
      </x:c>
    </x:row>
    <x:row r="1094">
      <x:c r="A1094" s="50" t="n">
        <x:v>46211</x:v>
      </x:c>
      <x:c r="B1094" s="14" t="str">
        <x:v>SKU-0089</x:v>
      </x:c>
      <x:c r="C1094" s="52" t="n">
        <x:v>11</x:v>
      </x:c>
      <x:c r="D1094" s="40" t="n">
        <x:v>72.36</x:v>
      </x:c>
      <x:c r="E1094" s="44" t="n">
        <x:f>C1094*D1094</x:f>
        <x:v>795.96</x:v>
      </x:c>
      <x:c r="F1094" s="40" t="n">
        <x:v>48.67</x:v>
      </x:c>
      <x:c r="G1094" s="44" t="n">
        <x:f>C1094*F1094</x:f>
        <x:v>535.37</x:v>
      </x:c>
      <x:c r="H1094" s="44" t="n">
        <x:f>E1094-G1094</x:f>
        <x:v>260.59000000000003</x:v>
      </x:c>
      <x:c r="I1094" s="14" t="str">
        <x:v>Internal Use</x:v>
      </x:c>
      <x:c r="J1094" s="14" t="str">
        <x:v>Northeast</x:v>
      </x:c>
    </x:row>
    <x:row r="1095">
      <x:c r="A1095" s="50" t="n">
        <x:v>46170</x:v>
      </x:c>
      <x:c r="B1095" s="14" t="str">
        <x:v>SKU-0056</x:v>
      </x:c>
      <x:c r="C1095" s="52" t="n">
        <x:v>2</x:v>
      </x:c>
      <x:c r="D1095" s="40" t="n">
        <x:v>306.19</x:v>
      </x:c>
      <x:c r="E1095" s="44" t="n">
        <x:f>C1095*D1095</x:f>
        <x:v>612.38</x:v>
      </x:c>
      <x:c r="F1095" s="40" t="n">
        <x:v>219.68</x:v>
      </x:c>
      <x:c r="G1095" s="44" t="n">
        <x:f>C1095*F1095</x:f>
        <x:v>439.36</x:v>
      </x:c>
      <x:c r="H1095" s="44" t="n">
        <x:f>E1095-G1095</x:f>
        <x:v>173.01999999999998</x:v>
      </x:c>
      <x:c r="I1095" s="14" t="str">
        <x:v>Distributor</x:v>
      </x:c>
      <x:c r="J1095" s="14" t="str">
        <x:v>West</x:v>
      </x:c>
    </x:row>
    <x:row r="1096">
      <x:c r="A1096" s="50" t="n">
        <x:v>46113</x:v>
      </x:c>
      <x:c r="B1096" s="14" t="str">
        <x:v>SKU-0008</x:v>
      </x:c>
      <x:c r="C1096" s="52" t="n">
        <x:v>17</x:v>
      </x:c>
      <x:c r="D1096" s="40" t="n">
        <x:v>198.05</x:v>
      </x:c>
      <x:c r="E1096" s="44" t="n">
        <x:f>C1096*D1096</x:f>
        <x:v>3366.8500000000004</x:v>
      </x:c>
      <x:c r="F1096" s="40" t="n">
        <x:v>143.38</x:v>
      </x:c>
      <x:c r="G1096" s="44" t="n">
        <x:f>C1096*F1096</x:f>
        <x:v>2437.46</x:v>
      </x:c>
      <x:c r="H1096" s="44" t="n">
        <x:f>E1096-G1096</x:f>
        <x:v>929.3900000000003</x:v>
      </x:c>
      <x:c r="I1096" s="14" t="str">
        <x:v>Distributor</x:v>
      </x:c>
      <x:c r="J1096" s="14" t="str">
        <x:v>Midwest</x:v>
      </x:c>
    </x:row>
    <x:row r="1097">
      <x:c r="A1097" s="50" t="n">
        <x:v>46021</x:v>
      </x:c>
      <x:c r="B1097" s="14" t="str">
        <x:v>SKU-0064</x:v>
      </x:c>
      <x:c r="C1097" s="52" t="n">
        <x:v>8</x:v>
      </x:c>
      <x:c r="D1097" s="40" t="n">
        <x:v>96.75</x:v>
      </x:c>
      <x:c r="E1097" s="44" t="n">
        <x:f>C1097*D1097</x:f>
        <x:v>774</x:v>
      </x:c>
      <x:c r="F1097" s="40" t="n">
        <x:v>62.55</x:v>
      </x:c>
      <x:c r="G1097" s="44" t="n">
        <x:f>C1097*F1097</x:f>
        <x:v>500.4</x:v>
      </x:c>
      <x:c r="H1097" s="44" t="n">
        <x:f>E1097-G1097</x:f>
        <x:v>273.6</x:v>
      </x:c>
      <x:c r="I1097" s="14" t="str">
        <x:v>Distributor</x:v>
      </x:c>
      <x:c r="J1097" s="14" t="str">
        <x:v>Southeast</x:v>
      </x:c>
    </x:row>
    <x:row r="1098">
      <x:c r="A1098" s="50" t="n">
        <x:v>46165</x:v>
      </x:c>
      <x:c r="B1098" s="14" t="str">
        <x:v>SKU-0054</x:v>
      </x:c>
      <x:c r="C1098" s="52" t="n">
        <x:v>20</x:v>
      </x:c>
      <x:c r="D1098" s="40" t="n">
        <x:v>80.61</x:v>
      </x:c>
      <x:c r="E1098" s="44" t="n">
        <x:f>C1098*D1098</x:f>
        <x:v>1612.2</x:v>
      </x:c>
      <x:c r="F1098" s="40" t="n">
        <x:v>49.06</x:v>
      </x:c>
      <x:c r="G1098" s="44" t="n">
        <x:f>C1098*F1098</x:f>
        <x:v>981.2</x:v>
      </x:c>
      <x:c r="H1098" s="44" t="n">
        <x:f>E1098-G1098</x:f>
        <x:v>631</x:v>
      </x:c>
      <x:c r="I1098" s="14" t="str">
        <x:v>Internal Use</x:v>
      </x:c>
      <x:c r="J1098" s="14" t="str">
        <x:v>Midwest</x:v>
      </x:c>
    </x:row>
    <x:row r="1099">
      <x:c r="A1099" s="50" t="n">
        <x:v>46135</x:v>
      </x:c>
      <x:c r="B1099" s="14" t="str">
        <x:v>SKU-0045</x:v>
      </x:c>
      <x:c r="C1099" s="52" t="n">
        <x:v>18</x:v>
      </x:c>
      <x:c r="D1099" s="40" t="n">
        <x:v>106.15</x:v>
      </x:c>
      <x:c r="E1099" s="44" t="n">
        <x:f>C1099*D1099</x:f>
        <x:v>1910.7</x:v>
      </x:c>
      <x:c r="F1099" s="40" t="n">
        <x:v>68.89</x:v>
      </x:c>
      <x:c r="G1099" s="44" t="n">
        <x:f>C1099*F1099</x:f>
        <x:v>1240.02</x:v>
      </x:c>
      <x:c r="H1099" s="44" t="n">
        <x:f>E1099-G1099</x:f>
        <x:v>670.6800000000001</x:v>
      </x:c>
      <x:c r="I1099" s="14" t="str">
        <x:v>SMB</x:v>
      </x:c>
      <x:c r="J1099" s="14" t="str">
        <x:v>Midwest</x:v>
      </x:c>
    </x:row>
    <x:row r="1100">
      <x:c r="A1100" s="50" t="n">
        <x:v>45931</x:v>
      </x:c>
      <x:c r="B1100" s="14" t="str">
        <x:v>SKU-0079</x:v>
      </x:c>
      <x:c r="C1100" s="52" t="n">
        <x:v>6</x:v>
      </x:c>
      <x:c r="D1100" s="40" t="n">
        <x:v>228.54</x:v>
      </x:c>
      <x:c r="E1100" s="44" t="n">
        <x:f>C1100*D1100</x:f>
        <x:v>1371.24</x:v>
      </x:c>
      <x:c r="F1100" s="40" t="n">
        <x:v>124.08</x:v>
      </x:c>
      <x:c r="G1100" s="44" t="n">
        <x:f>C1100*F1100</x:f>
        <x:v>744.48</x:v>
      </x:c>
      <x:c r="H1100" s="44" t="n">
        <x:f>E1100-G1100</x:f>
        <x:v>626.76</x:v>
      </x:c>
      <x:c r="I1100" s="14" t="str">
        <x:v>Internal Use</x:v>
      </x:c>
      <x:c r="J1100" s="14" t="str">
        <x:v>Southeast</x:v>
      </x:c>
    </x:row>
    <x:row r="1101">
      <x:c r="A1101" s="50" t="n">
        <x:v>46242</x:v>
      </x:c>
      <x:c r="B1101" s="14" t="str">
        <x:v>SKU-0068</x:v>
      </x:c>
      <x:c r="C1101" s="52" t="n">
        <x:v>8</x:v>
      </x:c>
      <x:c r="D1101" s="40" t="n">
        <x:v>232.53</x:v>
      </x:c>
      <x:c r="E1101" s="44" t="n">
        <x:f>C1101*D1101</x:f>
        <x:v>1860.24</x:v>
      </x:c>
      <x:c r="F1101" s="40" t="n">
        <x:v>157.37</x:v>
      </x:c>
      <x:c r="G1101" s="44" t="n">
        <x:f>C1101*F1101</x:f>
        <x:v>1258.96</x:v>
      </x:c>
      <x:c r="H1101" s="44" t="n">
        <x:f>E1101-G1101</x:f>
        <x:v>601.28</x:v>
      </x:c>
      <x:c r="I1101" s="14" t="str">
        <x:v>Distributor</x:v>
      </x:c>
      <x:c r="J1101" s="14" t="str">
        <x:v>Southeast</x:v>
      </x:c>
    </x:row>
    <x:row r="1102">
      <x:c r="A1102" s="50" t="n">
        <x:v>46045</x:v>
      </x:c>
      <x:c r="B1102" s="14" t="str">
        <x:v>SKU-0044</x:v>
      </x:c>
      <x:c r="C1102" s="52" t="n">
        <x:v>5</x:v>
      </x:c>
      <x:c r="D1102" s="40" t="n">
        <x:v>166.3</x:v>
      </x:c>
      <x:c r="E1102" s="44" t="n">
        <x:f>C1102*D1102</x:f>
        <x:v>831.5</x:v>
      </x:c>
      <x:c r="F1102" s="40" t="n">
        <x:v>126.24</x:v>
      </x:c>
      <x:c r="G1102" s="44" t="n">
        <x:f>C1102*F1102</x:f>
        <x:v>631.1999999999999</x:v>
      </x:c>
      <x:c r="H1102" s="44" t="n">
        <x:f>E1102-G1102</x:f>
        <x:v>200.30000000000007</x:v>
      </x:c>
      <x:c r="I1102" s="14" t="str">
        <x:v>Distributor</x:v>
      </x:c>
      <x:c r="J1102" s="14" t="str">
        <x:v>Southeast</x:v>
      </x:c>
    </x:row>
    <x:row r="1103">
      <x:c r="A1103" s="50" t="n">
        <x:v>46196</x:v>
      </x:c>
      <x:c r="B1103" s="14" t="str">
        <x:v>SKU-0102</x:v>
      </x:c>
      <x:c r="C1103" s="52" t="n">
        <x:v>12</x:v>
      </x:c>
      <x:c r="D1103" s="40" t="n">
        <x:v>329.36</x:v>
      </x:c>
      <x:c r="E1103" s="44" t="n">
        <x:f>C1103*D1103</x:f>
        <x:v>3952.32</x:v>
      </x:c>
      <x:c r="F1103" s="40" t="n">
        <x:v>278.87</x:v>
      </x:c>
      <x:c r="G1103" s="44" t="n">
        <x:f>C1103*F1103</x:f>
        <x:v>3346.44</x:v>
      </x:c>
      <x:c r="H1103" s="44" t="n">
        <x:f>E1103-G1103</x:f>
        <x:v>605.8800000000001</x:v>
      </x:c>
      <x:c r="I1103" s="14" t="str">
        <x:v>Internal Use</x:v>
      </x:c>
      <x:c r="J1103" s="14" t="str">
        <x:v>Midwest</x:v>
      </x:c>
    </x:row>
    <x:row r="1104">
      <x:c r="A1104" s="50" t="n">
        <x:v>46054</x:v>
      </x:c>
      <x:c r="B1104" s="14" t="str">
        <x:v>SKU-0038</x:v>
      </x:c>
      <x:c r="C1104" s="52" t="n">
        <x:v>9</x:v>
      </x:c>
      <x:c r="D1104" s="40" t="n">
        <x:v>253.29</x:v>
      </x:c>
      <x:c r="E1104" s="44" t="n">
        <x:f>C1104*D1104</x:f>
        <x:v>2279.61</x:v>
      </x:c>
      <x:c r="F1104" s="40" t="n">
        <x:v>160.43</x:v>
      </x:c>
      <x:c r="G1104" s="44" t="n">
        <x:f>C1104*F1104</x:f>
        <x:v>1443.8700000000001</x:v>
      </x:c>
      <x:c r="H1104" s="44" t="n">
        <x:f>E1104-G1104</x:f>
        <x:v>835.74</x:v>
      </x:c>
      <x:c r="I1104" s="14" t="str">
        <x:v>Enterprise</x:v>
      </x:c>
      <x:c r="J1104" s="14" t="str">
        <x:v>Midwest</x:v>
      </x:c>
    </x:row>
    <x:row r="1105">
      <x:c r="A1105" s="50" t="n">
        <x:v>45922</x:v>
      </x:c>
      <x:c r="B1105" s="14" t="str">
        <x:v>SKU-0146</x:v>
      </x:c>
      <x:c r="C1105" s="52" t="n">
        <x:v>6</x:v>
      </x:c>
      <x:c r="D1105" s="40" t="n">
        <x:v>500.58</x:v>
      </x:c>
      <x:c r="E1105" s="44" t="n">
        <x:f>C1105*D1105</x:f>
        <x:v>3003.48</x:v>
      </x:c>
      <x:c r="F1105" s="40" t="n">
        <x:v>261.77</x:v>
      </x:c>
      <x:c r="G1105" s="44" t="n">
        <x:f>C1105*F1105</x:f>
        <x:v>1570.62</x:v>
      </x:c>
      <x:c r="H1105" s="44" t="n">
        <x:f>E1105-G1105</x:f>
        <x:v>1432.8600000000001</x:v>
      </x:c>
      <x:c r="I1105" s="14" t="str">
        <x:v>SMB</x:v>
      </x:c>
      <x:c r="J1105" s="14" t="str">
        <x:v>Southeast</x:v>
      </x:c>
    </x:row>
    <x:row r="1106">
      <x:c r="A1106" s="50" t="n">
        <x:v>45893</x:v>
      </x:c>
      <x:c r="B1106" s="14" t="str">
        <x:v>SKU-0071</x:v>
      </x:c>
      <x:c r="C1106" s="52" t="n">
        <x:v>8</x:v>
      </x:c>
      <x:c r="D1106" s="40" t="n">
        <x:v>386.25</x:v>
      </x:c>
      <x:c r="E1106" s="44" t="n">
        <x:f>C1106*D1106</x:f>
        <x:v>3090</x:v>
      </x:c>
      <x:c r="F1106" s="40" t="n">
        <x:v>198.68</x:v>
      </x:c>
      <x:c r="G1106" s="44" t="n">
        <x:f>C1106*F1106</x:f>
        <x:v>1589.44</x:v>
      </x:c>
      <x:c r="H1106" s="44" t="n">
        <x:f>E1106-G1106</x:f>
        <x:v>1500.56</x:v>
      </x:c>
      <x:c r="I1106" s="14" t="str">
        <x:v>SMB</x:v>
      </x:c>
      <x:c r="J1106" s="14" t="str">
        <x:v>Southeast</x:v>
      </x:c>
    </x:row>
    <x:row r="1107">
      <x:c r="A1107" s="50" t="n">
        <x:v>46211</x:v>
      </x:c>
      <x:c r="B1107" s="14" t="str">
        <x:v>SKU-0113</x:v>
      </x:c>
      <x:c r="C1107" s="52" t="n">
        <x:v>14</x:v>
      </x:c>
      <x:c r="D1107" s="40" t="n">
        <x:v>271.53</x:v>
      </x:c>
      <x:c r="E1107" s="44" t="n">
        <x:f>C1107*D1107</x:f>
        <x:v>3801.4199999999996</x:v>
      </x:c>
      <x:c r="F1107" s="40" t="n">
        <x:v>222.58</x:v>
      </x:c>
      <x:c r="G1107" s="44" t="n">
        <x:f>C1107*F1107</x:f>
        <x:v>3116.1200000000003</x:v>
      </x:c>
      <x:c r="H1107" s="44" t="n">
        <x:f>E1107-G1107</x:f>
        <x:v>685.2999999999993</x:v>
      </x:c>
      <x:c r="I1107" s="14" t="str">
        <x:v>Enterprise</x:v>
      </x:c>
      <x:c r="J1107" s="14" t="str">
        <x:v>West</x:v>
      </x:c>
    </x:row>
    <x:row r="1108">
      <x:c r="A1108" s="50" t="n">
        <x:v>46092</x:v>
      </x:c>
      <x:c r="B1108" s="14" t="str">
        <x:v>SKU-0113</x:v>
      </x:c>
      <x:c r="C1108" s="52" t="n">
        <x:v>5</x:v>
      </x:c>
      <x:c r="D1108" s="40" t="n">
        <x:v>281.09</x:v>
      </x:c>
      <x:c r="E1108" s="44" t="n">
        <x:f>C1108*D1108</x:f>
        <x:v>1405.4499999999998</x:v>
      </x:c>
      <x:c r="F1108" s="40" t="n">
        <x:v>222.58</x:v>
      </x:c>
      <x:c r="G1108" s="44" t="n">
        <x:f>C1108*F1108</x:f>
        <x:v>1112.9</x:v>
      </x:c>
      <x:c r="H1108" s="44" t="n">
        <x:f>E1108-G1108</x:f>
        <x:v>292.5499999999997</x:v>
      </x:c>
      <x:c r="I1108" s="14" t="str">
        <x:v>Internal Use</x:v>
      </x:c>
      <x:c r="J1108" s="14" t="str">
        <x:v>West</x:v>
      </x:c>
    </x:row>
    <x:row r="1109">
      <x:c r="A1109" s="50" t="n">
        <x:v>46241</x:v>
      </x:c>
      <x:c r="B1109" s="14" t="str">
        <x:v>SKU-0067</x:v>
      </x:c>
      <x:c r="C1109" s="52" t="n">
        <x:v>17</x:v>
      </x:c>
      <x:c r="D1109" s="40" t="n">
        <x:v>146.77</x:v>
      </x:c>
      <x:c r="E1109" s="44" t="n">
        <x:f>C1109*D1109</x:f>
        <x:v>2495.09</x:v>
      </x:c>
      <x:c r="F1109" s="40" t="n">
        <x:v>113.7</x:v>
      </x:c>
      <x:c r="G1109" s="44" t="n">
        <x:f>C1109*F1109</x:f>
        <x:v>1932.9</x:v>
      </x:c>
      <x:c r="H1109" s="44" t="n">
        <x:f>E1109-G1109</x:f>
        <x:v>562.19</x:v>
      </x:c>
      <x:c r="I1109" s="14" t="str">
        <x:v>Internal Use</x:v>
      </x:c>
      <x:c r="J1109" s="14" t="str">
        <x:v>Midwest</x:v>
      </x:c>
    </x:row>
    <x:row r="1110">
      <x:c r="A1110" s="50" t="n">
        <x:v>46000</x:v>
      </x:c>
      <x:c r="B1110" s="14" t="str">
        <x:v>SKU-0094</x:v>
      </x:c>
      <x:c r="C1110" s="52" t="n">
        <x:v>6</x:v>
      </x:c>
      <x:c r="D1110" s="40" t="n">
        <x:v>10.46</x:v>
      </x:c>
      <x:c r="E1110" s="44" t="n">
        <x:f>C1110*D1110</x:f>
        <x:v>62.760000000000005</x:v>
      </x:c>
      <x:c r="F1110" s="40" t="n">
        <x:v>4.75</x:v>
      </x:c>
      <x:c r="G1110" s="44" t="n">
        <x:f>C1110*F1110</x:f>
        <x:v>28.5</x:v>
      </x:c>
      <x:c r="H1110" s="44" t="n">
        <x:f>E1110-G1110</x:f>
        <x:v>34.260000000000005</x:v>
      </x:c>
      <x:c r="I1110" s="14" t="str">
        <x:v>SMB</x:v>
      </x:c>
      <x:c r="J1110" s="14" t="str">
        <x:v>Midwest</x:v>
      </x:c>
    </x:row>
    <x:row r="1111">
      <x:c r="A1111" s="50" t="n">
        <x:v>46155</x:v>
      </x:c>
      <x:c r="B1111" s="14" t="str">
        <x:v>SKU-0064</x:v>
      </x:c>
      <x:c r="C1111" s="52" t="n">
        <x:v>10</x:v>
      </x:c>
      <x:c r="D1111" s="40" t="n">
        <x:v>103.63</x:v>
      </x:c>
      <x:c r="E1111" s="44" t="n">
        <x:f>C1111*D1111</x:f>
        <x:v>1036.3</x:v>
      </x:c>
      <x:c r="F1111" s="40" t="n">
        <x:v>62.55</x:v>
      </x:c>
      <x:c r="G1111" s="44" t="n">
        <x:f>C1111*F1111</x:f>
        <x:v>625.5</x:v>
      </x:c>
      <x:c r="H1111" s="44" t="n">
        <x:f>E1111-G1111</x:f>
        <x:v>410.79999999999995</x:v>
      </x:c>
      <x:c r="I1111" s="14" t="str">
        <x:v>Internal Use</x:v>
      </x:c>
      <x:c r="J1111" s="14" t="str">
        <x:v>Midwest</x:v>
      </x:c>
    </x:row>
    <x:row r="1112">
      <x:c r="A1112" s="50" t="n">
        <x:v>46189</x:v>
      </x:c>
      <x:c r="B1112" s="14" t="str">
        <x:v>SKU-0027</x:v>
      </x:c>
      <x:c r="C1112" s="52" t="n">
        <x:v>5</x:v>
      </x:c>
      <x:c r="D1112" s="40" t="n">
        <x:v>303.15</x:v>
      </x:c>
      <x:c r="E1112" s="44" t="n">
        <x:f>C1112*D1112</x:f>
        <x:v>1515.75</x:v>
      </x:c>
      <x:c r="F1112" s="40" t="n">
        <x:v>138.07</x:v>
      </x:c>
      <x:c r="G1112" s="44" t="n">
        <x:f>C1112*F1112</x:f>
        <x:v>690.3499999999999</x:v>
      </x:c>
      <x:c r="H1112" s="44" t="n">
        <x:f>E1112-G1112</x:f>
        <x:v>825.4000000000001</x:v>
      </x:c>
      <x:c r="I1112" s="14" t="str">
        <x:v>SMB</x:v>
      </x:c>
      <x:c r="J1112" s="14" t="str">
        <x:v>West</x:v>
      </x:c>
    </x:row>
    <x:row r="1113">
      <x:c r="A1113" s="50" t="n">
        <x:v>46174</x:v>
      </x:c>
      <x:c r="B1113" s="14" t="str">
        <x:v>SKU-0069</x:v>
      </x:c>
      <x:c r="C1113" s="52" t="n">
        <x:v>21</x:v>
      </x:c>
      <x:c r="D1113" s="40" t="n">
        <x:v>383.63</x:v>
      </x:c>
      <x:c r="E1113" s="44" t="n">
        <x:f>C1113*D1113</x:f>
        <x:v>8056.23</x:v>
      </x:c>
      <x:c r="F1113" s="40" t="n">
        <x:v>277.23</x:v>
      </x:c>
      <x:c r="G1113" s="44" t="n">
        <x:f>C1113*F1113</x:f>
        <x:v>5821.83</x:v>
      </x:c>
      <x:c r="H1113" s="44" t="n">
        <x:f>E1113-G1113</x:f>
        <x:v>2234.3999999999996</x:v>
      </x:c>
      <x:c r="I1113" s="14" t="str">
        <x:v>Internal Use</x:v>
      </x:c>
      <x:c r="J1113" s="14" t="str">
        <x:v>Northeast</x:v>
      </x:c>
    </x:row>
    <x:row r="1114">
      <x:c r="A1114" s="50" t="n">
        <x:v>45891</x:v>
      </x:c>
      <x:c r="B1114" s="14" t="str">
        <x:v>SKU-0044</x:v>
      </x:c>
      <x:c r="C1114" s="52" t="n">
        <x:v>10</x:v>
      </x:c>
      <x:c r="D1114" s="40" t="n">
        <x:v>151.66</x:v>
      </x:c>
      <x:c r="E1114" s="44" t="n">
        <x:f>C1114*D1114</x:f>
        <x:v>1516.6</x:v>
      </x:c>
      <x:c r="F1114" s="40" t="n">
        <x:v>126.24</x:v>
      </x:c>
      <x:c r="G1114" s="44" t="n">
        <x:f>C1114*F1114</x:f>
        <x:v>1262.3999999999999</x:v>
      </x:c>
      <x:c r="H1114" s="44" t="n">
        <x:f>E1114-G1114</x:f>
        <x:v>254.20000000000005</x:v>
      </x:c>
      <x:c r="I1114" s="14" t="str">
        <x:v>Distributor</x:v>
      </x:c>
      <x:c r="J1114" s="14" t="str">
        <x:v>West</x:v>
      </x:c>
    </x:row>
    <x:row r="1115">
      <x:c r="A1115" s="50" t="n">
        <x:v>45912</x:v>
      </x:c>
      <x:c r="B1115" s="14" t="str">
        <x:v>SKU-0038</x:v>
      </x:c>
      <x:c r="C1115" s="52" t="n">
        <x:v>11</x:v>
      </x:c>
      <x:c r="D1115" s="40" t="n">
        <x:v>245.88</x:v>
      </x:c>
      <x:c r="E1115" s="44" t="n">
        <x:f>C1115*D1115</x:f>
        <x:v>2704.68</x:v>
      </x:c>
      <x:c r="F1115" s="40" t="n">
        <x:v>160.43</x:v>
      </x:c>
      <x:c r="G1115" s="44" t="n">
        <x:f>C1115*F1115</x:f>
        <x:v>1764.73</x:v>
      </x:c>
      <x:c r="H1115" s="44" t="n">
        <x:f>E1115-G1115</x:f>
        <x:v>939.9499999999998</x:v>
      </x:c>
      <x:c r="I1115" s="14" t="str">
        <x:v>Distributor</x:v>
      </x:c>
      <x:c r="J1115" s="14" t="str">
        <x:v>Northeast</x:v>
      </x:c>
    </x:row>
    <x:row r="1116">
      <x:c r="A1116" s="50" t="n">
        <x:v>46100</x:v>
      </x:c>
      <x:c r="B1116" s="14" t="str">
        <x:v>SKU-0126</x:v>
      </x:c>
      <x:c r="C1116" s="52" t="n">
        <x:v>7</x:v>
      </x:c>
      <x:c r="D1116" s="40" t="n">
        <x:v>17.07</x:v>
      </x:c>
      <x:c r="E1116" s="44" t="n">
        <x:f>C1116*D1116</x:f>
        <x:v>119.49000000000001</x:v>
      </x:c>
      <x:c r="F1116" s="40" t="n">
        <x:v>7.7</x:v>
      </x:c>
      <x:c r="G1116" s="44" t="n">
        <x:f>C1116*F1116</x:f>
        <x:v>53.9</x:v>
      </x:c>
      <x:c r="H1116" s="44" t="n">
        <x:f>E1116-G1116</x:f>
        <x:v>65.59</x:v>
      </x:c>
      <x:c r="I1116" s="14" t="str">
        <x:v>Distributor</x:v>
      </x:c>
      <x:c r="J1116" s="14" t="str">
        <x:v>Southeast</x:v>
      </x:c>
    </x:row>
    <x:row r="1117">
      <x:c r="A1117" s="50" t="n">
        <x:v>46140</x:v>
      </x:c>
      <x:c r="B1117" s="14" t="str">
        <x:v>SKU-0146</x:v>
      </x:c>
      <x:c r="C1117" s="52" t="n">
        <x:v>10</x:v>
      </x:c>
      <x:c r="D1117" s="40" t="n">
        <x:v>463.06</x:v>
      </x:c>
      <x:c r="E1117" s="44" t="n">
        <x:f>C1117*D1117</x:f>
        <x:v>4630.6</x:v>
      </x:c>
      <x:c r="F1117" s="40" t="n">
        <x:v>261.77</x:v>
      </x:c>
      <x:c r="G1117" s="44" t="n">
        <x:f>C1117*F1117</x:f>
        <x:v>2617.7</x:v>
      </x:c>
      <x:c r="H1117" s="44" t="n">
        <x:f>E1117-G1117</x:f>
        <x:v>2012.9000000000005</x:v>
      </x:c>
      <x:c r="I1117" s="14" t="str">
        <x:v>Enterprise</x:v>
      </x:c>
      <x:c r="J1117" s="14" t="str">
        <x:v>Northeast</x:v>
      </x:c>
    </x:row>
    <x:row r="1118">
      <x:c r="A1118" s="50" t="n">
        <x:v>46180</x:v>
      </x:c>
      <x:c r="B1118" s="14" t="str">
        <x:v>SKU-0092</x:v>
      </x:c>
      <x:c r="C1118" s="52" t="n">
        <x:v>12</x:v>
      </x:c>
      <x:c r="D1118" s="40" t="n">
        <x:v>185.21</x:v>
      </x:c>
      <x:c r="E1118" s="44" t="n">
        <x:f>C1118*D1118</x:f>
        <x:v>2222.52</x:v>
      </x:c>
      <x:c r="F1118" s="40" t="n">
        <x:v>125.08</x:v>
      </x:c>
      <x:c r="G1118" s="44" t="n">
        <x:f>C1118*F1118</x:f>
        <x:v>1500.96</x:v>
      </x:c>
      <x:c r="H1118" s="44" t="n">
        <x:f>E1118-G1118</x:f>
        <x:v>721.56</x:v>
      </x:c>
      <x:c r="I1118" s="14" t="str">
        <x:v>SMB</x:v>
      </x:c>
      <x:c r="J1118" s="14" t="str">
        <x:v>Southeast</x:v>
      </x:c>
    </x:row>
    <x:row r="1119">
      <x:c r="A1119" s="50" t="n">
        <x:v>45972</x:v>
      </x:c>
      <x:c r="B1119" s="14" t="str">
        <x:v>SKU-0046</x:v>
      </x:c>
      <x:c r="C1119" s="52" t="n">
        <x:v>14</x:v>
      </x:c>
      <x:c r="D1119" s="40" t="n">
        <x:v>112.37</x:v>
      </x:c>
      <x:c r="E1119" s="44" t="n">
        <x:f>C1119*D1119</x:f>
        <x:v>1573.18</x:v>
      </x:c>
      <x:c r="F1119" s="40" t="n">
        <x:v>66.68</x:v>
      </x:c>
      <x:c r="G1119" s="44" t="n">
        <x:f>C1119*F1119</x:f>
        <x:v>933.5200000000001</x:v>
      </x:c>
      <x:c r="H1119" s="44" t="n">
        <x:f>E1119-G1119</x:f>
        <x:v>639.66</x:v>
      </x:c>
      <x:c r="I1119" s="14" t="str">
        <x:v>Internal Use</x:v>
      </x:c>
      <x:c r="J1119" s="14" t="str">
        <x:v>West</x:v>
      </x:c>
    </x:row>
    <x:row r="1120">
      <x:c r="A1120" s="50" t="n">
        <x:v>46075</x:v>
      </x:c>
      <x:c r="B1120" s="14" t="str">
        <x:v>SKU-0105</x:v>
      </x:c>
      <x:c r="C1120" s="52" t="n">
        <x:v>12</x:v>
      </x:c>
      <x:c r="D1120" s="40" t="n">
        <x:v>144.47</x:v>
      </x:c>
      <x:c r="E1120" s="44" t="n">
        <x:f>C1120*D1120</x:f>
        <x:v>1733.6399999999999</x:v>
      </x:c>
      <x:c r="F1120" s="40" t="n">
        <x:v>112.98</x:v>
      </x:c>
      <x:c r="G1120" s="44" t="n">
        <x:f>C1120*F1120</x:f>
        <x:v>1355.76</x:v>
      </x:c>
      <x:c r="H1120" s="44" t="n">
        <x:f>E1120-G1120</x:f>
        <x:v>377.8799999999999</x:v>
      </x:c>
      <x:c r="I1120" s="14" t="str">
        <x:v>Enterprise</x:v>
      </x:c>
      <x:c r="J1120" s="14" t="str">
        <x:v>Midwest</x:v>
      </x:c>
    </x:row>
    <x:row r="1121">
      <x:c r="A1121" s="50" t="n">
        <x:v>45970</x:v>
      </x:c>
      <x:c r="B1121" s="14" t="str">
        <x:v>SKU-0091</x:v>
      </x:c>
      <x:c r="C1121" s="52" t="n">
        <x:v>9</x:v>
      </x:c>
      <x:c r="D1121" s="40" t="n">
        <x:v>63.79</x:v>
      </x:c>
      <x:c r="E1121" s="44" t="n">
        <x:f>C1121*D1121</x:f>
        <x:v>574.11</x:v>
      </x:c>
      <x:c r="F1121" s="40" t="n">
        <x:v>42.22</x:v>
      </x:c>
      <x:c r="G1121" s="44" t="n">
        <x:f>C1121*F1121</x:f>
        <x:v>379.98</x:v>
      </x:c>
      <x:c r="H1121" s="44" t="n">
        <x:f>E1121-G1121</x:f>
        <x:v>194.13</x:v>
      </x:c>
      <x:c r="I1121" s="14" t="str">
        <x:v>SMB</x:v>
      </x:c>
      <x:c r="J1121" s="14" t="str">
        <x:v>Midwest</x:v>
      </x:c>
    </x:row>
    <x:row r="1122">
      <x:c r="A1122" s="50" t="n">
        <x:v>46053</x:v>
      </x:c>
      <x:c r="B1122" s="14" t="str">
        <x:v>SKU-0021</x:v>
      </x:c>
      <x:c r="C1122" s="52" t="n">
        <x:v>8</x:v>
      </x:c>
      <x:c r="D1122" s="40" t="n">
        <x:v>320.59</x:v>
      </x:c>
      <x:c r="E1122" s="44" t="n">
        <x:f>C1122*D1122</x:f>
        <x:v>2564.72</x:v>
      </x:c>
      <x:c r="F1122" s="40" t="n">
        <x:v>269.12</x:v>
      </x:c>
      <x:c r="G1122" s="44" t="n">
        <x:f>C1122*F1122</x:f>
        <x:v>2152.96</x:v>
      </x:c>
      <x:c r="H1122" s="44" t="n">
        <x:f>E1122-G1122</x:f>
        <x:v>411.75999999999976</x:v>
      </x:c>
      <x:c r="I1122" s="14" t="str">
        <x:v>Enterprise</x:v>
      </x:c>
      <x:c r="J1122" s="14" t="str">
        <x:v>Northeast</x:v>
      </x:c>
    </x:row>
    <x:row r="1123">
      <x:c r="A1123" s="50" t="n">
        <x:v>45928</x:v>
      </x:c>
      <x:c r="B1123" s="14" t="str">
        <x:v>SKU-0096</x:v>
      </x:c>
      <x:c r="C1123" s="52" t="n">
        <x:v>9</x:v>
      </x:c>
      <x:c r="D1123" s="40" t="n">
        <x:v>49.58</x:v>
      </x:c>
      <x:c r="E1123" s="44" t="n">
        <x:f>C1123*D1123</x:f>
        <x:v>446.21999999999997</x:v>
      </x:c>
      <x:c r="F1123" s="40" t="n">
        <x:v>29.46</x:v>
      </x:c>
      <x:c r="G1123" s="44" t="n">
        <x:f>C1123*F1123</x:f>
        <x:v>265.14</x:v>
      </x:c>
      <x:c r="H1123" s="44" t="n">
        <x:f>E1123-G1123</x:f>
        <x:v>181.07999999999998</x:v>
      </x:c>
      <x:c r="I1123" s="14" t="str">
        <x:v>Enterprise</x:v>
      </x:c>
      <x:c r="J1123" s="14" t="str">
        <x:v>Midwest</x:v>
      </x:c>
    </x:row>
    <x:row r="1124">
      <x:c r="A1124" s="50" t="n">
        <x:v>45968</x:v>
      </x:c>
      <x:c r="B1124" s="14" t="str">
        <x:v>SKU-0018</x:v>
      </x:c>
      <x:c r="C1124" s="52" t="n">
        <x:v>2</x:v>
      </x:c>
      <x:c r="D1124" s="40" t="n">
        <x:v>72.1</x:v>
      </x:c>
      <x:c r="E1124" s="44" t="n">
        <x:f>C1124*D1124</x:f>
        <x:v>144.2</x:v>
      </x:c>
      <x:c r="F1124" s="40" t="n">
        <x:v>48.65</x:v>
      </x:c>
      <x:c r="G1124" s="44" t="n">
        <x:f>C1124*F1124</x:f>
        <x:v>97.3</x:v>
      </x:c>
      <x:c r="H1124" s="44" t="n">
        <x:f>E1124-G1124</x:f>
        <x:v>46.89999999999999</x:v>
      </x:c>
      <x:c r="I1124" s="14" t="str">
        <x:v>SMB</x:v>
      </x:c>
      <x:c r="J1124" s="14" t="str">
        <x:v>Midwest</x:v>
      </x:c>
    </x:row>
    <x:row r="1125">
      <x:c r="A1125" s="50" t="n">
        <x:v>46229</x:v>
      </x:c>
      <x:c r="B1125" s="14" t="str">
        <x:v>SKU-0025</x:v>
      </x:c>
      <x:c r="C1125" s="52" t="n">
        <x:v>37</x:v>
      </x:c>
      <x:c r="D1125" s="40" t="n">
        <x:v>546.49</x:v>
      </x:c>
      <x:c r="E1125" s="44" t="n">
        <x:f>C1125*D1125</x:f>
        <x:v>20220.13</x:v>
      </x:c>
      <x:c r="F1125" s="40" t="n">
        <x:v>275.52</x:v>
      </x:c>
      <x:c r="G1125" s="44" t="n">
        <x:f>C1125*F1125</x:f>
        <x:v>10194.24</x:v>
      </x:c>
      <x:c r="H1125" s="44" t="n">
        <x:f>E1125-G1125</x:f>
        <x:v>10025.890000000001</x:v>
      </x:c>
      <x:c r="I1125" s="14" t="str">
        <x:v>Internal Use</x:v>
      </x:c>
      <x:c r="J1125" s="14" t="str">
        <x:v>Southeast</x:v>
      </x:c>
    </x:row>
    <x:row r="1126">
      <x:c r="A1126" s="50" t="n">
        <x:v>45956</x:v>
      </x:c>
      <x:c r="B1126" s="14" t="str">
        <x:v>SKU-0130</x:v>
      </x:c>
      <x:c r="C1126" s="52" t="n">
        <x:v>19</x:v>
      </x:c>
      <x:c r="D1126" s="40" t="n">
        <x:v>97.3</x:v>
      </x:c>
      <x:c r="E1126" s="44" t="n">
        <x:f>C1126*D1126</x:f>
        <x:v>1848.7</x:v>
      </x:c>
      <x:c r="F1126" s="40" t="n">
        <x:v>73.53</x:v>
      </x:c>
      <x:c r="G1126" s="44" t="n">
        <x:f>C1126*F1126</x:f>
        <x:v>1397.07</x:v>
      </x:c>
      <x:c r="H1126" s="44" t="n">
        <x:f>E1126-G1126</x:f>
        <x:v>451.6300000000001</x:v>
      </x:c>
      <x:c r="I1126" s="14" t="str">
        <x:v>Enterprise</x:v>
      </x:c>
      <x:c r="J1126" s="14" t="str">
        <x:v>Midwest</x:v>
      </x:c>
    </x:row>
    <x:row r="1127">
      <x:c r="A1127" s="50" t="n">
        <x:v>45935</x:v>
      </x:c>
      <x:c r="B1127" s="14" t="str">
        <x:v>SKU-0075</x:v>
      </x:c>
      <x:c r="C1127" s="52" t="n">
        <x:v>7</x:v>
      </x:c>
      <x:c r="D1127" s="40" t="n">
        <x:v>25.81</x:v>
      </x:c>
      <x:c r="E1127" s="44" t="n">
        <x:f>C1127*D1127</x:f>
        <x:v>180.67</x:v>
      </x:c>
      <x:c r="F1127" s="40" t="n">
        <x:v>13.66</x:v>
      </x:c>
      <x:c r="G1127" s="44" t="n">
        <x:f>C1127*F1127</x:f>
        <x:v>95.62</x:v>
      </x:c>
      <x:c r="H1127" s="44" t="n">
        <x:f>E1127-G1127</x:f>
        <x:v>85.04999999999998</x:v>
      </x:c>
      <x:c r="I1127" s="14" t="str">
        <x:v>Enterprise</x:v>
      </x:c>
      <x:c r="J1127" s="14" t="str">
        <x:v>West</x:v>
      </x:c>
    </x:row>
    <x:row r="1128">
      <x:c r="A1128" s="50" t="n">
        <x:v>46188</x:v>
      </x:c>
      <x:c r="B1128" s="14" t="str">
        <x:v>SKU-0050</x:v>
      </x:c>
      <x:c r="C1128" s="52" t="n">
        <x:v>2</x:v>
      </x:c>
      <x:c r="D1128" s="40" t="n">
        <x:v>313.36</x:v>
      </x:c>
      <x:c r="E1128" s="44" t="n">
        <x:f>C1128*D1128</x:f>
        <x:v>626.72</x:v>
      </x:c>
      <x:c r="F1128" s="40" t="n">
        <x:v>150.72</x:v>
      </x:c>
      <x:c r="G1128" s="44" t="n">
        <x:f>C1128*F1128</x:f>
        <x:v>301.44</x:v>
      </x:c>
      <x:c r="H1128" s="44" t="n">
        <x:f>E1128-G1128</x:f>
        <x:v>325.28000000000003</x:v>
      </x:c>
      <x:c r="I1128" s="14" t="str">
        <x:v>Internal Use</x:v>
      </x:c>
      <x:c r="J1128" s="14" t="str">
        <x:v>West</x:v>
      </x:c>
    </x:row>
    <x:row r="1129">
      <x:c r="A1129" s="50" t="n">
        <x:v>45939</x:v>
      </x:c>
      <x:c r="B1129" s="14" t="str">
        <x:v>SKU-0115</x:v>
      </x:c>
      <x:c r="C1129" s="52" t="n">
        <x:v>11</x:v>
      </x:c>
      <x:c r="D1129" s="40" t="n">
        <x:v>33.16</x:v>
      </x:c>
      <x:c r="E1129" s="44" t="n">
        <x:f>C1129*D1129</x:f>
        <x:v>364.76</x:v>
      </x:c>
      <x:c r="F1129" s="40" t="n">
        <x:v>27.81</x:v>
      </x:c>
      <x:c r="G1129" s="44" t="n">
        <x:f>C1129*F1129</x:f>
        <x:v>305.90999999999997</x:v>
      </x:c>
      <x:c r="H1129" s="44" t="n">
        <x:f>E1129-G1129</x:f>
        <x:v>58.85000000000002</x:v>
      </x:c>
      <x:c r="I1129" s="14" t="str">
        <x:v>SMB</x:v>
      </x:c>
      <x:c r="J1129" s="14" t="str">
        <x:v>Southeast</x:v>
      </x:c>
    </x:row>
    <x:row r="1130">
      <x:c r="A1130" s="50" t="n">
        <x:v>45976</x:v>
      </x:c>
      <x:c r="B1130" s="14" t="str">
        <x:v>SKU-0126</x:v>
      </x:c>
      <x:c r="C1130" s="52" t="n">
        <x:v>7</x:v>
      </x:c>
      <x:c r="D1130" s="40" t="n">
        <x:v>17.03</x:v>
      </x:c>
      <x:c r="E1130" s="44" t="n">
        <x:f>C1130*D1130</x:f>
        <x:v>119.21000000000001</x:v>
      </x:c>
      <x:c r="F1130" s="40" t="n">
        <x:v>7.7</x:v>
      </x:c>
      <x:c r="G1130" s="44" t="n">
        <x:f>C1130*F1130</x:f>
        <x:v>53.9</x:v>
      </x:c>
      <x:c r="H1130" s="44" t="n">
        <x:f>E1130-G1130</x:f>
        <x:v>65.31</x:v>
      </x:c>
      <x:c r="I1130" s="14" t="str">
        <x:v>Enterprise</x:v>
      </x:c>
      <x:c r="J1130" s="14" t="str">
        <x:v>Northeast</x:v>
      </x:c>
    </x:row>
    <x:row r="1131">
      <x:c r="A1131" s="50" t="n">
        <x:v>46149</x:v>
      </x:c>
      <x:c r="B1131" s="14" t="str">
        <x:v>SKU-0083</x:v>
      </x:c>
      <x:c r="C1131" s="52" t="n">
        <x:v>12</x:v>
      </x:c>
      <x:c r="D1131" s="40" t="n">
        <x:v>197.47</x:v>
      </x:c>
      <x:c r="E1131" s="44" t="n">
        <x:f>C1131*D1131</x:f>
        <x:v>2369.64</x:v>
      </x:c>
      <x:c r="F1131" s="40" t="n">
        <x:v>126.42</x:v>
      </x:c>
      <x:c r="G1131" s="44" t="n">
        <x:f>C1131*F1131</x:f>
        <x:v>1517.04</x:v>
      </x:c>
      <x:c r="H1131" s="44" t="n">
        <x:f>E1131-G1131</x:f>
        <x:v>852.5999999999999</x:v>
      </x:c>
      <x:c r="I1131" s="14" t="str">
        <x:v>SMB</x:v>
      </x:c>
      <x:c r="J1131" s="14" t="str">
        <x:v>Midwest</x:v>
      </x:c>
    </x:row>
    <x:row r="1132">
      <x:c r="A1132" s="50" t="n">
        <x:v>45949</x:v>
      </x:c>
      <x:c r="B1132" s="14" t="str">
        <x:v>SKU-0083</x:v>
      </x:c>
      <x:c r="C1132" s="52" t="n">
        <x:v>8</x:v>
      </x:c>
      <x:c r="D1132" s="40" t="n">
        <x:v>210.26</x:v>
      </x:c>
      <x:c r="E1132" s="44" t="n">
        <x:f>C1132*D1132</x:f>
        <x:v>1682.08</x:v>
      </x:c>
      <x:c r="F1132" s="40" t="n">
        <x:v>126.42</x:v>
      </x:c>
      <x:c r="G1132" s="44" t="n">
        <x:f>C1132*F1132</x:f>
        <x:v>1011.36</x:v>
      </x:c>
      <x:c r="H1132" s="44" t="n">
        <x:f>E1132-G1132</x:f>
        <x:v>670.7199999999999</x:v>
      </x:c>
      <x:c r="I1132" s="14" t="str">
        <x:v>Internal Use</x:v>
      </x:c>
      <x:c r="J1132" s="14" t="str">
        <x:v>West</x:v>
      </x:c>
    </x:row>
    <x:row r="1133">
      <x:c r="A1133" s="50" t="n">
        <x:v>46073</x:v>
      </x:c>
      <x:c r="B1133" s="14" t="str">
        <x:v>SKU-0112</x:v>
      </x:c>
      <x:c r="C1133" s="52" t="n">
        <x:v>2</x:v>
      </x:c>
      <x:c r="D1133" s="40" t="n">
        <x:v>297.42</x:v>
      </x:c>
      <x:c r="E1133" s="44" t="n">
        <x:f>C1133*D1133</x:f>
        <x:v>594.84</x:v>
      </x:c>
      <x:c r="F1133" s="40" t="n">
        <x:v>175.75</x:v>
      </x:c>
      <x:c r="G1133" s="44" t="n">
        <x:f>C1133*F1133</x:f>
        <x:v>351.5</x:v>
      </x:c>
      <x:c r="H1133" s="44" t="n">
        <x:f>E1133-G1133</x:f>
        <x:v>243.34000000000003</x:v>
      </x:c>
      <x:c r="I1133" s="14" t="str">
        <x:v>Distributor</x:v>
      </x:c>
      <x:c r="J1133" s="14" t="str">
        <x:v>West</x:v>
      </x:c>
    </x:row>
    <x:row r="1134">
      <x:c r="A1134" s="50" t="n">
        <x:v>46230</x:v>
      </x:c>
      <x:c r="B1134" s="14" t="str">
        <x:v>SKU-0074</x:v>
      </x:c>
      <x:c r="C1134" s="52" t="n">
        <x:v>16</x:v>
      </x:c>
      <x:c r="D1134" s="40" t="n">
        <x:v>323.21</x:v>
      </x:c>
      <x:c r="E1134" s="44" t="n">
        <x:f>C1134*D1134</x:f>
        <x:v>5171.36</x:v>
      </x:c>
      <x:c r="F1134" s="40" t="n">
        <x:v>206.33</x:v>
      </x:c>
      <x:c r="G1134" s="44" t="n">
        <x:f>C1134*F1134</x:f>
        <x:v>3301.28</x:v>
      </x:c>
      <x:c r="H1134" s="44" t="n">
        <x:f>E1134-G1134</x:f>
        <x:v>1870.0799999999995</x:v>
      </x:c>
      <x:c r="I1134" s="14" t="str">
        <x:v>Enterprise</x:v>
      </x:c>
      <x:c r="J1134" s="14" t="str">
        <x:v>Midwest</x:v>
      </x:c>
    </x:row>
    <x:row r="1135">
      <x:c r="A1135" s="50" t="n">
        <x:v>46157</x:v>
      </x:c>
      <x:c r="B1135" s="14" t="str">
        <x:v>SKU-0147</x:v>
      </x:c>
      <x:c r="C1135" s="52" t="n">
        <x:v>4</x:v>
      </x:c>
      <x:c r="D1135" s="40" t="n">
        <x:v>55.63</x:v>
      </x:c>
      <x:c r="E1135" s="44" t="n">
        <x:f>C1135*D1135</x:f>
        <x:v>222.52</x:v>
      </x:c>
      <x:c r="F1135" s="40" t="n">
        <x:v>27.95</x:v>
      </x:c>
      <x:c r="G1135" s="44" t="n">
        <x:f>C1135*F1135</x:f>
        <x:v>111.8</x:v>
      </x:c>
      <x:c r="H1135" s="44" t="n">
        <x:f>E1135-G1135</x:f>
        <x:v>110.72000000000001</x:v>
      </x:c>
      <x:c r="I1135" s="14" t="str">
        <x:v>Enterprise</x:v>
      </x:c>
      <x:c r="J1135" s="14" t="str">
        <x:v>Northeast</x:v>
      </x:c>
    </x:row>
    <x:row r="1136">
      <x:c r="A1136" s="50" t="n">
        <x:v>46077</x:v>
      </x:c>
      <x:c r="B1136" s="14" t="str">
        <x:v>SKU-0078</x:v>
      </x:c>
      <x:c r="C1136" s="52" t="n">
        <x:v>9</x:v>
      </x:c>
      <x:c r="D1136" s="40" t="n">
        <x:v>27.36</x:v>
      </x:c>
      <x:c r="E1136" s="44" t="n">
        <x:f>C1136*D1136</x:f>
        <x:v>246.24</x:v>
      </x:c>
      <x:c r="F1136" s="40" t="n">
        <x:v>17.54</x:v>
      </x:c>
      <x:c r="G1136" s="44" t="n">
        <x:f>C1136*F1136</x:f>
        <x:v>157.85999999999999</x:v>
      </x:c>
      <x:c r="H1136" s="44" t="n">
        <x:f>E1136-G1136</x:f>
        <x:v>88.38000000000002</x:v>
      </x:c>
      <x:c r="I1136" s="14" t="str">
        <x:v>Enterprise</x:v>
      </x:c>
      <x:c r="J1136" s="14" t="str">
        <x:v>Southeast</x:v>
      </x:c>
    </x:row>
    <x:row r="1137">
      <x:c r="A1137" s="50" t="n">
        <x:v>46114</x:v>
      </x:c>
      <x:c r="B1137" s="14" t="str">
        <x:v>SKU-0026</x:v>
      </x:c>
      <x:c r="C1137" s="52" t="n">
        <x:v>12</x:v>
      </x:c>
      <x:c r="D1137" s="40" t="n">
        <x:v>443.71</x:v>
      </x:c>
      <x:c r="E1137" s="44" t="n">
        <x:f>C1137*D1137</x:f>
        <x:v>5324.5199999999995</x:v>
      </x:c>
      <x:c r="F1137" s="40" t="n">
        <x:v>249.4</x:v>
      </x:c>
      <x:c r="G1137" s="44" t="n">
        <x:f>C1137*F1137</x:f>
        <x:v>2992.8</x:v>
      </x:c>
      <x:c r="H1137" s="44" t="n">
        <x:f>E1137-G1137</x:f>
        <x:v>2331.7199999999993</x:v>
      </x:c>
      <x:c r="I1137" s="14" t="str">
        <x:v>SMB</x:v>
      </x:c>
      <x:c r="J1137" s="14" t="str">
        <x:v>Northeast</x:v>
      </x:c>
    </x:row>
    <x:row r="1138">
      <x:c r="A1138" s="50" t="n">
        <x:v>46075</x:v>
      </x:c>
      <x:c r="B1138" s="14" t="str">
        <x:v>SKU-0012</x:v>
      </x:c>
      <x:c r="C1138" s="52" t="n">
        <x:v>2</x:v>
      </x:c>
      <x:c r="D1138" s="40" t="n">
        <x:v>409.58</x:v>
      </x:c>
      <x:c r="E1138" s="44" t="n">
        <x:f>C1138*D1138</x:f>
        <x:v>819.16</x:v>
      </x:c>
      <x:c r="F1138" s="40" t="n">
        <x:v>252.14</x:v>
      </x:c>
      <x:c r="G1138" s="44" t="n">
        <x:f>C1138*F1138</x:f>
        <x:v>504.28</x:v>
      </x:c>
      <x:c r="H1138" s="44" t="n">
        <x:f>E1138-G1138</x:f>
        <x:v>314.88</x:v>
      </x:c>
      <x:c r="I1138" s="14" t="str">
        <x:v>Enterprise</x:v>
      </x:c>
      <x:c r="J1138" s="14" t="str">
        <x:v>Southeast</x:v>
      </x:c>
    </x:row>
    <x:row r="1139">
      <x:c r="A1139" s="50" t="n">
        <x:v>45970</x:v>
      </x:c>
      <x:c r="B1139" s="14" t="str">
        <x:v>SKU-0085</x:v>
      </x:c>
      <x:c r="C1139" s="52" t="n">
        <x:v>3</x:v>
      </x:c>
      <x:c r="D1139" s="40" t="n">
        <x:v>360.6</x:v>
      </x:c>
      <x:c r="E1139" s="44" t="n">
        <x:f>C1139*D1139</x:f>
        <x:v>1081.8000000000002</x:v>
      </x:c>
      <x:c r="F1139" s="40" t="n">
        <x:v>222.39</x:v>
      </x:c>
      <x:c r="G1139" s="44" t="n">
        <x:f>C1139*F1139</x:f>
        <x:v>667.17</x:v>
      </x:c>
      <x:c r="H1139" s="44" t="n">
        <x:f>E1139-G1139</x:f>
        <x:v>414.6300000000002</x:v>
      </x:c>
      <x:c r="I1139" s="14" t="str">
        <x:v>SMB</x:v>
      </x:c>
      <x:c r="J1139" s="14" t="str">
        <x:v>Southeast</x:v>
      </x:c>
    </x:row>
    <x:row r="1140">
      <x:c r="A1140" s="50" t="n">
        <x:v>46096</x:v>
      </x:c>
      <x:c r="B1140" s="14" t="str">
        <x:v>SKU-0067</x:v>
      </x:c>
      <x:c r="C1140" s="52" t="n">
        <x:v>21</x:v>
      </x:c>
      <x:c r="D1140" s="40" t="n">
        <x:v>148.94</x:v>
      </x:c>
      <x:c r="E1140" s="44" t="n">
        <x:f>C1140*D1140</x:f>
        <x:v>3127.74</x:v>
      </x:c>
      <x:c r="F1140" s="40" t="n">
        <x:v>113.7</x:v>
      </x:c>
      <x:c r="G1140" s="44" t="n">
        <x:f>C1140*F1140</x:f>
        <x:v>2387.7000000000003</x:v>
      </x:c>
      <x:c r="H1140" s="44" t="n">
        <x:f>E1140-G1140</x:f>
        <x:v>740.0399999999995</x:v>
      </x:c>
      <x:c r="I1140" s="14" t="str">
        <x:v>Distributor</x:v>
      </x:c>
      <x:c r="J1140" s="14" t="str">
        <x:v>Southeast</x:v>
      </x:c>
    </x:row>
    <x:row r="1141">
      <x:c r="A1141" s="50" t="n">
        <x:v>46089</x:v>
      </x:c>
      <x:c r="B1141" s="14" t="str">
        <x:v>SKU-0070</x:v>
      </x:c>
      <x:c r="C1141" s="52" t="n">
        <x:v>14</x:v>
      </x:c>
      <x:c r="D1141" s="40" t="n">
        <x:v>110.88</x:v>
      </x:c>
      <x:c r="E1141" s="44" t="n">
        <x:f>C1141*D1141</x:f>
        <x:v>1552.32</x:v>
      </x:c>
      <x:c r="F1141" s="40" t="n">
        <x:v>69.06</x:v>
      </x:c>
      <x:c r="G1141" s="44" t="n">
        <x:f>C1141*F1141</x:f>
        <x:v>966.84</x:v>
      </x:c>
      <x:c r="H1141" s="44" t="n">
        <x:f>E1141-G1141</x:f>
        <x:v>585.4799999999999</x:v>
      </x:c>
      <x:c r="I1141" s="14" t="str">
        <x:v>Distributor</x:v>
      </x:c>
      <x:c r="J1141" s="14" t="str">
        <x:v>Southeast</x:v>
      </x:c>
    </x:row>
    <x:row r="1142">
      <x:c r="A1142" s="50" t="n">
        <x:v>46009</x:v>
      </x:c>
      <x:c r="B1142" s="14" t="str">
        <x:v>SKU-0125</x:v>
      </x:c>
      <x:c r="C1142" s="52" t="n">
        <x:v>13</x:v>
      </x:c>
      <x:c r="D1142" s="40" t="n">
        <x:v>60.61</x:v>
      </x:c>
      <x:c r="E1142" s="44" t="n">
        <x:f>C1142*D1142</x:f>
        <x:v>787.93</x:v>
      </x:c>
      <x:c r="F1142" s="40" t="n">
        <x:v>38.35</x:v>
      </x:c>
      <x:c r="G1142" s="44" t="n">
        <x:f>C1142*F1142</x:f>
        <x:v>498.55</x:v>
      </x:c>
      <x:c r="H1142" s="44" t="n">
        <x:f>E1142-G1142</x:f>
        <x:v>289.37999999999994</x:v>
      </x:c>
      <x:c r="I1142" s="14" t="str">
        <x:v>Internal Use</x:v>
      </x:c>
      <x:c r="J1142" s="14" t="str">
        <x:v>Southeast</x:v>
      </x:c>
    </x:row>
    <x:row r="1143">
      <x:c r="A1143" s="50" t="n">
        <x:v>45916</x:v>
      </x:c>
      <x:c r="B1143" s="14" t="str">
        <x:v>SKU-0058</x:v>
      </x:c>
      <x:c r="C1143" s="52" t="n">
        <x:v>11</x:v>
      </x:c>
      <x:c r="D1143" s="40" t="n">
        <x:v>388.26</x:v>
      </x:c>
      <x:c r="E1143" s="44" t="n">
        <x:f>C1143*D1143</x:f>
        <x:v>4270.86</x:v>
      </x:c>
      <x:c r="F1143" s="40" t="n">
        <x:v>226.78</x:v>
      </x:c>
      <x:c r="G1143" s="44" t="n">
        <x:f>C1143*F1143</x:f>
        <x:v>2494.58</x:v>
      </x:c>
      <x:c r="H1143" s="44" t="n">
        <x:f>E1143-G1143</x:f>
        <x:v>1776.2799999999997</x:v>
      </x:c>
      <x:c r="I1143" s="14" t="str">
        <x:v>Internal Use</x:v>
      </x:c>
      <x:c r="J1143" s="14" t="str">
        <x:v>Northeast</x:v>
      </x:c>
    </x:row>
    <x:row r="1144">
      <x:c r="A1144" s="50" t="n">
        <x:v>46154</x:v>
      </x:c>
      <x:c r="B1144" s="14" t="str">
        <x:v>SKU-0047</x:v>
      </x:c>
      <x:c r="C1144" s="52" t="n">
        <x:v>3</x:v>
      </x:c>
      <x:c r="D1144" s="40" t="n">
        <x:v>365.67</x:v>
      </x:c>
      <x:c r="E1144" s="44" t="n">
        <x:f>C1144*D1144</x:f>
        <x:v>1097.01</x:v>
      </x:c>
      <x:c r="F1144" s="40" t="n">
        <x:v>233.63</x:v>
      </x:c>
      <x:c r="G1144" s="44" t="n">
        <x:f>C1144*F1144</x:f>
        <x:v>700.89</x:v>
      </x:c>
      <x:c r="H1144" s="44" t="n">
        <x:f>E1144-G1144</x:f>
        <x:v>396.12</x:v>
      </x:c>
      <x:c r="I1144" s="14" t="str">
        <x:v>Internal Use</x:v>
      </x:c>
      <x:c r="J1144" s="14" t="str">
        <x:v>Midwest</x:v>
      </x:c>
    </x:row>
    <x:row r="1145">
      <x:c r="A1145" s="50" t="n">
        <x:v>46026</x:v>
      </x:c>
      <x:c r="B1145" s="14" t="str">
        <x:v>SKU-0138</x:v>
      </x:c>
      <x:c r="C1145" s="52" t="n">
        <x:v>4</x:v>
      </x:c>
      <x:c r="D1145" s="40" t="n">
        <x:v>377.28</x:v>
      </x:c>
      <x:c r="E1145" s="44" t="n">
        <x:f>C1145*D1145</x:f>
        <x:v>1509.12</x:v>
      </x:c>
      <x:c r="F1145" s="40" t="n">
        <x:v>186.65</x:v>
      </x:c>
      <x:c r="G1145" s="44" t="n">
        <x:f>C1145*F1145</x:f>
        <x:v>746.6</x:v>
      </x:c>
      <x:c r="H1145" s="44" t="n">
        <x:f>E1145-G1145</x:f>
        <x:v>762.5199999999999</x:v>
      </x:c>
      <x:c r="I1145" s="14" t="str">
        <x:v>Enterprise</x:v>
      </x:c>
      <x:c r="J1145" s="14" t="str">
        <x:v>West</x:v>
      </x:c>
    </x:row>
    <x:row r="1146">
      <x:c r="A1146" s="50" t="n">
        <x:v>45924</x:v>
      </x:c>
      <x:c r="B1146" s="14" t="str">
        <x:v>SKU-0052</x:v>
      </x:c>
      <x:c r="C1146" s="52" t="n">
        <x:v>10</x:v>
      </x:c>
      <x:c r="D1146" s="40" t="n">
        <x:v>241.91</x:v>
      </x:c>
      <x:c r="E1146" s="44" t="n">
        <x:f>C1146*D1146</x:f>
        <x:v>2419.1</x:v>
      </x:c>
      <x:c r="F1146" s="40" t="n">
        <x:v>210.35</x:v>
      </x:c>
      <x:c r="G1146" s="44" t="n">
        <x:f>C1146*F1146</x:f>
        <x:v>2103.5</x:v>
      </x:c>
      <x:c r="H1146" s="44" t="n">
        <x:f>E1146-G1146</x:f>
        <x:v>315.5999999999999</x:v>
      </x:c>
      <x:c r="I1146" s="14" t="str">
        <x:v>Enterprise</x:v>
      </x:c>
      <x:c r="J1146" s="14" t="str">
        <x:v>West</x:v>
      </x:c>
    </x:row>
    <x:row r="1147">
      <x:c r="A1147" s="50" t="n">
        <x:v>45935</x:v>
      </x:c>
      <x:c r="B1147" s="14" t="str">
        <x:v>SKU-0123</x:v>
      </x:c>
      <x:c r="C1147" s="52" t="n">
        <x:v>7</x:v>
      </x:c>
      <x:c r="D1147" s="40" t="n">
        <x:v>173.05</x:v>
      </x:c>
      <x:c r="E1147" s="44" t="n">
        <x:f>C1147*D1147</x:f>
        <x:v>1211.3500000000001</x:v>
      </x:c>
      <x:c r="F1147" s="40" t="n">
        <x:v>121.8</x:v>
      </x:c>
      <x:c r="G1147" s="44" t="n">
        <x:f>C1147*F1147</x:f>
        <x:v>852.6</x:v>
      </x:c>
      <x:c r="H1147" s="44" t="n">
        <x:f>E1147-G1147</x:f>
        <x:v>358.7500000000001</x:v>
      </x:c>
      <x:c r="I1147" s="14" t="str">
        <x:v>Enterprise</x:v>
      </x:c>
      <x:c r="J1147" s="14" t="str">
        <x:v>Southeast</x:v>
      </x:c>
    </x:row>
    <x:row r="1148">
      <x:c r="A1148" s="50" t="n">
        <x:v>46195</x:v>
      </x:c>
      <x:c r="B1148" s="14" t="str">
        <x:v>SKU-0112</x:v>
      </x:c>
      <x:c r="C1148" s="52" t="n">
        <x:v>4</x:v>
      </x:c>
      <x:c r="D1148" s="40" t="n">
        <x:v>289.88</x:v>
      </x:c>
      <x:c r="E1148" s="44" t="n">
        <x:f>C1148*D1148</x:f>
        <x:v>1159.52</x:v>
      </x:c>
      <x:c r="F1148" s="40" t="n">
        <x:v>175.75</x:v>
      </x:c>
      <x:c r="G1148" s="44" t="n">
        <x:f>C1148*F1148</x:f>
        <x:v>703</x:v>
      </x:c>
      <x:c r="H1148" s="44" t="n">
        <x:f>E1148-G1148</x:f>
        <x:v>456.52</x:v>
      </x:c>
      <x:c r="I1148" s="14" t="str">
        <x:v>Enterprise</x:v>
      </x:c>
      <x:c r="J1148" s="14" t="str">
        <x:v>Southeast</x:v>
      </x:c>
    </x:row>
    <x:row r="1149">
      <x:c r="A1149" s="50" t="n">
        <x:v>46042</x:v>
      </x:c>
      <x:c r="B1149" s="14" t="str">
        <x:v>SKU-0054</x:v>
      </x:c>
      <x:c r="C1149" s="52" t="n">
        <x:v>5</x:v>
      </x:c>
      <x:c r="D1149" s="40" t="n">
        <x:v>82.4</x:v>
      </x:c>
      <x:c r="E1149" s="44" t="n">
        <x:f>C1149*D1149</x:f>
        <x:v>412</x:v>
      </x:c>
      <x:c r="F1149" s="40" t="n">
        <x:v>49.06</x:v>
      </x:c>
      <x:c r="G1149" s="44" t="n">
        <x:f>C1149*F1149</x:f>
        <x:v>245.3</x:v>
      </x:c>
      <x:c r="H1149" s="44" t="n">
        <x:f>E1149-G1149</x:f>
        <x:v>166.7</x:v>
      </x:c>
      <x:c r="I1149" s="14" t="str">
        <x:v>Enterprise</x:v>
      </x:c>
      <x:c r="J1149" s="14" t="str">
        <x:v>West</x:v>
      </x:c>
    </x:row>
    <x:row r="1150">
      <x:c r="A1150" s="50" t="n">
        <x:v>45958</x:v>
      </x:c>
      <x:c r="B1150" s="14" t="str">
        <x:v>SKU-0098</x:v>
      </x:c>
      <x:c r="C1150" s="52" t="n">
        <x:v>31</x:v>
      </x:c>
      <x:c r="D1150" s="40" t="n">
        <x:v>360.44</x:v>
      </x:c>
      <x:c r="E1150" s="44" t="n">
        <x:f>C1150*D1150</x:f>
        <x:v>11173.64</x:v>
      </x:c>
      <x:c r="F1150" s="40" t="n">
        <x:v>270.95</x:v>
      </x:c>
      <x:c r="G1150" s="44" t="n">
        <x:f>C1150*F1150</x:f>
        <x:v>8399.449999999999</x:v>
      </x:c>
      <x:c r="H1150" s="44" t="n">
        <x:f>E1150-G1150</x:f>
        <x:v>2774.1900000000005</x:v>
      </x:c>
      <x:c r="I1150" s="14" t="str">
        <x:v>SMB</x:v>
      </x:c>
      <x:c r="J1150" s="14" t="str">
        <x:v>Midwest</x:v>
      </x:c>
    </x:row>
    <x:row r="1151">
      <x:c r="A1151" s="50" t="n">
        <x:v>45892</x:v>
      </x:c>
      <x:c r="B1151" s="14" t="str">
        <x:v>SKU-0113</x:v>
      </x:c>
      <x:c r="C1151" s="52" t="n">
        <x:v>4</x:v>
      </x:c>
      <x:c r="D1151" s="40" t="n">
        <x:v>282.74</x:v>
      </x:c>
      <x:c r="E1151" s="44" t="n">
        <x:f>C1151*D1151</x:f>
        <x:v>1130.96</x:v>
      </x:c>
      <x:c r="F1151" s="40" t="n">
        <x:v>222.58</x:v>
      </x:c>
      <x:c r="G1151" s="44" t="n">
        <x:f>C1151*F1151</x:f>
        <x:v>890.32</x:v>
      </x:c>
      <x:c r="H1151" s="44" t="n">
        <x:f>E1151-G1151</x:f>
        <x:v>240.64</x:v>
      </x:c>
      <x:c r="I1151" s="14" t="str">
        <x:v>SMB</x:v>
      </x:c>
      <x:c r="J1151" s="14" t="str">
        <x:v>Midwest</x:v>
      </x:c>
    </x:row>
    <x:row r="1152">
      <x:c r="A1152" s="50" t="n">
        <x:v>45937</x:v>
      </x:c>
      <x:c r="B1152" s="14" t="str">
        <x:v>SKU-0015</x:v>
      </x:c>
      <x:c r="C1152" s="52" t="n">
        <x:v>13</x:v>
      </x:c>
      <x:c r="D1152" s="40" t="n">
        <x:v>267.86</x:v>
      </x:c>
      <x:c r="E1152" s="44" t="n">
        <x:f>C1152*D1152</x:f>
        <x:v>3482.1800000000003</x:v>
      </x:c>
      <x:c r="F1152" s="40" t="n">
        <x:v>185.37</x:v>
      </x:c>
      <x:c r="G1152" s="44" t="n">
        <x:f>C1152*F1152</x:f>
        <x:v>2409.81</x:v>
      </x:c>
      <x:c r="H1152" s="44" t="n">
        <x:f>E1152-G1152</x:f>
        <x:v>1072.3700000000003</x:v>
      </x:c>
      <x:c r="I1152" s="14" t="str">
        <x:v>SMB</x:v>
      </x:c>
      <x:c r="J1152" s="14" t="str">
        <x:v>Midwest</x:v>
      </x:c>
    </x:row>
    <x:row r="1153">
      <x:c r="A1153" s="50" t="n">
        <x:v>45899</x:v>
      </x:c>
      <x:c r="B1153" s="14" t="str">
        <x:v>SKU-0095</x:v>
      </x:c>
      <x:c r="C1153" s="52" t="n">
        <x:v>4</x:v>
      </x:c>
      <x:c r="D1153" s="40" t="n">
        <x:v>302.47</x:v>
      </x:c>
      <x:c r="E1153" s="44" t="n">
        <x:f>C1153*D1153</x:f>
        <x:v>1209.88</x:v>
      </x:c>
      <x:c r="F1153" s="40" t="n">
        <x:v>225.04</x:v>
      </x:c>
      <x:c r="G1153" s="44" t="n">
        <x:f>C1153*F1153</x:f>
        <x:v>900.16</x:v>
      </x:c>
      <x:c r="H1153" s="44" t="n">
        <x:f>E1153-G1153</x:f>
        <x:v>309.72000000000014</x:v>
      </x:c>
      <x:c r="I1153" s="14" t="str">
        <x:v>Internal Use</x:v>
      </x:c>
      <x:c r="J1153" s="14" t="str">
        <x:v>Northeast</x:v>
      </x:c>
    </x:row>
    <x:row r="1154">
      <x:c r="A1154" s="50" t="n">
        <x:v>46201</x:v>
      </x:c>
      <x:c r="B1154" s="14" t="str">
        <x:v>SKU-0058</x:v>
      </x:c>
      <x:c r="C1154" s="52" t="n">
        <x:v>2</x:v>
      </x:c>
      <x:c r="D1154" s="40" t="n">
        <x:v>338.62</x:v>
      </x:c>
      <x:c r="E1154" s="44" t="n">
        <x:f>C1154*D1154</x:f>
        <x:v>677.24</x:v>
      </x:c>
      <x:c r="F1154" s="40" t="n">
        <x:v>226.78</x:v>
      </x:c>
      <x:c r="G1154" s="44" t="n">
        <x:f>C1154*F1154</x:f>
        <x:v>453.56</x:v>
      </x:c>
      <x:c r="H1154" s="44" t="n">
        <x:f>E1154-G1154</x:f>
        <x:v>223.68</x:v>
      </x:c>
      <x:c r="I1154" s="14" t="str">
        <x:v>Internal Use</x:v>
      </x:c>
      <x:c r="J1154" s="14" t="str">
        <x:v>West</x:v>
      </x:c>
    </x:row>
    <x:row r="1155">
      <x:c r="A1155" s="50" t="n">
        <x:v>46231</x:v>
      </x:c>
      <x:c r="B1155" s="14" t="str">
        <x:v>SKU-0073</x:v>
      </x:c>
      <x:c r="C1155" s="52" t="n">
        <x:v>12</x:v>
      </x:c>
      <x:c r="D1155" s="40" t="n">
        <x:v>68.8</x:v>
      </x:c>
      <x:c r="E1155" s="44" t="n">
        <x:f>C1155*D1155</x:f>
        <x:v>825.5999999999999</x:v>
      </x:c>
      <x:c r="F1155" s="40" t="n">
        <x:v>37.01</x:v>
      </x:c>
      <x:c r="G1155" s="44" t="n">
        <x:f>C1155*F1155</x:f>
        <x:v>444.12</x:v>
      </x:c>
      <x:c r="H1155" s="44" t="n">
        <x:f>E1155-G1155</x:f>
        <x:v>381.4799999999999</x:v>
      </x:c>
      <x:c r="I1155" s="14" t="str">
        <x:v>Internal Use</x:v>
      </x:c>
      <x:c r="J1155" s="14" t="str">
        <x:v>Midwest</x:v>
      </x:c>
    </x:row>
    <x:row r="1156">
      <x:c r="A1156" s="50" t="n">
        <x:v>46205</x:v>
      </x:c>
      <x:c r="B1156" s="14" t="str">
        <x:v>SKU-0089</x:v>
      </x:c>
      <x:c r="C1156" s="52" t="n">
        <x:v>4</x:v>
      </x:c>
      <x:c r="D1156" s="40" t="n">
        <x:v>64.16</x:v>
      </x:c>
      <x:c r="E1156" s="44" t="n">
        <x:f>C1156*D1156</x:f>
        <x:v>256.64</x:v>
      </x:c>
      <x:c r="F1156" s="40" t="n">
        <x:v>48.67</x:v>
      </x:c>
      <x:c r="G1156" s="44" t="n">
        <x:f>C1156*F1156</x:f>
        <x:v>194.68</x:v>
      </x:c>
      <x:c r="H1156" s="44" t="n">
        <x:f>E1156-G1156</x:f>
        <x:v>61.95999999999998</x:v>
      </x:c>
      <x:c r="I1156" s="14" t="str">
        <x:v>Distributor</x:v>
      </x:c>
      <x:c r="J1156" s="14" t="str">
        <x:v>Southeast</x:v>
      </x:c>
    </x:row>
    <x:row r="1157">
      <x:c r="A1157" s="50" t="n">
        <x:v>46026</x:v>
      </x:c>
      <x:c r="B1157" s="14" t="str">
        <x:v>SKU-0037</x:v>
      </x:c>
      <x:c r="C1157" s="52" t="n">
        <x:v>11</x:v>
      </x:c>
      <x:c r="D1157" s="40" t="n">
        <x:v>183.69</x:v>
      </x:c>
      <x:c r="E1157" s="44" t="n">
        <x:f>C1157*D1157</x:f>
        <x:v>2020.59</x:v>
      </x:c>
      <x:c r="F1157" s="40" t="n">
        <x:v>115.83</x:v>
      </x:c>
      <x:c r="G1157" s="44" t="n">
        <x:f>C1157*F1157</x:f>
        <x:v>1274.1299999999999</x:v>
      </x:c>
      <x:c r="H1157" s="44" t="n">
        <x:f>E1157-G1157</x:f>
        <x:v>746.46</x:v>
      </x:c>
      <x:c r="I1157" s="14" t="str">
        <x:v>Distributor</x:v>
      </x:c>
      <x:c r="J1157" s="14" t="str">
        <x:v>Southeast</x:v>
      </x:c>
    </x:row>
    <x:row r="1158">
      <x:c r="A1158" s="50" t="n">
        <x:v>45890</x:v>
      </x:c>
      <x:c r="B1158" s="14" t="str">
        <x:v>SKU-0095</x:v>
      </x:c>
      <x:c r="C1158" s="52" t="n">
        <x:v>7</x:v>
      </x:c>
      <x:c r="D1158" s="40" t="n">
        <x:v>278.5</x:v>
      </x:c>
      <x:c r="E1158" s="44" t="n">
        <x:f>C1158*D1158</x:f>
        <x:v>1949.5</x:v>
      </x:c>
      <x:c r="F1158" s="40" t="n">
        <x:v>225.04</x:v>
      </x:c>
      <x:c r="G1158" s="44" t="n">
        <x:f>C1158*F1158</x:f>
        <x:v>1575.28</x:v>
      </x:c>
      <x:c r="H1158" s="44" t="n">
        <x:f>E1158-G1158</x:f>
        <x:v>374.22</x:v>
      </x:c>
      <x:c r="I1158" s="14" t="str">
        <x:v>Internal Use</x:v>
      </x:c>
      <x:c r="J1158" s="14" t="str">
        <x:v>Southeast</x:v>
      </x:c>
    </x:row>
    <x:row r="1159">
      <x:c r="A1159" s="50" t="n">
        <x:v>45944</x:v>
      </x:c>
      <x:c r="B1159" s="14" t="str">
        <x:v>SKU-0103</x:v>
      </x:c>
      <x:c r="C1159" s="52" t="n">
        <x:v>18</x:v>
      </x:c>
      <x:c r="D1159" s="40" t="n">
        <x:v>286.32</x:v>
      </x:c>
      <x:c r="E1159" s="44" t="n">
        <x:f>C1159*D1159</x:f>
        <x:v>5153.76</x:v>
      </x:c>
      <x:c r="F1159" s="40" t="n">
        <x:v>208.48</x:v>
      </x:c>
      <x:c r="G1159" s="44" t="n">
        <x:f>C1159*F1159</x:f>
        <x:v>3752.64</x:v>
      </x:c>
      <x:c r="H1159" s="44" t="n">
        <x:f>E1159-G1159</x:f>
        <x:v>1401.1200000000003</x:v>
      </x:c>
      <x:c r="I1159" s="14" t="str">
        <x:v>Internal Use</x:v>
      </x:c>
      <x:c r="J1159" s="14" t="str">
        <x:v>West</x:v>
      </x:c>
    </x:row>
    <x:row r="1160">
      <x:c r="A1160" s="50" t="n">
        <x:v>46111</x:v>
      </x:c>
      <x:c r="B1160" s="14" t="str">
        <x:v>SKU-0118</x:v>
      </x:c>
      <x:c r="C1160" s="52" t="n">
        <x:v>7</x:v>
      </x:c>
      <x:c r="D1160" s="40" t="n">
        <x:v>525.95</x:v>
      </x:c>
      <x:c r="E1160" s="44" t="n">
        <x:f>C1160*D1160</x:f>
        <x:v>3681.6500000000005</x:v>
      </x:c>
      <x:c r="F1160" s="40" t="n">
        <x:v>237.03</x:v>
      </x:c>
      <x:c r="G1160" s="44" t="n">
        <x:f>C1160*F1160</x:f>
        <x:v>1659.21</x:v>
      </x:c>
      <x:c r="H1160" s="44" t="n">
        <x:f>E1160-G1160</x:f>
        <x:v>2022.4400000000005</x:v>
      </x:c>
      <x:c r="I1160" s="14" t="str">
        <x:v>Distributor</x:v>
      </x:c>
      <x:c r="J1160" s="14" t="str">
        <x:v>West</x:v>
      </x:c>
    </x:row>
    <x:row r="1161">
      <x:c r="A1161" s="50" t="n">
        <x:v>46151</x:v>
      </x:c>
      <x:c r="B1161" s="14" t="str">
        <x:v>SKU-0035</x:v>
      </x:c>
      <x:c r="C1161" s="52" t="n">
        <x:v>5</x:v>
      </x:c>
      <x:c r="D1161" s="40" t="n">
        <x:v>257.61</x:v>
      </x:c>
      <x:c r="E1161" s="44" t="n">
        <x:f>C1161*D1161</x:f>
        <x:v>1288.0500000000002</x:v>
      </x:c>
      <x:c r="F1161" s="40" t="n">
        <x:v>170.72</x:v>
      </x:c>
      <x:c r="G1161" s="44" t="n">
        <x:f>C1161*F1161</x:f>
        <x:v>853.6</x:v>
      </x:c>
      <x:c r="H1161" s="44" t="n">
        <x:f>E1161-G1161</x:f>
        <x:v>434.45000000000016</x:v>
      </x:c>
      <x:c r="I1161" s="14" t="str">
        <x:v>SMB</x:v>
      </x:c>
      <x:c r="J1161" s="14" t="str">
        <x:v>Midwest</x:v>
      </x:c>
    </x:row>
    <x:row r="1162">
      <x:c r="A1162" s="50" t="n">
        <x:v>46160</x:v>
      </x:c>
      <x:c r="B1162" s="14" t="str">
        <x:v>SKU-0119</x:v>
      </x:c>
      <x:c r="C1162" s="52" t="n">
        <x:v>7</x:v>
      </x:c>
      <x:c r="D1162" s="40" t="n">
        <x:v>93.54</x:v>
      </x:c>
      <x:c r="E1162" s="44" t="n">
        <x:f>C1162*D1162</x:f>
        <x:v>654.7800000000001</x:v>
      </x:c>
      <x:c r="F1162" s="40" t="n">
        <x:v>52.57</x:v>
      </x:c>
      <x:c r="G1162" s="44" t="n">
        <x:f>C1162*F1162</x:f>
        <x:v>367.99</x:v>
      </x:c>
      <x:c r="H1162" s="44" t="n">
        <x:f>E1162-G1162</x:f>
        <x:v>286.7900000000001</x:v>
      </x:c>
      <x:c r="I1162" s="14" t="str">
        <x:v>Internal Use</x:v>
      </x:c>
      <x:c r="J1162" s="14" t="str">
        <x:v>Northeast</x:v>
      </x:c>
    </x:row>
    <x:row r="1163">
      <x:c r="A1163" s="50" t="n">
        <x:v>46213</x:v>
      </x:c>
      <x:c r="B1163" s="14" t="str">
        <x:v>SKU-0139</x:v>
      </x:c>
      <x:c r="C1163" s="52" t="n">
        <x:v>4</x:v>
      </x:c>
      <x:c r="D1163" s="40" t="n">
        <x:v>292.28</x:v>
      </x:c>
      <x:c r="E1163" s="44" t="n">
        <x:f>C1163*D1163</x:f>
        <x:v>1169.12</x:v>
      </x:c>
      <x:c r="F1163" s="40" t="n">
        <x:v>157.6</x:v>
      </x:c>
      <x:c r="G1163" s="44" t="n">
        <x:f>C1163*F1163</x:f>
        <x:v>630.4</x:v>
      </x:c>
      <x:c r="H1163" s="44" t="n">
        <x:f>E1163-G1163</x:f>
        <x:v>538.7199999999999</x:v>
      </x:c>
      <x:c r="I1163" s="14" t="str">
        <x:v>Internal Use</x:v>
      </x:c>
      <x:c r="J1163" s="14" t="str">
        <x:v>Northeast</x:v>
      </x:c>
    </x:row>
    <x:row r="1164">
      <x:c r="A1164" s="50" t="n">
        <x:v>45991</x:v>
      </x:c>
      <x:c r="B1164" s="14" t="str">
        <x:v>SKU-0052</x:v>
      </x:c>
      <x:c r="C1164" s="52" t="n">
        <x:v>1</x:v>
      </x:c>
      <x:c r="D1164" s="40" t="n">
        <x:v>262.93</x:v>
      </x:c>
      <x:c r="E1164" s="44" t="n">
        <x:f>C1164*D1164</x:f>
        <x:v>262.93</x:v>
      </x:c>
      <x:c r="F1164" s="40" t="n">
        <x:v>210.35</x:v>
      </x:c>
      <x:c r="G1164" s="44" t="n">
        <x:f>C1164*F1164</x:f>
        <x:v>210.35</x:v>
      </x:c>
      <x:c r="H1164" s="44" t="n">
        <x:f>E1164-G1164</x:f>
        <x:v>52.58000000000001</x:v>
      </x:c>
      <x:c r="I1164" s="14" t="str">
        <x:v>Internal Use</x:v>
      </x:c>
      <x:c r="J1164" s="14" t="str">
        <x:v>Southeast</x:v>
      </x:c>
    </x:row>
    <x:row r="1165">
      <x:c r="A1165" s="50" t="n">
        <x:v>45892</x:v>
      </x:c>
      <x:c r="B1165" s="14" t="str">
        <x:v>SKU-0114</x:v>
      </x:c>
      <x:c r="C1165" s="52" t="n">
        <x:v>13</x:v>
      </x:c>
      <x:c r="D1165" s="40" t="n">
        <x:v>351.43</x:v>
      </x:c>
      <x:c r="E1165" s="44" t="n">
        <x:f>C1165*D1165</x:f>
        <x:v>4568.59</x:v>
      </x:c>
      <x:c r="F1165" s="40" t="n">
        <x:v>232.11</x:v>
      </x:c>
      <x:c r="G1165" s="44" t="n">
        <x:f>C1165*F1165</x:f>
        <x:v>3017.4300000000003</x:v>
      </x:c>
      <x:c r="H1165" s="44" t="n">
        <x:f>E1165-G1165</x:f>
        <x:v>1551.1599999999999</x:v>
      </x:c>
      <x:c r="I1165" s="14" t="str">
        <x:v>Distributor</x:v>
      </x:c>
      <x:c r="J1165" s="14" t="str">
        <x:v>Southeast</x:v>
      </x:c>
    </x:row>
    <x:row r="1166">
      <x:c r="A1166" s="50" t="n">
        <x:v>46174</x:v>
      </x:c>
      <x:c r="B1166" s="14" t="str">
        <x:v>SKU-0103</x:v>
      </x:c>
      <x:c r="C1166" s="52" t="n">
        <x:v>14</x:v>
      </x:c>
      <x:c r="D1166" s="40" t="n">
        <x:v>264.44</x:v>
      </x:c>
      <x:c r="E1166" s="44" t="n">
        <x:f>C1166*D1166</x:f>
        <x:v>3702.16</x:v>
      </x:c>
      <x:c r="F1166" s="40" t="n">
        <x:v>208.48</x:v>
      </x:c>
      <x:c r="G1166" s="44" t="n">
        <x:f>C1166*F1166</x:f>
        <x:v>2918.72</x:v>
      </x:c>
      <x:c r="H1166" s="44" t="n">
        <x:f>E1166-G1166</x:f>
        <x:v>783.44</x:v>
      </x:c>
      <x:c r="I1166" s="14" t="str">
        <x:v>Internal Use</x:v>
      </x:c>
      <x:c r="J1166" s="14" t="str">
        <x:v>Southeast</x:v>
      </x:c>
    </x:row>
    <x:row r="1167">
      <x:c r="A1167" s="50" t="n">
        <x:v>46129</x:v>
      </x:c>
      <x:c r="B1167" s="14" t="str">
        <x:v>SKU-0034</x:v>
      </x:c>
      <x:c r="C1167" s="52" t="n">
        <x:v>16</x:v>
      </x:c>
      <x:c r="D1167" s="40" t="n">
        <x:v>82.42</x:v>
      </x:c>
      <x:c r="E1167" s="44" t="n">
        <x:f>C1167*D1167</x:f>
        <x:v>1318.72</x:v>
      </x:c>
      <x:c r="F1167" s="40" t="n">
        <x:v>34.51</x:v>
      </x:c>
      <x:c r="G1167" s="44" t="n">
        <x:f>C1167*F1167</x:f>
        <x:v>552.16</x:v>
      </x:c>
      <x:c r="H1167" s="44" t="n">
        <x:f>E1167-G1167</x:f>
        <x:v>766.5600000000001</x:v>
      </x:c>
      <x:c r="I1167" s="14" t="str">
        <x:v>Enterprise</x:v>
      </x:c>
      <x:c r="J1167" s="14" t="str">
        <x:v>Northeast</x:v>
      </x:c>
    </x:row>
    <x:row r="1168">
      <x:c r="A1168" s="50" t="n">
        <x:v>45890</x:v>
      </x:c>
      <x:c r="B1168" s="14" t="str">
        <x:v>SKU-0022</x:v>
      </x:c>
      <x:c r="C1168" s="52" t="n">
        <x:v>5</x:v>
      </x:c>
      <x:c r="D1168" s="40" t="n">
        <x:v>272.75</x:v>
      </x:c>
      <x:c r="E1168" s="44" t="n">
        <x:f>C1168*D1168</x:f>
        <x:v>1363.75</x:v>
      </x:c>
      <x:c r="F1168" s="40" t="n">
        <x:v>167.48</x:v>
      </x:c>
      <x:c r="G1168" s="44" t="n">
        <x:f>C1168*F1168</x:f>
        <x:v>837.4</x:v>
      </x:c>
      <x:c r="H1168" s="44" t="n">
        <x:f>E1168-G1168</x:f>
        <x:v>526.35</x:v>
      </x:c>
      <x:c r="I1168" s="14" t="str">
        <x:v>Enterprise</x:v>
      </x:c>
      <x:c r="J1168" s="14" t="str">
        <x:v>Midwest</x:v>
      </x:c>
    </x:row>
    <x:row r="1169">
      <x:c r="A1169" s="50" t="n">
        <x:v>46178</x:v>
      </x:c>
      <x:c r="B1169" s="14" t="str">
        <x:v>SKU-0081</x:v>
      </x:c>
      <x:c r="C1169" s="52" t="n">
        <x:v>24</x:v>
      </x:c>
      <x:c r="D1169" s="40" t="n">
        <x:v>288.31</x:v>
      </x:c>
      <x:c r="E1169" s="44" t="n">
        <x:f>C1169*D1169</x:f>
        <x:v>6919.4400000000005</x:v>
      </x:c>
      <x:c r="F1169" s="40" t="n">
        <x:v>198.25</x:v>
      </x:c>
      <x:c r="G1169" s="44" t="n">
        <x:f>C1169*F1169</x:f>
        <x:v>4758</x:v>
      </x:c>
      <x:c r="H1169" s="44" t="n">
        <x:f>E1169-G1169</x:f>
        <x:v>2161.4400000000005</x:v>
      </x:c>
      <x:c r="I1169" s="14" t="str">
        <x:v>SMB</x:v>
      </x:c>
      <x:c r="J1169" s="14" t="str">
        <x:v>Midwest</x:v>
      </x:c>
    </x:row>
    <x:row r="1170">
      <x:c r="A1170" s="50" t="n">
        <x:v>45931</x:v>
      </x:c>
      <x:c r="B1170" s="14" t="str">
        <x:v>SKU-0078</x:v>
      </x:c>
      <x:c r="C1170" s="52" t="n">
        <x:v>14</x:v>
      </x:c>
      <x:c r="D1170" s="40" t="n">
        <x:v>29.55</x:v>
      </x:c>
      <x:c r="E1170" s="44" t="n">
        <x:f>C1170*D1170</x:f>
        <x:v>413.7</x:v>
      </x:c>
      <x:c r="F1170" s="40" t="n">
        <x:v>17.54</x:v>
      </x:c>
      <x:c r="G1170" s="44" t="n">
        <x:f>C1170*F1170</x:f>
        <x:v>245.56</x:v>
      </x:c>
      <x:c r="H1170" s="44" t="n">
        <x:f>E1170-G1170</x:f>
        <x:v>168.14</x:v>
      </x:c>
      <x:c r="I1170" s="14" t="str">
        <x:v>SMB</x:v>
      </x:c>
      <x:c r="J1170" s="14" t="str">
        <x:v>West</x:v>
      </x:c>
    </x:row>
    <x:row r="1171">
      <x:c r="A1171" s="50" t="n">
        <x:v>46152</x:v>
      </x:c>
      <x:c r="B1171" s="14" t="str">
        <x:v>SKU-0031</x:v>
      </x:c>
      <x:c r="C1171" s="52" t="n">
        <x:v>23</x:v>
      </x:c>
      <x:c r="D1171" s="40" t="n">
        <x:v>300.22</x:v>
      </x:c>
      <x:c r="E1171" s="44" t="n">
        <x:f>C1171*D1171</x:f>
        <x:v>6905.06</x:v>
      </x:c>
      <x:c r="F1171" s="40" t="n">
        <x:v>247.09</x:v>
      </x:c>
      <x:c r="G1171" s="44" t="n">
        <x:f>C1171*F1171</x:f>
        <x:v>5683.07</x:v>
      </x:c>
      <x:c r="H1171" s="44" t="n">
        <x:f>E1171-G1171</x:f>
        <x:v>1221.9900000000007</x:v>
      </x:c>
      <x:c r="I1171" s="14" t="str">
        <x:v>Internal Use</x:v>
      </x:c>
      <x:c r="J1171" s="14" t="str">
        <x:v>Midwest</x:v>
      </x:c>
    </x:row>
    <x:row r="1172">
      <x:c r="A1172" s="50" t="n">
        <x:v>45938</x:v>
      </x:c>
      <x:c r="B1172" s="14" t="str">
        <x:v>SKU-0064</x:v>
      </x:c>
      <x:c r="C1172" s="52" t="n">
        <x:v>11</x:v>
      </x:c>
      <x:c r="D1172" s="40" t="n">
        <x:v>96.55</x:v>
      </x:c>
      <x:c r="E1172" s="44" t="n">
        <x:f>C1172*D1172</x:f>
        <x:v>1062.05</x:v>
      </x:c>
      <x:c r="F1172" s="40" t="n">
        <x:v>62.55</x:v>
      </x:c>
      <x:c r="G1172" s="44" t="n">
        <x:f>C1172*F1172</x:f>
        <x:v>688.05</x:v>
      </x:c>
      <x:c r="H1172" s="44" t="n">
        <x:f>E1172-G1172</x:f>
        <x:v>374</x:v>
      </x:c>
      <x:c r="I1172" s="14" t="str">
        <x:v>Enterprise</x:v>
      </x:c>
      <x:c r="J1172" s="14" t="str">
        <x:v>Southeast</x:v>
      </x:c>
    </x:row>
    <x:row r="1173">
      <x:c r="A1173" s="50" t="n">
        <x:v>46122</x:v>
      </x:c>
      <x:c r="B1173" s="14" t="str">
        <x:v>SKU-0098</x:v>
      </x:c>
      <x:c r="C1173" s="52" t="n">
        <x:v>7</x:v>
      </x:c>
      <x:c r="D1173" s="40" t="n">
        <x:v>348.56</x:v>
      </x:c>
      <x:c r="E1173" s="44" t="n">
        <x:f>C1173*D1173</x:f>
        <x:v>2439.92</x:v>
      </x:c>
      <x:c r="F1173" s="40" t="n">
        <x:v>270.95</x:v>
      </x:c>
      <x:c r="G1173" s="44" t="n">
        <x:f>C1173*F1173</x:f>
        <x:v>1896.6499999999999</x:v>
      </x:c>
      <x:c r="H1173" s="44" t="n">
        <x:f>E1173-G1173</x:f>
        <x:v>543.2700000000002</x:v>
      </x:c>
      <x:c r="I1173" s="14" t="str">
        <x:v>Distributor</x:v>
      </x:c>
      <x:c r="J1173" s="14" t="str">
        <x:v>West</x:v>
      </x:c>
    </x:row>
    <x:row r="1174">
      <x:c r="A1174" s="50" t="n">
        <x:v>46172</x:v>
      </x:c>
      <x:c r="B1174" s="14" t="str">
        <x:v>SKU-0150</x:v>
      </x:c>
      <x:c r="C1174" s="52" t="n">
        <x:v>20</x:v>
      </x:c>
      <x:c r="D1174" s="40" t="n">
        <x:v>85.96</x:v>
      </x:c>
      <x:c r="E1174" s="44" t="n">
        <x:f>C1174*D1174</x:f>
        <x:v>1719.1999999999998</x:v>
      </x:c>
      <x:c r="F1174" s="40" t="n">
        <x:v>62.34</x:v>
      </x:c>
      <x:c r="G1174" s="44" t="n">
        <x:f>C1174*F1174</x:f>
        <x:v>1246.8000000000002</x:v>
      </x:c>
      <x:c r="H1174" s="44" t="n">
        <x:f>E1174-G1174</x:f>
        <x:v>472.39999999999964</x:v>
      </x:c>
      <x:c r="I1174" s="14" t="str">
        <x:v>Distributor</x:v>
      </x:c>
      <x:c r="J1174" s="14" t="str">
        <x:v>Northeast</x:v>
      </x:c>
    </x:row>
    <x:row r="1175">
      <x:c r="A1175" s="50" t="n">
        <x:v>45949</x:v>
      </x:c>
      <x:c r="B1175" s="14" t="str">
        <x:v>SKU-0046</x:v>
      </x:c>
      <x:c r="C1175" s="52" t="n">
        <x:v>15</x:v>
      </x:c>
      <x:c r="D1175" s="40" t="n">
        <x:v>127.54</x:v>
      </x:c>
      <x:c r="E1175" s="44" t="n">
        <x:f>C1175*D1175</x:f>
        <x:v>1913.1000000000001</x:v>
      </x:c>
      <x:c r="F1175" s="40" t="n">
        <x:v>66.68</x:v>
      </x:c>
      <x:c r="G1175" s="44" t="n">
        <x:f>C1175*F1175</x:f>
        <x:v>1000.2</x:v>
      </x:c>
      <x:c r="H1175" s="44" t="n">
        <x:f>E1175-G1175</x:f>
        <x:v>912.9000000000001</x:v>
      </x:c>
      <x:c r="I1175" s="14" t="str">
        <x:v>Enterprise</x:v>
      </x:c>
      <x:c r="J1175" s="14" t="str">
        <x:v>Southeast</x:v>
      </x:c>
    </x:row>
    <x:row r="1176">
      <x:c r="A1176" s="50" t="n">
        <x:v>46029</x:v>
      </x:c>
      <x:c r="B1176" s="14" t="str">
        <x:v>SKU-0083</x:v>
      </x:c>
      <x:c r="C1176" s="52" t="n">
        <x:v>2</x:v>
      </x:c>
      <x:c r="D1176" s="40" t="n">
        <x:v>205.88</x:v>
      </x:c>
      <x:c r="E1176" s="44" t="n">
        <x:f>C1176*D1176</x:f>
        <x:v>411.76</x:v>
      </x:c>
      <x:c r="F1176" s="40" t="n">
        <x:v>126.42</x:v>
      </x:c>
      <x:c r="G1176" s="44" t="n">
        <x:f>C1176*F1176</x:f>
        <x:v>252.84</x:v>
      </x:c>
      <x:c r="H1176" s="44" t="n">
        <x:f>E1176-G1176</x:f>
        <x:v>158.92</x:v>
      </x:c>
      <x:c r="I1176" s="14" t="str">
        <x:v>Enterprise</x:v>
      </x:c>
      <x:c r="J1176" s="14" t="str">
        <x:v>West</x:v>
      </x:c>
    </x:row>
    <x:row r="1177">
      <x:c r="A1177" s="50" t="n">
        <x:v>46066</x:v>
      </x:c>
      <x:c r="B1177" s="14" t="str">
        <x:v>SKU-0044</x:v>
      </x:c>
      <x:c r="C1177" s="52" t="n">
        <x:v>16</x:v>
      </x:c>
      <x:c r="D1177" s="40" t="n">
        <x:v>157.24</x:v>
      </x:c>
      <x:c r="E1177" s="44" t="n">
        <x:f>C1177*D1177</x:f>
        <x:v>2515.84</x:v>
      </x:c>
      <x:c r="F1177" s="40" t="n">
        <x:v>126.24</x:v>
      </x:c>
      <x:c r="G1177" s="44" t="n">
        <x:f>C1177*F1177</x:f>
        <x:v>2019.84</x:v>
      </x:c>
      <x:c r="H1177" s="44" t="n">
        <x:f>E1177-G1177</x:f>
        <x:v>496.0000000000002</x:v>
      </x:c>
      <x:c r="I1177" s="14" t="str">
        <x:v>Enterprise</x:v>
      </x:c>
      <x:c r="J1177" s="14" t="str">
        <x:v>West</x:v>
      </x:c>
    </x:row>
    <x:row r="1178">
      <x:c r="A1178" s="50" t="n">
        <x:v>45965</x:v>
      </x:c>
      <x:c r="B1178" s="14" t="str">
        <x:v>SKU-0082</x:v>
      </x:c>
      <x:c r="C1178" s="52" t="n">
        <x:v>4</x:v>
      </x:c>
      <x:c r="D1178" s="40" t="n">
        <x:v>148.58</x:v>
      </x:c>
      <x:c r="E1178" s="44" t="n">
        <x:f>C1178*D1178</x:f>
        <x:v>594.32</x:v>
      </x:c>
      <x:c r="F1178" s="40" t="n">
        <x:v>79.16</x:v>
      </x:c>
      <x:c r="G1178" s="44" t="n">
        <x:f>C1178*F1178</x:f>
        <x:v>316.64</x:v>
      </x:c>
      <x:c r="H1178" s="44" t="n">
        <x:f>E1178-G1178</x:f>
        <x:v>277.68000000000006</x:v>
      </x:c>
      <x:c r="I1178" s="14" t="str">
        <x:v>Internal Use</x:v>
      </x:c>
      <x:c r="J1178" s="14" t="str">
        <x:v>West</x:v>
      </x:c>
    </x:row>
    <x:row r="1179">
      <x:c r="A1179" s="50" t="n">
        <x:v>45900</x:v>
      </x:c>
      <x:c r="B1179" s="14" t="str">
        <x:v>SKU-0087</x:v>
      </x:c>
      <x:c r="C1179" s="52" t="n">
        <x:v>16</x:v>
      </x:c>
      <x:c r="D1179" s="40" t="n">
        <x:v>330.28</x:v>
      </x:c>
      <x:c r="E1179" s="44" t="n">
        <x:f>C1179*D1179</x:f>
        <x:v>5284.48</x:v>
      </x:c>
      <x:c r="F1179" s="40" t="n">
        <x:v>194.73</x:v>
      </x:c>
      <x:c r="G1179" s="44" t="n">
        <x:f>C1179*F1179</x:f>
        <x:v>3115.68</x:v>
      </x:c>
      <x:c r="H1179" s="44" t="n">
        <x:f>E1179-G1179</x:f>
        <x:v>2168.7999999999997</x:v>
      </x:c>
      <x:c r="I1179" s="14" t="str">
        <x:v>Enterprise</x:v>
      </x:c>
      <x:c r="J1179" s="14" t="str">
        <x:v>Southeast</x:v>
      </x:c>
    </x:row>
    <x:row r="1180">
      <x:c r="A1180" s="50" t="n">
        <x:v>46173</x:v>
      </x:c>
      <x:c r="B1180" s="14" t="str">
        <x:v>SKU-0003</x:v>
      </x:c>
      <x:c r="C1180" s="52" t="n">
        <x:v>3</x:v>
      </x:c>
      <x:c r="D1180" s="40" t="n">
        <x:v>313.38</x:v>
      </x:c>
      <x:c r="E1180" s="44" t="n">
        <x:f>C1180*D1180</x:f>
        <x:v>940.14</x:v>
      </x:c>
      <x:c r="F1180" s="40" t="n">
        <x:v>141.04</x:v>
      </x:c>
      <x:c r="G1180" s="44" t="n">
        <x:f>C1180*F1180</x:f>
        <x:v>423.12</x:v>
      </x:c>
      <x:c r="H1180" s="44" t="n">
        <x:f>E1180-G1180</x:f>
        <x:v>517.02</x:v>
      </x:c>
      <x:c r="I1180" s="14" t="str">
        <x:v>Internal Use</x:v>
      </x:c>
      <x:c r="J1180" s="14" t="str">
        <x:v>West</x:v>
      </x:c>
    </x:row>
    <x:row r="1181">
      <x:c r="A1181" s="50" t="n">
        <x:v>46235</x:v>
      </x:c>
      <x:c r="B1181" s="14" t="str">
        <x:v>SKU-0010</x:v>
      </x:c>
      <x:c r="C1181" s="52" t="n">
        <x:v>19</x:v>
      </x:c>
      <x:c r="D1181" s="40" t="n">
        <x:v>164.76</x:v>
      </x:c>
      <x:c r="E1181" s="44" t="n">
        <x:f>C1181*D1181</x:f>
        <x:v>3130.4399999999996</x:v>
      </x:c>
      <x:c r="F1181" s="40" t="n">
        <x:v>137.36</x:v>
      </x:c>
      <x:c r="G1181" s="44" t="n">
        <x:f>C1181*F1181</x:f>
        <x:v>2609.84</x:v>
      </x:c>
      <x:c r="H1181" s="44" t="n">
        <x:f>E1181-G1181</x:f>
        <x:v>520.5999999999995</x:v>
      </x:c>
      <x:c r="I1181" s="14" t="str">
        <x:v>Internal Use</x:v>
      </x:c>
      <x:c r="J1181" s="14" t="str">
        <x:v>West</x:v>
      </x:c>
    </x:row>
    <x:row r="1182">
      <x:c r="A1182" s="50" t="n">
        <x:v>45947</x:v>
      </x:c>
      <x:c r="B1182" s="14" t="str">
        <x:v>SKU-0088</x:v>
      </x:c>
      <x:c r="C1182" s="52" t="n">
        <x:v>10</x:v>
      </x:c>
      <x:c r="D1182" s="40" t="n">
        <x:v>35.6</x:v>
      </x:c>
      <x:c r="E1182" s="44" t="n">
        <x:f>C1182*D1182</x:f>
        <x:v>356</x:v>
      </x:c>
      <x:c r="F1182" s="40" t="n">
        <x:v>21.49</x:v>
      </x:c>
      <x:c r="G1182" s="44" t="n">
        <x:f>C1182*F1182</x:f>
        <x:v>214.89999999999998</x:v>
      </x:c>
      <x:c r="H1182" s="44" t="n">
        <x:f>E1182-G1182</x:f>
        <x:v>141.10000000000002</x:v>
      </x:c>
      <x:c r="I1182" s="14" t="str">
        <x:v>Internal Use</x:v>
      </x:c>
      <x:c r="J1182" s="14" t="str">
        <x:v>Northeast</x:v>
      </x:c>
    </x:row>
    <x:row r="1183">
      <x:c r="A1183" s="50" t="n">
        <x:v>46140</x:v>
      </x:c>
      <x:c r="B1183" s="14" t="str">
        <x:v>SKU-0082</x:v>
      </x:c>
      <x:c r="C1183" s="52" t="n">
        <x:v>5</x:v>
      </x:c>
      <x:c r="D1183" s="40" t="n">
        <x:v>142.88</x:v>
      </x:c>
      <x:c r="E1183" s="44" t="n">
        <x:f>C1183*D1183</x:f>
        <x:v>714.4</x:v>
      </x:c>
      <x:c r="F1183" s="40" t="n">
        <x:v>79.16</x:v>
      </x:c>
      <x:c r="G1183" s="44" t="n">
        <x:f>C1183*F1183</x:f>
        <x:v>395.79999999999995</x:v>
      </x:c>
      <x:c r="H1183" s="44" t="n">
        <x:f>E1183-G1183</x:f>
        <x:v>318.6</x:v>
      </x:c>
      <x:c r="I1183" s="14" t="str">
        <x:v>SMB</x:v>
      </x:c>
      <x:c r="J1183" s="14" t="str">
        <x:v>Northeast</x:v>
      </x:c>
    </x:row>
    <x:row r="1184">
      <x:c r="A1184" s="50" t="n">
        <x:v>45884</x:v>
      </x:c>
      <x:c r="B1184" s="14" t="str">
        <x:v>SKU-0020</x:v>
      </x:c>
      <x:c r="C1184" s="52" t="n">
        <x:v>28</x:v>
      </x:c>
      <x:c r="D1184" s="40" t="n">
        <x:v>257.42</x:v>
      </x:c>
      <x:c r="E1184" s="44" t="n">
        <x:f>C1184*D1184</x:f>
        <x:v>7207.76</x:v>
      </x:c>
      <x:c r="F1184" s="40" t="n">
        <x:v>163.22</x:v>
      </x:c>
      <x:c r="G1184" s="44" t="n">
        <x:f>C1184*F1184</x:f>
        <x:v>4570.16</x:v>
      </x:c>
      <x:c r="H1184" s="44" t="n">
        <x:f>E1184-G1184</x:f>
        <x:v>2637.6000000000004</x:v>
      </x:c>
      <x:c r="I1184" s="14" t="str">
        <x:v>Enterprise</x:v>
      </x:c>
      <x:c r="J1184" s="14" t="str">
        <x:v>Southeast</x:v>
      </x:c>
    </x:row>
    <x:row r="1185">
      <x:c r="A1185" s="50" t="n">
        <x:v>46200</x:v>
      </x:c>
      <x:c r="B1185" s="14" t="str">
        <x:v>SKU-0150</x:v>
      </x:c>
      <x:c r="C1185" s="52" t="n">
        <x:v>11</x:v>
      </x:c>
      <x:c r="D1185" s="40" t="n">
        <x:v>81.99</x:v>
      </x:c>
      <x:c r="E1185" s="44" t="n">
        <x:f>C1185*D1185</x:f>
        <x:v>901.89</x:v>
      </x:c>
      <x:c r="F1185" s="40" t="n">
        <x:v>62.34</x:v>
      </x:c>
      <x:c r="G1185" s="44" t="n">
        <x:f>C1185*F1185</x:f>
        <x:v>685.74</x:v>
      </x:c>
      <x:c r="H1185" s="44" t="n">
        <x:f>E1185-G1185</x:f>
        <x:v>216.14999999999998</x:v>
      </x:c>
      <x:c r="I1185" s="14" t="str">
        <x:v>Enterprise</x:v>
      </x:c>
      <x:c r="J1185" s="14" t="str">
        <x:v>Northeast</x:v>
      </x:c>
    </x:row>
    <x:row r="1186">
      <x:c r="A1186" s="50" t="n">
        <x:v>45982</x:v>
      </x:c>
      <x:c r="B1186" s="14" t="str">
        <x:v>SKU-0036</x:v>
      </x:c>
      <x:c r="C1186" s="52" t="n">
        <x:v>1</x:v>
      </x:c>
      <x:c r="D1186" s="40" t="n">
        <x:v>253.49</x:v>
      </x:c>
      <x:c r="E1186" s="44" t="n">
        <x:f>C1186*D1186</x:f>
        <x:v>253.49</x:v>
      </x:c>
      <x:c r="F1186" s="40" t="n">
        <x:v>122.19</x:v>
      </x:c>
      <x:c r="G1186" s="44" t="n">
        <x:f>C1186*F1186</x:f>
        <x:v>122.19</x:v>
      </x:c>
      <x:c r="H1186" s="44" t="n">
        <x:f>E1186-G1186</x:f>
        <x:v>131.3</x:v>
      </x:c>
      <x:c r="I1186" s="14" t="str">
        <x:v>Internal Use</x:v>
      </x:c>
      <x:c r="J1186" s="14" t="str">
        <x:v>Southeast</x:v>
      </x:c>
    </x:row>
    <x:row r="1187">
      <x:c r="A1187" s="50" t="n">
        <x:v>45905</x:v>
      </x:c>
      <x:c r="B1187" s="14" t="str">
        <x:v>SKU-0054</x:v>
      </x:c>
      <x:c r="C1187" s="52" t="n">
        <x:v>14</x:v>
      </x:c>
      <x:c r="D1187" s="40" t="n">
        <x:v>84.48</x:v>
      </x:c>
      <x:c r="E1187" s="44" t="n">
        <x:f>C1187*D1187</x:f>
        <x:v>1182.72</x:v>
      </x:c>
      <x:c r="F1187" s="40" t="n">
        <x:v>49.06</x:v>
      </x:c>
      <x:c r="G1187" s="44" t="n">
        <x:f>C1187*F1187</x:f>
        <x:v>686.84</x:v>
      </x:c>
      <x:c r="H1187" s="44" t="n">
        <x:f>E1187-G1187</x:f>
        <x:v>495.88</x:v>
      </x:c>
      <x:c r="I1187" s="14" t="str">
        <x:v>SMB</x:v>
      </x:c>
      <x:c r="J1187" s="14" t="str">
        <x:v>West</x:v>
      </x:c>
    </x:row>
    <x:row r="1188">
      <x:c r="A1188" s="50" t="n">
        <x:v>46242</x:v>
      </x:c>
      <x:c r="B1188" s="14" t="str">
        <x:v>SKU-0051</x:v>
      </x:c>
      <x:c r="C1188" s="52" t="n">
        <x:v>4</x:v>
      </x:c>
      <x:c r="D1188" s="40" t="n">
        <x:v>108.54</x:v>
      </x:c>
      <x:c r="E1188" s="44" t="n">
        <x:f>C1188*D1188</x:f>
        <x:v>434.16</x:v>
      </x:c>
      <x:c r="F1188" s="40" t="n">
        <x:v>74.69</x:v>
      </x:c>
      <x:c r="G1188" s="44" t="n">
        <x:f>C1188*F1188</x:f>
        <x:v>298.76</x:v>
      </x:c>
      <x:c r="H1188" s="44" t="n">
        <x:f>E1188-G1188</x:f>
        <x:v>135.40000000000003</x:v>
      </x:c>
      <x:c r="I1188" s="14" t="str">
        <x:v>Enterprise</x:v>
      </x:c>
      <x:c r="J1188" s="14" t="str">
        <x:v>West</x:v>
      </x:c>
    </x:row>
    <x:row r="1189">
      <x:c r="A1189" s="50" t="n">
        <x:v>46139</x:v>
      </x:c>
      <x:c r="B1189" s="14" t="str">
        <x:v>SKU-0048</x:v>
      </x:c>
      <x:c r="C1189" s="52" t="n">
        <x:v>5</x:v>
      </x:c>
      <x:c r="D1189" s="40" t="n">
        <x:v>433.81</x:v>
      </x:c>
      <x:c r="E1189" s="44" t="n">
        <x:f>C1189*D1189</x:f>
        <x:v>2169.05</x:v>
      </x:c>
      <x:c r="F1189" s="40" t="n">
        <x:v>211.59</x:v>
      </x:c>
      <x:c r="G1189" s="44" t="n">
        <x:f>C1189*F1189</x:f>
        <x:v>1057.95</x:v>
      </x:c>
      <x:c r="H1189" s="44" t="n">
        <x:f>E1189-G1189</x:f>
        <x:v>1111.1000000000001</x:v>
      </x:c>
      <x:c r="I1189" s="14" t="str">
        <x:v>SMB</x:v>
      </x:c>
      <x:c r="J1189" s="14" t="str">
        <x:v>Northeast</x:v>
      </x:c>
    </x:row>
    <x:row r="1190">
      <x:c r="A1190" s="50" t="n">
        <x:v>45976</x:v>
      </x:c>
      <x:c r="B1190" s="14" t="str">
        <x:v>SKU-0020</x:v>
      </x:c>
      <x:c r="C1190" s="52" t="n">
        <x:v>4</x:v>
      </x:c>
      <x:c r="D1190" s="40" t="n">
        <x:v>283.84</x:v>
      </x:c>
      <x:c r="E1190" s="44" t="n">
        <x:f>C1190*D1190</x:f>
        <x:v>1135.36</x:v>
      </x:c>
      <x:c r="F1190" s="40" t="n">
        <x:v>163.22</x:v>
      </x:c>
      <x:c r="G1190" s="44" t="n">
        <x:f>C1190*F1190</x:f>
        <x:v>652.88</x:v>
      </x:c>
      <x:c r="H1190" s="44" t="n">
        <x:f>E1190-G1190</x:f>
        <x:v>482.4799999999999</x:v>
      </x:c>
      <x:c r="I1190" s="14" t="str">
        <x:v>SMB</x:v>
      </x:c>
      <x:c r="J1190" s="14" t="str">
        <x:v>West</x:v>
      </x:c>
    </x:row>
    <x:row r="1191">
      <x:c r="A1191" s="50" t="n">
        <x:v>46187</x:v>
      </x:c>
      <x:c r="B1191" s="14" t="str">
        <x:v>SKU-0076</x:v>
      </x:c>
      <x:c r="C1191" s="52" t="n">
        <x:v>6</x:v>
      </x:c>
      <x:c r="D1191" s="40" t="n">
        <x:v>188.81</x:v>
      </x:c>
      <x:c r="E1191" s="44" t="n">
        <x:f>C1191*D1191</x:f>
        <x:v>1132.8600000000001</x:v>
      </x:c>
      <x:c r="F1191" s="40" t="n">
        <x:v>132.93</x:v>
      </x:c>
      <x:c r="G1191" s="44" t="n">
        <x:f>C1191*F1191</x:f>
        <x:v>797.58</x:v>
      </x:c>
      <x:c r="H1191" s="44" t="n">
        <x:f>E1191-G1191</x:f>
        <x:v>335.2800000000001</x:v>
      </x:c>
      <x:c r="I1191" s="14" t="str">
        <x:v>Distributor</x:v>
      </x:c>
      <x:c r="J1191" s="14" t="str">
        <x:v>Midwest</x:v>
      </x:c>
    </x:row>
    <x:row r="1192">
      <x:c r="A1192" s="50" t="n">
        <x:v>46151</x:v>
      </x:c>
      <x:c r="B1192" s="14" t="str">
        <x:v>SKU-0062</x:v>
      </x:c>
      <x:c r="C1192" s="52" t="n">
        <x:v>12</x:v>
      </x:c>
      <x:c r="D1192" s="40" t="n">
        <x:v>108.85</x:v>
      </x:c>
      <x:c r="E1192" s="44" t="n">
        <x:f>C1192*D1192</x:f>
        <x:v>1306.1999999999998</x:v>
      </x:c>
      <x:c r="F1192" s="40" t="n">
        <x:v>63.99</x:v>
      </x:c>
      <x:c r="G1192" s="44" t="n">
        <x:f>C1192*F1192</x:f>
        <x:v>767.88</x:v>
      </x:c>
      <x:c r="H1192" s="44" t="n">
        <x:f>E1192-G1192</x:f>
        <x:v>538.3199999999998</x:v>
      </x:c>
      <x:c r="I1192" s="14" t="str">
        <x:v>Enterprise</x:v>
      </x:c>
      <x:c r="J1192" s="14" t="str">
        <x:v>Northeast</x:v>
      </x:c>
    </x:row>
    <x:row r="1193">
      <x:c r="A1193" s="50" t="n">
        <x:v>46056</x:v>
      </x:c>
      <x:c r="B1193" s="14" t="str">
        <x:v>SKU-0127</x:v>
      </x:c>
      <x:c r="C1193" s="52" t="n">
        <x:v>16</x:v>
      </x:c>
      <x:c r="D1193" s="40" t="n">
        <x:v>265.33</x:v>
      </x:c>
      <x:c r="E1193" s="44" t="n">
        <x:f>C1193*D1193</x:f>
        <x:v>4245.28</x:v>
      </x:c>
      <x:c r="F1193" s="40" t="n">
        <x:v>114.9</x:v>
      </x:c>
      <x:c r="G1193" s="44" t="n">
        <x:f>C1193*F1193</x:f>
        <x:v>1838.4</x:v>
      </x:c>
      <x:c r="H1193" s="44" t="n">
        <x:f>E1193-G1193</x:f>
        <x:v>2406.8799999999997</x:v>
      </x:c>
      <x:c r="I1193" s="14" t="str">
        <x:v>Internal Use</x:v>
      </x:c>
      <x:c r="J1193" s="14" t="str">
        <x:v>Northeast</x:v>
      </x:c>
    </x:row>
    <x:row r="1194">
      <x:c r="A1194" s="50" t="n">
        <x:v>46043</x:v>
      </x:c>
      <x:c r="B1194" s="14" t="str">
        <x:v>SKU-0023</x:v>
      </x:c>
      <x:c r="C1194" s="52" t="n">
        <x:v>38</x:v>
      </x:c>
      <x:c r="D1194" s="40" t="n">
        <x:v>94.74</x:v>
      </x:c>
      <x:c r="E1194" s="44" t="n">
        <x:f>C1194*D1194</x:f>
        <x:v>3600.12</x:v>
      </x:c>
      <x:c r="F1194" s="40" t="n">
        <x:v>76.21</x:v>
      </x:c>
      <x:c r="G1194" s="44" t="n">
        <x:f>C1194*F1194</x:f>
        <x:v>2895.9799999999996</x:v>
      </x:c>
      <x:c r="H1194" s="44" t="n">
        <x:f>E1194-G1194</x:f>
        <x:v>704.1400000000003</x:v>
      </x:c>
      <x:c r="I1194" s="14" t="str">
        <x:v>Enterprise</x:v>
      </x:c>
      <x:c r="J1194" s="14" t="str">
        <x:v>Midwest</x:v>
      </x:c>
    </x:row>
    <x:row r="1195">
      <x:c r="A1195" s="50" t="n">
        <x:v>46110</x:v>
      </x:c>
      <x:c r="B1195" s="14" t="str">
        <x:v>SKU-0082</x:v>
      </x:c>
      <x:c r="C1195" s="52" t="n">
        <x:v>3</x:v>
      </x:c>
      <x:c r="D1195" s="40" t="n">
        <x:v>150.08</x:v>
      </x:c>
      <x:c r="E1195" s="44" t="n">
        <x:f>C1195*D1195</x:f>
        <x:v>450.24</x:v>
      </x:c>
      <x:c r="F1195" s="40" t="n">
        <x:v>79.16</x:v>
      </x:c>
      <x:c r="G1195" s="44" t="n">
        <x:f>C1195*F1195</x:f>
        <x:v>237.48</x:v>
      </x:c>
      <x:c r="H1195" s="44" t="n">
        <x:f>E1195-G1195</x:f>
        <x:v>212.76000000000002</x:v>
      </x:c>
      <x:c r="I1195" s="14" t="str">
        <x:v>Distributor</x:v>
      </x:c>
      <x:c r="J1195" s="14" t="str">
        <x:v>West</x:v>
      </x:c>
    </x:row>
    <x:row r="1196">
      <x:c r="A1196" s="50" t="n">
        <x:v>46159</x:v>
      </x:c>
      <x:c r="B1196" s="14" t="str">
        <x:v>SKU-0081</x:v>
      </x:c>
      <x:c r="C1196" s="52" t="n">
        <x:v>10</x:v>
      </x:c>
      <x:c r="D1196" s="40" t="n">
        <x:v>288.96</x:v>
      </x:c>
      <x:c r="E1196" s="44" t="n">
        <x:f>C1196*D1196</x:f>
        <x:v>2889.6</x:v>
      </x:c>
      <x:c r="F1196" s="40" t="n">
        <x:v>198.25</x:v>
      </x:c>
      <x:c r="G1196" s="44" t="n">
        <x:f>C1196*F1196</x:f>
        <x:v>1982.5</x:v>
      </x:c>
      <x:c r="H1196" s="44" t="n">
        <x:f>E1196-G1196</x:f>
        <x:v>907.0999999999999</x:v>
      </x:c>
      <x:c r="I1196" s="14" t="str">
        <x:v>Internal Use</x:v>
      </x:c>
      <x:c r="J1196" s="14" t="str">
        <x:v>West</x:v>
      </x:c>
    </x:row>
    <x:row r="1197">
      <x:c r="A1197" s="50" t="n">
        <x:v>46086</x:v>
      </x:c>
      <x:c r="B1197" s="14" t="str">
        <x:v>SKU-0084</x:v>
      </x:c>
      <x:c r="C1197" s="52" t="n">
        <x:v>5</x:v>
      </x:c>
      <x:c r="D1197" s="40" t="n">
        <x:v>220.42</x:v>
      </x:c>
      <x:c r="E1197" s="44" t="n">
        <x:f>C1197*D1197</x:f>
        <x:v>1102.1</x:v>
      </x:c>
      <x:c r="F1197" s="40" t="n">
        <x:v>108.77</x:v>
      </x:c>
      <x:c r="G1197" s="44" t="n">
        <x:f>C1197*F1197</x:f>
        <x:v>543.85</x:v>
      </x:c>
      <x:c r="H1197" s="44" t="n">
        <x:f>E1197-G1197</x:f>
        <x:v>558.2499999999999</x:v>
      </x:c>
      <x:c r="I1197" s="14" t="str">
        <x:v>SMB</x:v>
      </x:c>
      <x:c r="J1197" s="14" t="str">
        <x:v>West</x:v>
      </x:c>
    </x:row>
    <x:row r="1198">
      <x:c r="A1198" s="50" t="n">
        <x:v>45892</x:v>
      </x:c>
      <x:c r="B1198" s="14" t="str">
        <x:v>SKU-0108</x:v>
      </x:c>
      <x:c r="C1198" s="52" t="n">
        <x:v>2</x:v>
      </x:c>
      <x:c r="D1198" s="40" t="n">
        <x:v>292.06</x:v>
      </x:c>
      <x:c r="E1198" s="44" t="n">
        <x:f>C1198*D1198</x:f>
        <x:v>584.12</x:v>
      </x:c>
      <x:c r="F1198" s="40" t="n">
        <x:v>242.94</x:v>
      </x:c>
      <x:c r="G1198" s="44" t="n">
        <x:f>C1198*F1198</x:f>
        <x:v>485.88</x:v>
      </x:c>
      <x:c r="H1198" s="44" t="n">
        <x:f>E1198-G1198</x:f>
        <x:v>98.24000000000001</x:v>
      </x:c>
      <x:c r="I1198" s="14" t="str">
        <x:v>Distributor</x:v>
      </x:c>
      <x:c r="J1198" s="14" t="str">
        <x:v>Northeast</x:v>
      </x:c>
    </x:row>
    <x:row r="1199">
      <x:c r="A1199" s="50" t="n">
        <x:v>46218</x:v>
      </x:c>
      <x:c r="B1199" s="14" t="str">
        <x:v>SKU-0112</x:v>
      </x:c>
      <x:c r="C1199" s="52" t="n">
        <x:v>19</x:v>
      </x:c>
      <x:c r="D1199" s="40" t="n">
        <x:v>270.73</x:v>
      </x:c>
      <x:c r="E1199" s="44" t="n">
        <x:f>C1199*D1199</x:f>
        <x:v>5143.870000000001</x:v>
      </x:c>
      <x:c r="F1199" s="40" t="n">
        <x:v>175.75</x:v>
      </x:c>
      <x:c r="G1199" s="44" t="n">
        <x:f>C1199*F1199</x:f>
        <x:v>3339.25</x:v>
      </x:c>
      <x:c r="H1199" s="44" t="n">
        <x:f>E1199-G1199</x:f>
        <x:v>1804.6200000000008</x:v>
      </x:c>
      <x:c r="I1199" s="14" t="str">
        <x:v>Internal Use</x:v>
      </x:c>
      <x:c r="J1199" s="14" t="str">
        <x:v>Southeast</x:v>
      </x:c>
    </x:row>
    <x:row r="1200">
      <x:c r="A1200" s="50" t="n">
        <x:v>46052</x:v>
      </x:c>
      <x:c r="B1200" s="14" t="str">
        <x:v>SKU-0070</x:v>
      </x:c>
      <x:c r="C1200" s="52" t="n">
        <x:v>3</x:v>
      </x:c>
      <x:c r="D1200" s="40" t="n">
        <x:v>106.46</x:v>
      </x:c>
      <x:c r="E1200" s="44" t="n">
        <x:f>C1200*D1200</x:f>
        <x:v>319.38</x:v>
      </x:c>
      <x:c r="F1200" s="40" t="n">
        <x:v>69.06</x:v>
      </x:c>
      <x:c r="G1200" s="44" t="n">
        <x:f>C1200*F1200</x:f>
        <x:v>207.18</x:v>
      </x:c>
      <x:c r="H1200" s="44" t="n">
        <x:f>E1200-G1200</x:f>
        <x:v>112.19999999999999</x:v>
      </x:c>
      <x:c r="I1200" s="14" t="str">
        <x:v>Distributor</x:v>
      </x:c>
      <x:c r="J1200" s="14" t="str">
        <x:v>Southeast</x:v>
      </x:c>
    </x:row>
    <x:row r="1201">
      <x:c r="A1201" s="50" t="n">
        <x:v>46129</x:v>
      </x:c>
      <x:c r="B1201" s="14" t="str">
        <x:v>SKU-0049</x:v>
      </x:c>
      <x:c r="C1201" s="52" t="n">
        <x:v>12</x:v>
      </x:c>
      <x:c r="D1201" s="40" t="n">
        <x:v>94.77</x:v>
      </x:c>
      <x:c r="E1201" s="44" t="n">
        <x:f>C1201*D1201</x:f>
        <x:v>1137.24</x:v>
      </x:c>
      <x:c r="F1201" s="40" t="n">
        <x:v>63.39</x:v>
      </x:c>
      <x:c r="G1201" s="44" t="n">
        <x:f>C1201*F1201</x:f>
        <x:v>760.6800000000001</x:v>
      </x:c>
      <x:c r="H1201" s="44" t="n">
        <x:f>E1201-G1201</x:f>
        <x:v>376.55999999999995</x:v>
      </x:c>
      <x:c r="I1201" s="14" t="str">
        <x:v>SMB</x:v>
      </x:c>
      <x:c r="J1201" s="14" t="str">
        <x:v>West</x:v>
      </x:c>
    </x:row>
    <x:row r="1202">
      <x:c r="A1202" s="50" t="n">
        <x:v>46060</x:v>
      </x:c>
      <x:c r="B1202" s="14" t="str">
        <x:v>SKU-0016</x:v>
      </x:c>
      <x:c r="C1202" s="52" t="n">
        <x:v>5</x:v>
      </x:c>
      <x:c r="D1202" s="40" t="n">
        <x:v>386.18</x:v>
      </x:c>
      <x:c r="E1202" s="44" t="n">
        <x:f>C1202*D1202</x:f>
        <x:v>1930.9</x:v>
      </x:c>
      <x:c r="F1202" s="40" t="n">
        <x:v>204.58</x:v>
      </x:c>
      <x:c r="G1202" s="44" t="n">
        <x:f>C1202*F1202</x:f>
        <x:v>1022.9000000000001</x:v>
      </x:c>
      <x:c r="H1202" s="44" t="n">
        <x:f>E1202-G1202</x:f>
        <x:v>908</x:v>
      </x:c>
      <x:c r="I1202" s="14" t="str">
        <x:v>SMB</x:v>
      </x:c>
      <x:c r="J1202" s="14" t="str">
        <x:v>West</x:v>
      </x:c>
    </x:row>
    <x:row r="1203">
      <x:c r="A1203" s="50" t="n">
        <x:v>46093</x:v>
      </x:c>
      <x:c r="B1203" s="14" t="str">
        <x:v>SKU-0056</x:v>
      </x:c>
      <x:c r="C1203" s="52" t="n">
        <x:v>6</x:v>
      </x:c>
      <x:c r="D1203" s="40" t="n">
        <x:v>320.83</x:v>
      </x:c>
      <x:c r="E1203" s="44" t="n">
        <x:f>C1203*D1203</x:f>
        <x:v>1924.98</x:v>
      </x:c>
      <x:c r="F1203" s="40" t="n">
        <x:v>219.68</x:v>
      </x:c>
      <x:c r="G1203" s="44" t="n">
        <x:f>C1203*F1203</x:f>
        <x:v>1318.08</x:v>
      </x:c>
      <x:c r="H1203" s="44" t="n">
        <x:f>E1203-G1203</x:f>
        <x:v>606.9000000000001</x:v>
      </x:c>
      <x:c r="I1203" s="14" t="str">
        <x:v>Distributor</x:v>
      </x:c>
      <x:c r="J1203" s="14" t="str">
        <x:v>Midwest</x:v>
      </x:c>
    </x:row>
    <x:row r="1204">
      <x:c r="A1204" s="50" t="n">
        <x:v>46193</x:v>
      </x:c>
      <x:c r="B1204" s="14" t="str">
        <x:v>SKU-0110</x:v>
      </x:c>
      <x:c r="C1204" s="52" t="n">
        <x:v>3</x:v>
      </x:c>
      <x:c r="D1204" s="40" t="n">
        <x:v>29.28</x:v>
      </x:c>
      <x:c r="E1204" s="44" t="n">
        <x:f>C1204*D1204</x:f>
        <x:v>87.84</x:v>
      </x:c>
      <x:c r="F1204" s="40" t="n">
        <x:v>14.53</x:v>
      </x:c>
      <x:c r="G1204" s="44" t="n">
        <x:f>C1204*F1204</x:f>
        <x:v>43.589999999999996</x:v>
      </x:c>
      <x:c r="H1204" s="44" t="n">
        <x:f>E1204-G1204</x:f>
        <x:v>44.25000000000001</x:v>
      </x:c>
      <x:c r="I1204" s="14" t="str">
        <x:v>SMB</x:v>
      </x:c>
      <x:c r="J1204" s="14" t="str">
        <x:v>Midwest</x:v>
      </x:c>
    </x:row>
    <x:row r="1205">
      <x:c r="A1205" s="50" t="n">
        <x:v>46122</x:v>
      </x:c>
      <x:c r="B1205" s="14" t="str">
        <x:v>SKU-0145</x:v>
      </x:c>
      <x:c r="C1205" s="52" t="n">
        <x:v>3</x:v>
      </x:c>
      <x:c r="D1205" s="40" t="n">
        <x:v>209.55</x:v>
      </x:c>
      <x:c r="E1205" s="44" t="n">
        <x:f>C1205*D1205</x:f>
        <x:v>628.6500000000001</x:v>
      </x:c>
      <x:c r="F1205" s="40" t="n">
        <x:v>142.06</x:v>
      </x:c>
      <x:c r="G1205" s="44" t="n">
        <x:f>C1205*F1205</x:f>
        <x:v>426.18</x:v>
      </x:c>
      <x:c r="H1205" s="44" t="n">
        <x:f>E1205-G1205</x:f>
        <x:v>202.47000000000008</x:v>
      </x:c>
      <x:c r="I1205" s="14" t="str">
        <x:v>SMB</x:v>
      </x:c>
      <x:c r="J1205" s="14" t="str">
        <x:v>Midwest</x:v>
      </x:c>
    </x:row>
    <x:row r="1206">
      <x:c r="A1206" s="50" t="n">
        <x:v>46040</x:v>
      </x:c>
      <x:c r="B1206" s="14" t="str">
        <x:v>SKU-0060</x:v>
      </x:c>
      <x:c r="C1206" s="52" t="n">
        <x:v>58</x:v>
      </x:c>
      <x:c r="D1206" s="40" t="n">
        <x:v>119.01</x:v>
      </x:c>
      <x:c r="E1206" s="44" t="n">
        <x:f>C1206*D1206</x:f>
        <x:v>6902.58</x:v>
      </x:c>
      <x:c r="F1206" s="40" t="n">
        <x:v>61.36</x:v>
      </x:c>
      <x:c r="G1206" s="44" t="n">
        <x:f>C1206*F1206</x:f>
        <x:v>3558.88</x:v>
      </x:c>
      <x:c r="H1206" s="44" t="n">
        <x:f>E1206-G1206</x:f>
        <x:v>3343.7</x:v>
      </x:c>
      <x:c r="I1206" s="14" t="str">
        <x:v>Distributor</x:v>
      </x:c>
      <x:c r="J1206" s="14" t="str">
        <x:v>Midwest</x:v>
      </x:c>
    </x:row>
    <x:row r="1207">
      <x:c r="A1207" s="50" t="n">
        <x:v>46049</x:v>
      </x:c>
      <x:c r="B1207" s="14" t="str">
        <x:v>SKU-0148</x:v>
      </x:c>
      <x:c r="C1207" s="52" t="n">
        <x:v>27</x:v>
      </x:c>
      <x:c r="D1207" s="40" t="n">
        <x:v>418.2</x:v>
      </x:c>
      <x:c r="E1207" s="44" t="n">
        <x:f>C1207*D1207</x:f>
        <x:v>11291.4</x:v>
      </x:c>
      <x:c r="F1207" s="40" t="n">
        <x:v>278.48</x:v>
      </x:c>
      <x:c r="G1207" s="44" t="n">
        <x:f>C1207*F1207</x:f>
        <x:v>7518.960000000001</x:v>
      </x:c>
      <x:c r="H1207" s="44" t="n">
        <x:f>E1207-G1207</x:f>
        <x:v>3772.4399999999987</x:v>
      </x:c>
      <x:c r="I1207" s="14" t="str">
        <x:v>SMB</x:v>
      </x:c>
      <x:c r="J1207" s="14" t="str">
        <x:v>Southeast</x:v>
      </x:c>
    </x:row>
    <x:row r="1208">
      <x:c r="A1208" s="50" t="n">
        <x:v>46168</x:v>
      </x:c>
      <x:c r="B1208" s="14" t="str">
        <x:v>SKU-0126</x:v>
      </x:c>
      <x:c r="C1208" s="52" t="n">
        <x:v>8</x:v>
      </x:c>
      <x:c r="D1208" s="40" t="n">
        <x:v>16.65</x:v>
      </x:c>
      <x:c r="E1208" s="44" t="n">
        <x:f>C1208*D1208</x:f>
        <x:v>133.2</x:v>
      </x:c>
      <x:c r="F1208" s="40" t="n">
        <x:v>7.7</x:v>
      </x:c>
      <x:c r="G1208" s="44" t="n">
        <x:f>C1208*F1208</x:f>
        <x:v>61.6</x:v>
      </x:c>
      <x:c r="H1208" s="44" t="n">
        <x:f>E1208-G1208</x:f>
        <x:v>71.6</x:v>
      </x:c>
      <x:c r="I1208" s="14" t="str">
        <x:v>Enterprise</x:v>
      </x:c>
      <x:c r="J1208" s="14" t="str">
        <x:v>West</x:v>
      </x:c>
    </x:row>
    <x:row r="1209">
      <x:c r="A1209" s="50" t="n">
        <x:v>46199</x:v>
      </x:c>
      <x:c r="B1209" s="14" t="str">
        <x:v>SKU-0038</x:v>
      </x:c>
      <x:c r="C1209" s="52" t="n">
        <x:v>5</x:v>
      </x:c>
      <x:c r="D1209" s="40" t="n">
        <x:v>236.51</x:v>
      </x:c>
      <x:c r="E1209" s="44" t="n">
        <x:f>C1209*D1209</x:f>
        <x:v>1182.55</x:v>
      </x:c>
      <x:c r="F1209" s="40" t="n">
        <x:v>160.43</x:v>
      </x:c>
      <x:c r="G1209" s="44" t="n">
        <x:f>C1209*F1209</x:f>
        <x:v>802.1500000000001</x:v>
      </x:c>
      <x:c r="H1209" s="44" t="n">
        <x:f>E1209-G1209</x:f>
        <x:v>380.39999999999986</x:v>
      </x:c>
      <x:c r="I1209" s="14" t="str">
        <x:v>Distributor</x:v>
      </x:c>
      <x:c r="J1209" s="14" t="str">
        <x:v>Northeast</x:v>
      </x:c>
    </x:row>
    <x:row r="1210">
      <x:c r="A1210" s="50" t="n">
        <x:v>46079</x:v>
      </x:c>
      <x:c r="B1210" s="14" t="str">
        <x:v>SKU-0116</x:v>
      </x:c>
      <x:c r="C1210" s="52" t="n">
        <x:v>55</x:v>
      </x:c>
      <x:c r="D1210" s="40" t="n">
        <x:v>50.53</x:v>
      </x:c>
      <x:c r="E1210" s="44" t="n">
        <x:f>C1210*D1210</x:f>
        <x:v>2779.15</x:v>
      </x:c>
      <x:c r="F1210" s="40" t="n">
        <x:v>36.42</x:v>
      </x:c>
      <x:c r="G1210" s="44" t="n">
        <x:f>C1210*F1210</x:f>
        <x:v>2003.1000000000001</x:v>
      </x:c>
      <x:c r="H1210" s="44" t="n">
        <x:f>E1210-G1210</x:f>
        <x:v>776.05</x:v>
      </x:c>
      <x:c r="I1210" s="14" t="str">
        <x:v>SMB</x:v>
      </x:c>
      <x:c r="J1210" s="14" t="str">
        <x:v>Midwest</x:v>
      </x:c>
    </x:row>
    <x:row r="1211">
      <x:c r="A1211" s="50" t="n">
        <x:v>46122</x:v>
      </x:c>
      <x:c r="B1211" s="14" t="str">
        <x:v>SKU-0016</x:v>
      </x:c>
      <x:c r="C1211" s="52" t="n">
        <x:v>3</x:v>
      </x:c>
      <x:c r="D1211" s="40" t="n">
        <x:v>388.51</x:v>
      </x:c>
      <x:c r="E1211" s="44" t="n">
        <x:f>C1211*D1211</x:f>
        <x:v>1165.53</x:v>
      </x:c>
      <x:c r="F1211" s="40" t="n">
        <x:v>204.58</x:v>
      </x:c>
      <x:c r="G1211" s="44" t="n">
        <x:f>C1211*F1211</x:f>
        <x:v>613.74</x:v>
      </x:c>
      <x:c r="H1211" s="44" t="n">
        <x:f>E1211-G1211</x:f>
        <x:v>551.79</x:v>
      </x:c>
      <x:c r="I1211" s="14" t="str">
        <x:v>Internal Use</x:v>
      </x:c>
      <x:c r="J1211" s="14" t="str">
        <x:v>Southeast</x:v>
      </x:c>
    </x:row>
    <x:row r="1212">
      <x:c r="A1212" s="50" t="n">
        <x:v>46043</x:v>
      </x:c>
      <x:c r="B1212" s="14" t="str">
        <x:v>SKU-0070</x:v>
      </x:c>
      <x:c r="C1212" s="52" t="n">
        <x:v>8</x:v>
      </x:c>
      <x:c r="D1212" s="40" t="n">
        <x:v>118.99</x:v>
      </x:c>
      <x:c r="E1212" s="44" t="n">
        <x:f>C1212*D1212</x:f>
        <x:v>951.92</x:v>
      </x:c>
      <x:c r="F1212" s="40" t="n">
        <x:v>69.06</x:v>
      </x:c>
      <x:c r="G1212" s="44" t="n">
        <x:f>C1212*F1212</x:f>
        <x:v>552.48</x:v>
      </x:c>
      <x:c r="H1212" s="44" t="n">
        <x:f>E1212-G1212</x:f>
        <x:v>399.43999999999994</x:v>
      </x:c>
      <x:c r="I1212" s="14" t="str">
        <x:v>SMB</x:v>
      </x:c>
      <x:c r="J1212" s="14" t="str">
        <x:v>Southeast</x:v>
      </x:c>
    </x:row>
    <x:row r="1213">
      <x:c r="A1213" s="50" t="n">
        <x:v>46031</x:v>
      </x:c>
      <x:c r="B1213" s="14" t="str">
        <x:v>SKU-0031</x:v>
      </x:c>
      <x:c r="C1213" s="52" t="n">
        <x:v>30</x:v>
      </x:c>
      <x:c r="D1213" s="40" t="n">
        <x:v>283.44</x:v>
      </x:c>
      <x:c r="E1213" s="44" t="n">
        <x:f>C1213*D1213</x:f>
        <x:v>8503.2</x:v>
      </x:c>
      <x:c r="F1213" s="40" t="n">
        <x:v>247.09</x:v>
      </x:c>
      <x:c r="G1213" s="44" t="n">
        <x:f>C1213*F1213</x:f>
        <x:v>7412.7</x:v>
      </x:c>
      <x:c r="H1213" s="44" t="n">
        <x:f>E1213-G1213</x:f>
        <x:v>1090.500000000001</x:v>
      </x:c>
      <x:c r="I1213" s="14" t="str">
        <x:v>Distributor</x:v>
      </x:c>
      <x:c r="J1213" s="14" t="str">
        <x:v>Southeast</x:v>
      </x:c>
    </x:row>
    <x:row r="1214">
      <x:c r="A1214" s="50" t="n">
        <x:v>46096</x:v>
      </x:c>
      <x:c r="B1214" s="14" t="str">
        <x:v>SKU-0097</x:v>
      </x:c>
      <x:c r="C1214" s="52" t="n">
        <x:v>58</x:v>
      </x:c>
      <x:c r="D1214" s="40" t="n">
        <x:v>264.52</x:v>
      </x:c>
      <x:c r="E1214" s="44" t="n">
        <x:f>C1214*D1214</x:f>
        <x:v>15342.16</x:v>
      </x:c>
      <x:c r="F1214" s="40" t="n">
        <x:v>209.93</x:v>
      </x:c>
      <x:c r="G1214" s="44" t="n">
        <x:f>C1214*F1214</x:f>
        <x:v>12175.94</x:v>
      </x:c>
      <x:c r="H1214" s="44" t="n">
        <x:f>E1214-G1214</x:f>
        <x:v>3166.2199999999993</x:v>
      </x:c>
      <x:c r="I1214" s="14" t="str">
        <x:v>SMB</x:v>
      </x:c>
      <x:c r="J1214" s="14" t="str">
        <x:v>Southeast</x:v>
      </x:c>
    </x:row>
    <x:row r="1215">
      <x:c r="A1215" s="50" t="n">
        <x:v>45892</x:v>
      </x:c>
      <x:c r="B1215" s="14" t="str">
        <x:v>SKU-0076</x:v>
      </x:c>
      <x:c r="C1215" s="52" t="n">
        <x:v>7</x:v>
      </x:c>
      <x:c r="D1215" s="40" t="n">
        <x:v>205.74</x:v>
      </x:c>
      <x:c r="E1215" s="44" t="n">
        <x:f>C1215*D1215</x:f>
        <x:v>1440.18</x:v>
      </x:c>
      <x:c r="F1215" s="40" t="n">
        <x:v>132.93</x:v>
      </x:c>
      <x:c r="G1215" s="44" t="n">
        <x:f>C1215*F1215</x:f>
        <x:v>930.51</x:v>
      </x:c>
      <x:c r="H1215" s="44" t="n">
        <x:f>E1215-G1215</x:f>
        <x:v>509.6700000000001</x:v>
      </x:c>
      <x:c r="I1215" s="14" t="str">
        <x:v>SMB</x:v>
      </x:c>
      <x:c r="J1215" s="14" t="str">
        <x:v>West</x:v>
      </x:c>
    </x:row>
    <x:row r="1216">
      <x:c r="A1216" s="50" t="n">
        <x:v>46164</x:v>
      </x:c>
      <x:c r="B1216" s="14" t="str">
        <x:v>SKU-0098</x:v>
      </x:c>
      <x:c r="C1216" s="52" t="n">
        <x:v>3</x:v>
      </x:c>
      <x:c r="D1216" s="40" t="n">
        <x:v>365.59</x:v>
      </x:c>
      <x:c r="E1216" s="44" t="n">
        <x:f>C1216*D1216</x:f>
        <x:v>1096.77</x:v>
      </x:c>
      <x:c r="F1216" s="40" t="n">
        <x:v>270.95</x:v>
      </x:c>
      <x:c r="G1216" s="44" t="n">
        <x:f>C1216*F1216</x:f>
        <x:v>812.8499999999999</x:v>
      </x:c>
      <x:c r="H1216" s="44" t="n">
        <x:f>E1216-G1216</x:f>
        <x:v>283.9200000000001</x:v>
      </x:c>
      <x:c r="I1216" s="14" t="str">
        <x:v>Distributor</x:v>
      </x:c>
      <x:c r="J1216" s="14" t="str">
        <x:v>West</x:v>
      </x:c>
    </x:row>
    <x:row r="1217">
      <x:c r="A1217" s="50" t="n">
        <x:v>45981</x:v>
      </x:c>
      <x:c r="B1217" s="14" t="str">
        <x:v>SKU-0071</x:v>
      </x:c>
      <x:c r="C1217" s="52" t="n">
        <x:v>15</x:v>
      </x:c>
      <x:c r="D1217" s="40" t="n">
        <x:v>340.88</x:v>
      </x:c>
      <x:c r="E1217" s="44" t="n">
        <x:f>C1217*D1217</x:f>
        <x:v>5113.2</x:v>
      </x:c>
      <x:c r="F1217" s="40" t="n">
        <x:v>198.68</x:v>
      </x:c>
      <x:c r="G1217" s="44" t="n">
        <x:f>C1217*F1217</x:f>
        <x:v>2980.2000000000003</x:v>
      </x:c>
      <x:c r="H1217" s="44" t="n">
        <x:f>E1217-G1217</x:f>
        <x:v>2132.9999999999995</x:v>
      </x:c>
      <x:c r="I1217" s="14" t="str">
        <x:v>SMB</x:v>
      </x:c>
      <x:c r="J1217" s="14" t="str">
        <x:v>Midwest</x:v>
      </x:c>
    </x:row>
    <x:row r="1218">
      <x:c r="A1218" s="50" t="n">
        <x:v>45943</x:v>
      </x:c>
      <x:c r="B1218" s="14" t="str">
        <x:v>SKU-0005</x:v>
      </x:c>
      <x:c r="C1218" s="52" t="n">
        <x:v>3</x:v>
      </x:c>
      <x:c r="D1218" s="40" t="n">
        <x:v>341.04</x:v>
      </x:c>
      <x:c r="E1218" s="44" t="n">
        <x:f>C1218*D1218</x:f>
        <x:v>1023.1200000000001</x:v>
      </x:c>
      <x:c r="F1218" s="40" t="n">
        <x:v>176.62</x:v>
      </x:c>
      <x:c r="G1218" s="44" t="n">
        <x:f>C1218*F1218</x:f>
        <x:v>529.86</x:v>
      </x:c>
      <x:c r="H1218" s="44" t="n">
        <x:f>E1218-G1218</x:f>
        <x:v>493.2600000000001</x:v>
      </x:c>
      <x:c r="I1218" s="14" t="str">
        <x:v>SMB</x:v>
      </x:c>
      <x:c r="J1218" s="14" t="str">
        <x:v>Midwest</x:v>
      </x:c>
    </x:row>
    <x:row r="1219">
      <x:c r="A1219" s="50" t="n">
        <x:v>46161</x:v>
      </x:c>
      <x:c r="B1219" s="14" t="str">
        <x:v>SKU-0097</x:v>
      </x:c>
      <x:c r="C1219" s="52" t="n">
        <x:v>2</x:v>
      </x:c>
      <x:c r="D1219" s="40" t="n">
        <x:v>265.6</x:v>
      </x:c>
      <x:c r="E1219" s="44" t="n">
        <x:f>C1219*D1219</x:f>
        <x:v>531.2</x:v>
      </x:c>
      <x:c r="F1219" s="40" t="n">
        <x:v>209.93</x:v>
      </x:c>
      <x:c r="G1219" s="44" t="n">
        <x:f>C1219*F1219</x:f>
        <x:v>419.86</x:v>
      </x:c>
      <x:c r="H1219" s="44" t="n">
        <x:f>E1219-G1219</x:f>
        <x:v>111.34000000000003</x:v>
      </x:c>
      <x:c r="I1219" s="14" t="str">
        <x:v>SMB</x:v>
      </x:c>
      <x:c r="J1219" s="14" t="str">
        <x:v>Midwest</x:v>
      </x:c>
    </x:row>
    <x:row r="1220">
      <x:c r="A1220" s="50" t="n">
        <x:v>46209</x:v>
      </x:c>
      <x:c r="B1220" s="14" t="str">
        <x:v>SKU-0009</x:v>
      </x:c>
      <x:c r="C1220" s="52" t="n">
        <x:v>4</x:v>
      </x:c>
      <x:c r="D1220" s="40" t="n">
        <x:v>17.36</x:v>
      </x:c>
      <x:c r="E1220" s="44" t="n">
        <x:f>C1220*D1220</x:f>
        <x:v>69.44</x:v>
      </x:c>
      <x:c r="F1220" s="40" t="n">
        <x:v>7.9</x:v>
      </x:c>
      <x:c r="G1220" s="44" t="n">
        <x:f>C1220*F1220</x:f>
        <x:v>31.6</x:v>
      </x:c>
      <x:c r="H1220" s="44" t="n">
        <x:f>E1220-G1220</x:f>
        <x:v>37.839999999999996</x:v>
      </x:c>
      <x:c r="I1220" s="14" t="str">
        <x:v>Enterprise</x:v>
      </x:c>
      <x:c r="J1220" s="14" t="str">
        <x:v>Southeast</x:v>
      </x:c>
    </x:row>
    <x:row r="1221">
      <x:c r="A1221" s="50" t="n">
        <x:v>45912</x:v>
      </x:c>
      <x:c r="B1221" s="14" t="str">
        <x:v>SKU-0128</x:v>
      </x:c>
      <x:c r="C1221" s="52" t="n">
        <x:v>4</x:v>
      </x:c>
      <x:c r="D1221" s="40" t="n">
        <x:v>120.65</x:v>
      </x:c>
      <x:c r="E1221" s="44" t="n">
        <x:f>C1221*D1221</x:f>
        <x:v>482.6</x:v>
      </x:c>
      <x:c r="F1221" s="40" t="n">
        <x:v>70.02</x:v>
      </x:c>
      <x:c r="G1221" s="44" t="n">
        <x:f>C1221*F1221</x:f>
        <x:v>280.08</x:v>
      </x:c>
      <x:c r="H1221" s="44" t="n">
        <x:f>E1221-G1221</x:f>
        <x:v>202.52000000000004</x:v>
      </x:c>
      <x:c r="I1221" s="14" t="str">
        <x:v>Enterprise</x:v>
      </x:c>
      <x:c r="J1221" s="14" t="str">
        <x:v>Midwest</x:v>
      </x:c>
    </x:row>
    <x:row r="1222">
      <x:c r="A1222" s="50" t="n">
        <x:v>46053</x:v>
      </x:c>
      <x:c r="B1222" s="14" t="str">
        <x:v>SKU-0092</x:v>
      </x:c>
      <x:c r="C1222" s="52" t="n">
        <x:v>3</x:v>
      </x:c>
      <x:c r="D1222" s="40" t="n">
        <x:v>167.03</x:v>
      </x:c>
      <x:c r="E1222" s="44" t="n">
        <x:f>C1222*D1222</x:f>
        <x:v>501.09000000000003</x:v>
      </x:c>
      <x:c r="F1222" s="40" t="n">
        <x:v>125.08</x:v>
      </x:c>
      <x:c r="G1222" s="44" t="n">
        <x:f>C1222*F1222</x:f>
        <x:v>375.24</x:v>
      </x:c>
      <x:c r="H1222" s="44" t="n">
        <x:f>E1222-G1222</x:f>
        <x:v>125.85000000000002</x:v>
      </x:c>
      <x:c r="I1222" s="14" t="str">
        <x:v>Internal Use</x:v>
      </x:c>
      <x:c r="J1222" s="14" t="str">
        <x:v>Northeast</x:v>
      </x:c>
    </x:row>
    <x:row r="1223">
      <x:c r="A1223" s="50" t="n">
        <x:v>46093</x:v>
      </x:c>
      <x:c r="B1223" s="14" t="str">
        <x:v>SKU-0135</x:v>
      </x:c>
      <x:c r="C1223" s="52" t="n">
        <x:v>12</x:v>
      </x:c>
      <x:c r="D1223" s="40" t="n">
        <x:v>323.04</x:v>
      </x:c>
      <x:c r="E1223" s="44" t="n">
        <x:f>C1223*D1223</x:f>
        <x:v>3876.4800000000005</x:v>
      </x:c>
      <x:c r="F1223" s="40" t="n">
        <x:v>275.11</x:v>
      </x:c>
      <x:c r="G1223" s="44" t="n">
        <x:f>C1223*F1223</x:f>
        <x:v>3301.32</x:v>
      </x:c>
      <x:c r="H1223" s="44" t="n">
        <x:f>E1223-G1223</x:f>
        <x:v>575.1600000000003</x:v>
      </x:c>
      <x:c r="I1223" s="14" t="str">
        <x:v>Enterprise</x:v>
      </x:c>
      <x:c r="J1223" s="14" t="str">
        <x:v>Southeast</x:v>
      </x:c>
    </x:row>
    <x:row r="1224">
      <x:c r="A1224" s="50" t="n">
        <x:v>45961</x:v>
      </x:c>
      <x:c r="B1224" s="14" t="str">
        <x:v>SKU-0115</x:v>
      </x:c>
      <x:c r="C1224" s="52" t="n">
        <x:v>5</x:v>
      </x:c>
      <x:c r="D1224" s="40" t="n">
        <x:v>35.27</x:v>
      </x:c>
      <x:c r="E1224" s="44" t="n">
        <x:f>C1224*D1224</x:f>
        <x:v>176.35000000000002</x:v>
      </x:c>
      <x:c r="F1224" s="40" t="n">
        <x:v>27.81</x:v>
      </x:c>
      <x:c r="G1224" s="44" t="n">
        <x:f>C1224*F1224</x:f>
        <x:v>139.04999999999998</x:v>
      </x:c>
      <x:c r="H1224" s="44" t="n">
        <x:f>E1224-G1224</x:f>
        <x:v>37.30000000000004</x:v>
      </x:c>
      <x:c r="I1224" s="14" t="str">
        <x:v>Enterprise</x:v>
      </x:c>
      <x:c r="J1224" s="14" t="str">
        <x:v>Northeast</x:v>
      </x:c>
    </x:row>
    <x:row r="1225">
      <x:c r="A1225" s="50" t="n">
        <x:v>46125</x:v>
      </x:c>
      <x:c r="B1225" s="14" t="str">
        <x:v>SKU-0058</x:v>
      </x:c>
      <x:c r="C1225" s="52" t="n">
        <x:v>5</x:v>
      </x:c>
      <x:c r="D1225" s="40" t="n">
        <x:v>386.47</x:v>
      </x:c>
      <x:c r="E1225" s="44" t="n">
        <x:f>C1225*D1225</x:f>
        <x:v>1932.3500000000001</x:v>
      </x:c>
      <x:c r="F1225" s="40" t="n">
        <x:v>226.78</x:v>
      </x:c>
      <x:c r="G1225" s="44" t="n">
        <x:f>C1225*F1225</x:f>
        <x:v>1133.9</x:v>
      </x:c>
      <x:c r="H1225" s="44" t="n">
        <x:f>E1225-G1225</x:f>
        <x:v>798.45</x:v>
      </x:c>
      <x:c r="I1225" s="14" t="str">
        <x:v>Distributor</x:v>
      </x:c>
      <x:c r="J1225" s="14" t="str">
        <x:v>Midwest</x:v>
      </x:c>
    </x:row>
    <x:row r="1226">
      <x:c r="A1226" s="50" t="n">
        <x:v>46204</x:v>
      </x:c>
      <x:c r="B1226" s="14" t="str">
        <x:v>SKU-0100</x:v>
      </x:c>
      <x:c r="C1226" s="52" t="n">
        <x:v>18</x:v>
      </x:c>
      <x:c r="D1226" s="40" t="n">
        <x:v>191.79</x:v>
      </x:c>
      <x:c r="E1226" s="44" t="n">
        <x:f>C1226*D1226</x:f>
        <x:v>3452.22</x:v>
      </x:c>
      <x:c r="F1226" s="40" t="n">
        <x:v>108.23</x:v>
      </x:c>
      <x:c r="G1226" s="44" t="n">
        <x:f>C1226*F1226</x:f>
        <x:v>1948.14</x:v>
      </x:c>
      <x:c r="H1226" s="44" t="n">
        <x:f>E1226-G1226</x:f>
        <x:v>1504.0799999999997</x:v>
      </x:c>
      <x:c r="I1226" s="14" t="str">
        <x:v>Internal Use</x:v>
      </x:c>
      <x:c r="J1226" s="14" t="str">
        <x:v>Northeast</x:v>
      </x:c>
    </x:row>
    <x:row r="1227">
      <x:c r="A1227" s="50" t="n">
        <x:v>45982</x:v>
      </x:c>
      <x:c r="B1227" s="14" t="str">
        <x:v>SKU-0011</x:v>
      </x:c>
      <x:c r="C1227" s="52" t="n">
        <x:v>10</x:v>
      </x:c>
      <x:c r="D1227" s="40" t="n">
        <x:v>371.15</x:v>
      </x:c>
      <x:c r="E1227" s="44" t="n">
        <x:f>C1227*D1227</x:f>
        <x:v>3711.5</x:v>
      </x:c>
      <x:c r="F1227" s="40" t="n">
        <x:v>244.6</x:v>
      </x:c>
      <x:c r="G1227" s="44" t="n">
        <x:f>C1227*F1227</x:f>
        <x:v>2446</x:v>
      </x:c>
      <x:c r="H1227" s="44" t="n">
        <x:f>E1227-G1227</x:f>
        <x:v>1265.5</x:v>
      </x:c>
      <x:c r="I1227" s="14" t="str">
        <x:v>Enterprise</x:v>
      </x:c>
      <x:c r="J1227" s="14" t="str">
        <x:v>Midwest</x:v>
      </x:c>
    </x:row>
    <x:row r="1228">
      <x:c r="A1228" s="50" t="n">
        <x:v>46177</x:v>
      </x:c>
      <x:c r="B1228" s="14" t="str">
        <x:v>SKU-0021</x:v>
      </x:c>
      <x:c r="C1228" s="52" t="n">
        <x:v>26</x:v>
      </x:c>
      <x:c r="D1228" s="40" t="n">
        <x:v>349.86</x:v>
      </x:c>
      <x:c r="E1228" s="44" t="n">
        <x:f>C1228*D1228</x:f>
        <x:v>9096.36</x:v>
      </x:c>
      <x:c r="F1228" s="40" t="n">
        <x:v>269.12</x:v>
      </x:c>
      <x:c r="G1228" s="44" t="n">
        <x:f>C1228*F1228</x:f>
        <x:v>6997.12</x:v>
      </x:c>
      <x:c r="H1228" s="44" t="n">
        <x:f>E1228-G1228</x:f>
        <x:v>2099.2400000000007</x:v>
      </x:c>
      <x:c r="I1228" s="14" t="str">
        <x:v>Internal Use</x:v>
      </x:c>
      <x:c r="J1228" s="14" t="str">
        <x:v>Southeast</x:v>
      </x:c>
    </x:row>
    <x:row r="1229">
      <x:c r="A1229" s="50" t="n">
        <x:v>46154</x:v>
      </x:c>
      <x:c r="B1229" s="14" t="str">
        <x:v>SKU-0039</x:v>
      </x:c>
      <x:c r="C1229" s="52" t="n">
        <x:v>11</x:v>
      </x:c>
      <x:c r="D1229" s="40" t="n">
        <x:v>217.58</x:v>
      </x:c>
      <x:c r="E1229" s="44" t="n">
        <x:f>C1229*D1229</x:f>
        <x:v>2393.38</x:v>
      </x:c>
      <x:c r="F1229" s="40" t="n">
        <x:v>125.1</x:v>
      </x:c>
      <x:c r="G1229" s="44" t="n">
        <x:f>C1229*F1229</x:f>
        <x:v>1376.1</x:v>
      </x:c>
      <x:c r="H1229" s="44" t="n">
        <x:f>E1229-G1229</x:f>
        <x:v>1017.2800000000002</x:v>
      </x:c>
      <x:c r="I1229" s="14" t="str">
        <x:v>Internal Use</x:v>
      </x:c>
      <x:c r="J1229" s="14" t="str">
        <x:v>Southeast</x:v>
      </x:c>
    </x:row>
    <x:row r="1230">
      <x:c r="A1230" s="50" t="n">
        <x:v>46191</x:v>
      </x:c>
      <x:c r="B1230" s="14" t="str">
        <x:v>SKU-0052</x:v>
      </x:c>
      <x:c r="C1230" s="52" t="n">
        <x:v>5</x:v>
      </x:c>
      <x:c r="D1230" s="40" t="n">
        <x:v>272.34</x:v>
      </x:c>
      <x:c r="E1230" s="44" t="n">
        <x:f>C1230*D1230</x:f>
        <x:v>1361.6999999999998</x:v>
      </x:c>
      <x:c r="F1230" s="40" t="n">
        <x:v>210.35</x:v>
      </x:c>
      <x:c r="G1230" s="44" t="n">
        <x:f>C1230*F1230</x:f>
        <x:v>1051.75</x:v>
      </x:c>
      <x:c r="H1230" s="44" t="n">
        <x:f>E1230-G1230</x:f>
        <x:v>309.9499999999998</x:v>
      </x:c>
      <x:c r="I1230" s="14" t="str">
        <x:v>Internal Use</x:v>
      </x:c>
      <x:c r="J1230" s="14" t="str">
        <x:v>Northeast</x:v>
      </x:c>
    </x:row>
    <x:row r="1231">
      <x:c r="A1231" s="50" t="n">
        <x:v>46111</x:v>
      </x:c>
      <x:c r="B1231" s="14" t="str">
        <x:v>SKU-0074</x:v>
      </x:c>
      <x:c r="C1231" s="52" t="n">
        <x:v>13</x:v>
      </x:c>
      <x:c r="D1231" s="40" t="n">
        <x:v>342.69</x:v>
      </x:c>
      <x:c r="E1231" s="44" t="n">
        <x:f>C1231*D1231</x:f>
        <x:v>4454.97</x:v>
      </x:c>
      <x:c r="F1231" s="40" t="n">
        <x:v>206.33</x:v>
      </x:c>
      <x:c r="G1231" s="44" t="n">
        <x:f>C1231*F1231</x:f>
        <x:v>2682.29</x:v>
      </x:c>
      <x:c r="H1231" s="44" t="n">
        <x:f>E1231-G1231</x:f>
        <x:v>1772.6800000000003</x:v>
      </x:c>
      <x:c r="I1231" s="14" t="str">
        <x:v>SMB</x:v>
      </x:c>
      <x:c r="J1231" s="14" t="str">
        <x:v>Northeast</x:v>
      </x:c>
    </x:row>
    <x:row r="1232">
      <x:c r="A1232" s="50" t="n">
        <x:v>46078</x:v>
      </x:c>
      <x:c r="B1232" s="14" t="str">
        <x:v>SKU-0011</x:v>
      </x:c>
      <x:c r="C1232" s="52" t="n">
        <x:v>45</x:v>
      </x:c>
      <x:c r="D1232" s="40" t="n">
        <x:v>387.58</x:v>
      </x:c>
      <x:c r="E1232" s="44" t="n">
        <x:f>C1232*D1232</x:f>
        <x:v>17441.1</x:v>
      </x:c>
      <x:c r="F1232" s="40" t="n">
        <x:v>244.6</x:v>
      </x:c>
      <x:c r="G1232" s="44" t="n">
        <x:f>C1232*F1232</x:f>
        <x:v>11007</x:v>
      </x:c>
      <x:c r="H1232" s="44" t="n">
        <x:f>E1232-G1232</x:f>
        <x:v>6434.0999999999985</x:v>
      </x:c>
      <x:c r="I1232" s="14" t="str">
        <x:v>SMB</x:v>
      </x:c>
      <x:c r="J1232" s="14" t="str">
        <x:v>Midwest</x:v>
      </x:c>
    </x:row>
    <x:row r="1233">
      <x:c r="A1233" s="50" t="n">
        <x:v>46183</x:v>
      </x:c>
      <x:c r="B1233" s="14" t="str">
        <x:v>SKU-0055</x:v>
      </x:c>
      <x:c r="C1233" s="52" t="n">
        <x:v>17</x:v>
      </x:c>
      <x:c r="D1233" s="40" t="n">
        <x:v>323.4</x:v>
      </x:c>
      <x:c r="E1233" s="44" t="n">
        <x:f>C1233*D1233</x:f>
        <x:v>5497.799999999999</x:v>
      </x:c>
      <x:c r="F1233" s="40" t="n">
        <x:v>263.76</x:v>
      </x:c>
      <x:c r="G1233" s="44" t="n">
        <x:f>C1233*F1233</x:f>
        <x:v>4483.92</x:v>
      </x:c>
      <x:c r="H1233" s="44" t="n">
        <x:f>E1233-G1233</x:f>
        <x:v>1013.8799999999992</x:v>
      </x:c>
      <x:c r="I1233" s="14" t="str">
        <x:v>SMB</x:v>
      </x:c>
      <x:c r="J1233" s="14" t="str">
        <x:v>Midwest</x:v>
      </x:c>
    </x:row>
    <x:row r="1234">
      <x:c r="A1234" s="50" t="n">
        <x:v>46141</x:v>
      </x:c>
      <x:c r="B1234" s="14" t="str">
        <x:v>SKU-0056</x:v>
      </x:c>
      <x:c r="C1234" s="52" t="n">
        <x:v>7</x:v>
      </x:c>
      <x:c r="D1234" s="40" t="n">
        <x:v>337.89</x:v>
      </x:c>
      <x:c r="E1234" s="44" t="n">
        <x:f>C1234*D1234</x:f>
        <x:v>2365.23</x:v>
      </x:c>
      <x:c r="F1234" s="40" t="n">
        <x:v>219.68</x:v>
      </x:c>
      <x:c r="G1234" s="44" t="n">
        <x:f>C1234*F1234</x:f>
        <x:v>1537.76</x:v>
      </x:c>
      <x:c r="H1234" s="44" t="n">
        <x:f>E1234-G1234</x:f>
        <x:v>827.47</x:v>
      </x:c>
      <x:c r="I1234" s="14" t="str">
        <x:v>SMB</x:v>
      </x:c>
      <x:c r="J1234" s="14" t="str">
        <x:v>West</x:v>
      </x:c>
    </x:row>
    <x:row r="1235">
      <x:c r="A1235" s="50" t="n">
        <x:v>46167</x:v>
      </x:c>
      <x:c r="B1235" s="14" t="str">
        <x:v>SKU-0123</x:v>
      </x:c>
      <x:c r="C1235" s="52" t="n">
        <x:v>17</x:v>
      </x:c>
      <x:c r="D1235" s="40" t="n">
        <x:v>172.36</x:v>
      </x:c>
      <x:c r="E1235" s="44" t="n">
        <x:f>C1235*D1235</x:f>
        <x:v>2930.1200000000003</x:v>
      </x:c>
      <x:c r="F1235" s="40" t="n">
        <x:v>121.8</x:v>
      </x:c>
      <x:c r="G1235" s="44" t="n">
        <x:f>C1235*F1235</x:f>
        <x:v>2070.6</x:v>
      </x:c>
      <x:c r="H1235" s="44" t="n">
        <x:f>E1235-G1235</x:f>
        <x:v>859.5200000000004</x:v>
      </x:c>
      <x:c r="I1235" s="14" t="str">
        <x:v>SMB</x:v>
      </x:c>
      <x:c r="J1235" s="14" t="str">
        <x:v>Northeast</x:v>
      </x:c>
    </x:row>
    <x:row r="1236">
      <x:c r="A1236" s="50" t="n">
        <x:v>45880</x:v>
      </x:c>
      <x:c r="B1236" s="14" t="str">
        <x:v>SKU-0028</x:v>
      </x:c>
      <x:c r="C1236" s="52" t="n">
        <x:v>32</x:v>
      </x:c>
      <x:c r="D1236" s="40" t="n">
        <x:v>373.63</x:v>
      </x:c>
      <x:c r="E1236" s="44" t="n">
        <x:f>C1236*D1236</x:f>
        <x:v>11956.16</x:v>
      </x:c>
      <x:c r="F1236" s="40" t="n">
        <x:v>274.39</x:v>
      </x:c>
      <x:c r="G1236" s="44" t="n">
        <x:f>C1236*F1236</x:f>
        <x:v>8780.48</x:v>
      </x:c>
      <x:c r="H1236" s="44" t="n">
        <x:f>E1236-G1236</x:f>
        <x:v>3175.6800000000003</x:v>
      </x:c>
      <x:c r="I1236" s="14" t="str">
        <x:v>Distributor</x:v>
      </x:c>
      <x:c r="J1236" s="14" t="str">
        <x:v>Northeast</x:v>
      </x:c>
    </x:row>
    <x:row r="1237">
      <x:c r="A1237" s="50" t="n">
        <x:v>46107</x:v>
      </x:c>
      <x:c r="B1237" s="14" t="str">
        <x:v>SKU-0078</x:v>
      </x:c>
      <x:c r="C1237" s="52" t="n">
        <x:v>6</x:v>
      </x:c>
      <x:c r="D1237" s="40" t="n">
        <x:v>26.45</x:v>
      </x:c>
      <x:c r="E1237" s="44" t="n">
        <x:f>C1237*D1237</x:f>
        <x:v>158.7</x:v>
      </x:c>
      <x:c r="F1237" s="40" t="n">
        <x:v>17.54</x:v>
      </x:c>
      <x:c r="G1237" s="44" t="n">
        <x:f>C1237*F1237</x:f>
        <x:v>105.24</x:v>
      </x:c>
      <x:c r="H1237" s="44" t="n">
        <x:f>E1237-G1237</x:f>
        <x:v>53.459999999999994</x:v>
      </x:c>
      <x:c r="I1237" s="14" t="str">
        <x:v>Enterprise</x:v>
      </x:c>
      <x:c r="J1237" s="14" t="str">
        <x:v>Midwest</x:v>
      </x:c>
    </x:row>
    <x:row r="1238">
      <x:c r="A1238" s="50" t="n">
        <x:v>46210</x:v>
      </x:c>
      <x:c r="B1238" s="14" t="str">
        <x:v>SKU-0056</x:v>
      </x:c>
      <x:c r="C1238" s="52" t="n">
        <x:v>4</x:v>
      </x:c>
      <x:c r="D1238" s="40" t="n">
        <x:v>332.68</x:v>
      </x:c>
      <x:c r="E1238" s="44" t="n">
        <x:f>C1238*D1238</x:f>
        <x:v>1330.72</x:v>
      </x:c>
      <x:c r="F1238" s="40" t="n">
        <x:v>219.68</x:v>
      </x:c>
      <x:c r="G1238" s="44" t="n">
        <x:f>C1238*F1238</x:f>
        <x:v>878.72</x:v>
      </x:c>
      <x:c r="H1238" s="44" t="n">
        <x:f>E1238-G1238</x:f>
        <x:v>452</x:v>
      </x:c>
      <x:c r="I1238" s="14" t="str">
        <x:v>Enterprise</x:v>
      </x:c>
      <x:c r="J1238" s="14" t="str">
        <x:v>Midwest</x:v>
      </x:c>
    </x:row>
    <x:row r="1239">
      <x:c r="A1239" s="50" t="n">
        <x:v>46214</x:v>
      </x:c>
      <x:c r="B1239" s="14" t="str">
        <x:v>SKU-0107</x:v>
      </x:c>
      <x:c r="C1239" s="52" t="n">
        <x:v>19</x:v>
      </x:c>
      <x:c r="D1239" s="40" t="n">
        <x:v>404.76</x:v>
      </x:c>
      <x:c r="E1239" s="44" t="n">
        <x:f>C1239*D1239</x:f>
        <x:v>7690.44</x:v>
      </x:c>
      <x:c r="F1239" s="40" t="n">
        <x:v>217.39</x:v>
      </x:c>
      <x:c r="G1239" s="44" t="n">
        <x:f>C1239*F1239</x:f>
        <x:v>4130.41</x:v>
      </x:c>
      <x:c r="H1239" s="44" t="n">
        <x:f>E1239-G1239</x:f>
        <x:v>3560.0299999999997</x:v>
      </x:c>
      <x:c r="I1239" s="14" t="str">
        <x:v>SMB</x:v>
      </x:c>
      <x:c r="J1239" s="14" t="str">
        <x:v>Northeast</x:v>
      </x:c>
    </x:row>
    <x:row r="1240">
      <x:c r="A1240" s="50" t="n">
        <x:v>46123</x:v>
      </x:c>
      <x:c r="B1240" s="14" t="str">
        <x:v>SKU-0008</x:v>
      </x:c>
      <x:c r="C1240" s="52" t="n">
        <x:v>5</x:v>
      </x:c>
      <x:c r="D1240" s="40" t="n">
        <x:v>195.33</x:v>
      </x:c>
      <x:c r="E1240" s="44" t="n">
        <x:f>C1240*D1240</x:f>
        <x:v>976.6500000000001</x:v>
      </x:c>
      <x:c r="F1240" s="40" t="n">
        <x:v>143.38</x:v>
      </x:c>
      <x:c r="G1240" s="44" t="n">
        <x:f>C1240*F1240</x:f>
        <x:v>716.9</x:v>
      </x:c>
      <x:c r="H1240" s="44" t="n">
        <x:f>E1240-G1240</x:f>
        <x:v>259.7500000000001</x:v>
      </x:c>
      <x:c r="I1240" s="14" t="str">
        <x:v>Internal Use</x:v>
      </x:c>
      <x:c r="J1240" s="14" t="str">
        <x:v>Midwest</x:v>
      </x:c>
    </x:row>
    <x:row r="1241">
      <x:c r="A1241" s="50" t="n">
        <x:v>45891</x:v>
      </x:c>
      <x:c r="B1241" s="14" t="str">
        <x:v>SKU-0070</x:v>
      </x:c>
      <x:c r="C1241" s="52" t="n">
        <x:v>15</x:v>
      </x:c>
      <x:c r="D1241" s="40" t="n">
        <x:v>116.37</x:v>
      </x:c>
      <x:c r="E1241" s="44" t="n">
        <x:f>C1241*D1241</x:f>
        <x:v>1745.5500000000002</x:v>
      </x:c>
      <x:c r="F1241" s="40" t="n">
        <x:v>69.06</x:v>
      </x:c>
      <x:c r="G1241" s="44" t="n">
        <x:f>C1241*F1241</x:f>
        <x:v>1035.9</x:v>
      </x:c>
      <x:c r="H1241" s="44" t="n">
        <x:f>E1241-G1241</x:f>
        <x:v>709.6500000000001</x:v>
      </x:c>
      <x:c r="I1241" s="14" t="str">
        <x:v>SMB</x:v>
      </x:c>
      <x:c r="J1241" s="14" t="str">
        <x:v>Southeast</x:v>
      </x:c>
    </x:row>
    <x:row r="1242">
      <x:c r="A1242" s="50" t="n">
        <x:v>46083</x:v>
      </x:c>
      <x:c r="B1242" s="14" t="str">
        <x:v>SKU-0017</x:v>
      </x:c>
      <x:c r="C1242" s="52" t="n">
        <x:v>11</x:v>
      </x:c>
      <x:c r="D1242" s="40" t="n">
        <x:v>155.3</x:v>
      </x:c>
      <x:c r="E1242" s="44" t="n">
        <x:f>C1242*D1242</x:f>
        <x:v>1708.3000000000002</x:v>
      </x:c>
      <x:c r="F1242" s="40" t="n">
        <x:v>71.82</x:v>
      </x:c>
      <x:c r="G1242" s="44" t="n">
        <x:f>C1242*F1242</x:f>
        <x:v>790.02</x:v>
      </x:c>
      <x:c r="H1242" s="44" t="n">
        <x:f>E1242-G1242</x:f>
        <x:v>918.2800000000002</x:v>
      </x:c>
      <x:c r="I1242" s="14" t="str">
        <x:v>Internal Use</x:v>
      </x:c>
      <x:c r="J1242" s="14" t="str">
        <x:v>West</x:v>
      </x:c>
    </x:row>
    <x:row r="1243">
      <x:c r="A1243" s="50" t="n">
        <x:v>45886</x:v>
      </x:c>
      <x:c r="B1243" s="14" t="str">
        <x:v>SKU-0045</x:v>
      </x:c>
      <x:c r="C1243" s="52" t="n">
        <x:v>10</x:v>
      </x:c>
      <x:c r="D1243" s="40" t="n">
        <x:v>97.27</x:v>
      </x:c>
      <x:c r="E1243" s="44" t="n">
        <x:f>C1243*D1243</x:f>
        <x:v>972.6999999999999</x:v>
      </x:c>
      <x:c r="F1243" s="40" t="n">
        <x:v>68.89</x:v>
      </x:c>
      <x:c r="G1243" s="44" t="n">
        <x:f>C1243*F1243</x:f>
        <x:v>688.9</x:v>
      </x:c>
      <x:c r="H1243" s="44" t="n">
        <x:f>E1243-G1243</x:f>
        <x:v>283.79999999999995</x:v>
      </x:c>
      <x:c r="I1243" s="14" t="str">
        <x:v>Distributor</x:v>
      </x:c>
      <x:c r="J1243" s="14" t="str">
        <x:v>Midwest</x:v>
      </x:c>
    </x:row>
    <x:row r="1244">
      <x:c r="A1244" s="50" t="n">
        <x:v>45983</x:v>
      </x:c>
      <x:c r="B1244" s="14" t="str">
        <x:v>SKU-0123</x:v>
      </x:c>
      <x:c r="C1244" s="52" t="n">
        <x:v>4</x:v>
      </x:c>
      <x:c r="D1244" s="40" t="n">
        <x:v>155.17</x:v>
      </x:c>
      <x:c r="E1244" s="44" t="n">
        <x:f>C1244*D1244</x:f>
        <x:v>620.68</x:v>
      </x:c>
      <x:c r="F1244" s="40" t="n">
        <x:v>121.8</x:v>
      </x:c>
      <x:c r="G1244" s="44" t="n">
        <x:f>C1244*F1244</x:f>
        <x:v>487.2</x:v>
      </x:c>
      <x:c r="H1244" s="44" t="n">
        <x:f>E1244-G1244</x:f>
        <x:v>133.47999999999996</x:v>
      </x:c>
      <x:c r="I1244" s="14" t="str">
        <x:v>Enterprise</x:v>
      </x:c>
      <x:c r="J1244" s="14" t="str">
        <x:v>West</x:v>
      </x:c>
    </x:row>
    <x:row r="1245">
      <x:c r="A1245" s="50" t="n">
        <x:v>46239</x:v>
      </x:c>
      <x:c r="B1245" s="14" t="str">
        <x:v>SKU-0144</x:v>
      </x:c>
      <x:c r="C1245" s="52" t="n">
        <x:v>8</x:v>
      </x:c>
      <x:c r="D1245" s="40" t="n">
        <x:v>163.1</x:v>
      </x:c>
      <x:c r="E1245" s="44" t="n">
        <x:f>C1245*D1245</x:f>
        <x:v>1304.8</x:v>
      </x:c>
      <x:c r="F1245" s="40" t="n">
        <x:v>68.87</x:v>
      </x:c>
      <x:c r="G1245" s="44" t="n">
        <x:f>C1245*F1245</x:f>
        <x:v>550.96</x:v>
      </x:c>
      <x:c r="H1245" s="44" t="n">
        <x:f>E1245-G1245</x:f>
        <x:v>753.8399999999999</x:v>
      </x:c>
      <x:c r="I1245" s="14" t="str">
        <x:v>Enterprise</x:v>
      </x:c>
      <x:c r="J1245" s="14" t="str">
        <x:v>Midwest</x:v>
      </x:c>
    </x:row>
    <x:row r="1246">
      <x:c r="A1246" s="50" t="n">
        <x:v>45925</x:v>
      </x:c>
      <x:c r="B1246" s="14" t="str">
        <x:v>SKU-0094</x:v>
      </x:c>
      <x:c r="C1246" s="52" t="n">
        <x:v>11</x:v>
      </x:c>
      <x:c r="D1246" s="40" t="n">
        <x:v>9.73</x:v>
      </x:c>
      <x:c r="E1246" s="44" t="n">
        <x:f>C1246*D1246</x:f>
        <x:v>107.03</x:v>
      </x:c>
      <x:c r="F1246" s="40" t="n">
        <x:v>4.75</x:v>
      </x:c>
      <x:c r="G1246" s="44" t="n">
        <x:f>C1246*F1246</x:f>
        <x:v>52.25</x:v>
      </x:c>
      <x:c r="H1246" s="44" t="n">
        <x:f>E1246-G1246</x:f>
        <x:v>54.78</x:v>
      </x:c>
      <x:c r="I1246" s="14" t="str">
        <x:v>SMB</x:v>
      </x:c>
      <x:c r="J1246" s="14" t="str">
        <x:v>Midwest</x:v>
      </x:c>
    </x:row>
    <x:row r="1247">
      <x:c r="A1247" s="50" t="n">
        <x:v>46162</x:v>
      </x:c>
      <x:c r="B1247" s="14" t="str">
        <x:v>SKU-0096</x:v>
      </x:c>
      <x:c r="C1247" s="52" t="n">
        <x:v>9</x:v>
      </x:c>
      <x:c r="D1247" s="40" t="n">
        <x:v>51.56</x:v>
      </x:c>
      <x:c r="E1247" s="44" t="n">
        <x:f>C1247*D1247</x:f>
        <x:v>464.04</x:v>
      </x:c>
      <x:c r="F1247" s="40" t="n">
        <x:v>29.46</x:v>
      </x:c>
      <x:c r="G1247" s="44" t="n">
        <x:f>C1247*F1247</x:f>
        <x:v>265.14</x:v>
      </x:c>
      <x:c r="H1247" s="44" t="n">
        <x:f>E1247-G1247</x:f>
        <x:v>198.90000000000003</x:v>
      </x:c>
      <x:c r="I1247" s="14" t="str">
        <x:v>Internal Use</x:v>
      </x:c>
      <x:c r="J1247" s="14" t="str">
        <x:v>Southeast</x:v>
      </x:c>
    </x:row>
    <x:row r="1248">
      <x:c r="A1248" s="50" t="n">
        <x:v>46085</x:v>
      </x:c>
      <x:c r="B1248" s="14" t="str">
        <x:v>SKU-0149</x:v>
      </x:c>
      <x:c r="C1248" s="52" t="n">
        <x:v>13</x:v>
      </x:c>
      <x:c r="D1248" s="40" t="n">
        <x:v>407.78</x:v>
      </x:c>
      <x:c r="E1248" s="44" t="n">
        <x:f>C1248*D1248</x:f>
        <x:v>5301.139999999999</x:v>
      </x:c>
      <x:c r="F1248" s="40" t="n">
        <x:v>257.08</x:v>
      </x:c>
      <x:c r="G1248" s="44" t="n">
        <x:f>C1248*F1248</x:f>
        <x:v>3342.04</x:v>
      </x:c>
      <x:c r="H1248" s="44" t="n">
        <x:f>E1248-G1248</x:f>
        <x:v>1959.0999999999995</x:v>
      </x:c>
      <x:c r="I1248" s="14" t="str">
        <x:v>Internal Use</x:v>
      </x:c>
      <x:c r="J1248" s="14" t="str">
        <x:v>West</x:v>
      </x:c>
    </x:row>
    <x:row r="1249">
      <x:c r="A1249" s="50" t="n">
        <x:v>46101</x:v>
      </x:c>
      <x:c r="B1249" s="14" t="str">
        <x:v>SKU-0093</x:v>
      </x:c>
      <x:c r="C1249" s="52" t="n">
        <x:v>4</x:v>
      </x:c>
      <x:c r="D1249" s="40" t="n">
        <x:v>283.42</x:v>
      </x:c>
      <x:c r="E1249" s="44" t="n">
        <x:f>C1249*D1249</x:f>
        <x:v>1133.68</x:v>
      </x:c>
      <x:c r="F1249" s="40" t="n">
        <x:v>239.3</x:v>
      </x:c>
      <x:c r="G1249" s="44" t="n">
        <x:f>C1249*F1249</x:f>
        <x:v>957.2</x:v>
      </x:c>
      <x:c r="H1249" s="44" t="n">
        <x:f>E1249-G1249</x:f>
        <x:v>176.48000000000002</x:v>
      </x:c>
      <x:c r="I1249" s="14" t="str">
        <x:v>Distributor</x:v>
      </x:c>
      <x:c r="J1249" s="14" t="str">
        <x:v>West</x:v>
      </x:c>
    </x:row>
    <x:row r="1250">
      <x:c r="A1250" s="50" t="n">
        <x:v>46156</x:v>
      </x:c>
      <x:c r="B1250" s="14" t="str">
        <x:v>SKU-0116</x:v>
      </x:c>
      <x:c r="C1250" s="52" t="n">
        <x:v>16</x:v>
      </x:c>
      <x:c r="D1250" s="40" t="n">
        <x:v>48.65</x:v>
      </x:c>
      <x:c r="E1250" s="44" t="n">
        <x:f>C1250*D1250</x:f>
        <x:v>778.4</x:v>
      </x:c>
      <x:c r="F1250" s="40" t="n">
        <x:v>36.42</x:v>
      </x:c>
      <x:c r="G1250" s="44" t="n">
        <x:f>C1250*F1250</x:f>
        <x:v>582.72</x:v>
      </x:c>
      <x:c r="H1250" s="44" t="n">
        <x:f>E1250-G1250</x:f>
        <x:v>195.67999999999995</x:v>
      </x:c>
      <x:c r="I1250" s="14" t="str">
        <x:v>SMB</x:v>
      </x:c>
      <x:c r="J1250" s="14" t="str">
        <x:v>Midwest</x:v>
      </x:c>
    </x:row>
    <x:row r="1251">
      <x:c r="A1251" s="50" t="n">
        <x:v>46203</x:v>
      </x:c>
      <x:c r="B1251" s="14" t="str">
        <x:v>SKU-0139</x:v>
      </x:c>
      <x:c r="C1251" s="52" t="n">
        <x:v>15</x:v>
      </x:c>
      <x:c r="D1251" s="40" t="n">
        <x:v>285.68</x:v>
      </x:c>
      <x:c r="E1251" s="44" t="n">
        <x:f>C1251*D1251</x:f>
        <x:v>4285.2</x:v>
      </x:c>
      <x:c r="F1251" s="40" t="n">
        <x:v>157.6</x:v>
      </x:c>
      <x:c r="G1251" s="44" t="n">
        <x:f>C1251*F1251</x:f>
        <x:v>2364</x:v>
      </x:c>
      <x:c r="H1251" s="44" t="n">
        <x:f>E1251-G1251</x:f>
        <x:v>1921.1999999999998</x:v>
      </x:c>
      <x:c r="I1251" s="14" t="str">
        <x:v>SMB</x:v>
      </x:c>
      <x:c r="J1251" s="14" t="str">
        <x:v>Southeast</x:v>
      </x:c>
    </x:row>
    <x:row r="1252">
      <x:c r="A1252" s="50" t="n">
        <x:v>45921</x:v>
      </x:c>
      <x:c r="B1252" s="14" t="str">
        <x:v>SKU-0102</x:v>
      </x:c>
      <x:c r="C1252" s="52" t="n">
        <x:v>9</x:v>
      </x:c>
      <x:c r="D1252" s="40" t="n">
        <x:v>338.23</x:v>
      </x:c>
      <x:c r="E1252" s="44" t="n">
        <x:f>C1252*D1252</x:f>
        <x:v>3044.07</x:v>
      </x:c>
      <x:c r="F1252" s="40" t="n">
        <x:v>278.87</x:v>
      </x:c>
      <x:c r="G1252" s="44" t="n">
        <x:f>C1252*F1252</x:f>
        <x:v>2509.83</x:v>
      </x:c>
      <x:c r="H1252" s="44" t="n">
        <x:f>E1252-G1252</x:f>
        <x:v>534.2400000000002</x:v>
      </x:c>
      <x:c r="I1252" s="14" t="str">
        <x:v>SMB</x:v>
      </x:c>
      <x:c r="J1252" s="14" t="str">
        <x:v>Southeast</x:v>
      </x:c>
    </x:row>
    <x:row r="1253">
      <x:c r="A1253" s="50" t="n">
        <x:v>46130</x:v>
      </x:c>
      <x:c r="B1253" s="14" t="str">
        <x:v>SKU-0086</x:v>
      </x:c>
      <x:c r="C1253" s="52" t="n">
        <x:v>22</x:v>
      </x:c>
      <x:c r="D1253" s="40" t="n">
        <x:v>223.47</x:v>
      </x:c>
      <x:c r="E1253" s="44" t="n">
        <x:f>C1253*D1253</x:f>
        <x:v>4916.34</x:v>
      </x:c>
      <x:c r="F1253" s="40" t="n">
        <x:v>148.45</x:v>
      </x:c>
      <x:c r="G1253" s="44" t="n">
        <x:f>C1253*F1253</x:f>
        <x:v>3265.8999999999996</x:v>
      </x:c>
      <x:c r="H1253" s="44" t="n">
        <x:f>E1253-G1253</x:f>
        <x:v>1650.4400000000005</x:v>
      </x:c>
      <x:c r="I1253" s="14" t="str">
        <x:v>Internal Use</x:v>
      </x:c>
      <x:c r="J1253" s="14" t="str">
        <x:v>Southeast</x:v>
      </x:c>
    </x:row>
    <x:row r="1254">
      <x:c r="A1254" s="50" t="n">
        <x:v>46059</x:v>
      </x:c>
      <x:c r="B1254" s="14" t="str">
        <x:v>SKU-0148</x:v>
      </x:c>
      <x:c r="C1254" s="52" t="n">
        <x:v>27</x:v>
      </x:c>
      <x:c r="D1254" s="40" t="n">
        <x:v>435.65</x:v>
      </x:c>
      <x:c r="E1254" s="44" t="n">
        <x:f>C1254*D1254</x:f>
        <x:v>11762.55</x:v>
      </x:c>
      <x:c r="F1254" s="40" t="n">
        <x:v>278.48</x:v>
      </x:c>
      <x:c r="G1254" s="44" t="n">
        <x:f>C1254*F1254</x:f>
        <x:v>7518.960000000001</x:v>
      </x:c>
      <x:c r="H1254" s="44" t="n">
        <x:f>E1254-G1254</x:f>
        <x:v>4243.589999999998</x:v>
      </x:c>
      <x:c r="I1254" s="14" t="str">
        <x:v>SMB</x:v>
      </x:c>
      <x:c r="J1254" s="14" t="str">
        <x:v>West</x:v>
      </x:c>
    </x:row>
    <x:row r="1255">
      <x:c r="A1255" s="50" t="n">
        <x:v>46235</x:v>
      </x:c>
      <x:c r="B1255" s="14" t="str">
        <x:v>SKU-0040</x:v>
      </x:c>
      <x:c r="C1255" s="52" t="n">
        <x:v>17</x:v>
      </x:c>
      <x:c r="D1255" s="40" t="n">
        <x:v>397.79</x:v>
      </x:c>
      <x:c r="E1255" s="44" t="n">
        <x:f>C1255*D1255</x:f>
        <x:v>6762.43</x:v>
      </x:c>
      <x:c r="F1255" s="40" t="n">
        <x:v>229.61</x:v>
      </x:c>
      <x:c r="G1255" s="44" t="n">
        <x:f>C1255*F1255</x:f>
        <x:v>3903.3700000000003</x:v>
      </x:c>
      <x:c r="H1255" s="44" t="n">
        <x:f>E1255-G1255</x:f>
        <x:v>2859.06</x:v>
      </x:c>
      <x:c r="I1255" s="14" t="str">
        <x:v>Enterprise</x:v>
      </x:c>
      <x:c r="J1255" s="14" t="str">
        <x:v>West</x:v>
      </x:c>
    </x:row>
    <x:row r="1256">
      <x:c r="A1256" s="50" t="n">
        <x:v>45916</x:v>
      </x:c>
      <x:c r="B1256" s="14" t="str">
        <x:v>SKU-0037</x:v>
      </x:c>
      <x:c r="C1256" s="52" t="n">
        <x:v>13</x:v>
      </x:c>
      <x:c r="D1256" s="40" t="n">
        <x:v>178.11</x:v>
      </x:c>
      <x:c r="E1256" s="44" t="n">
        <x:f>C1256*D1256</x:f>
        <x:v>2315.4300000000003</x:v>
      </x:c>
      <x:c r="F1256" s="40" t="n">
        <x:v>115.83</x:v>
      </x:c>
      <x:c r="G1256" s="44" t="n">
        <x:f>C1256*F1256</x:f>
        <x:v>1505.79</x:v>
      </x:c>
      <x:c r="H1256" s="44" t="n">
        <x:f>E1256-G1256</x:f>
        <x:v>809.6400000000003</x:v>
      </x:c>
      <x:c r="I1256" s="14" t="str">
        <x:v>Distributor</x:v>
      </x:c>
      <x:c r="J1256" s="14" t="str">
        <x:v>Southeast</x:v>
      </x:c>
    </x:row>
    <x:row r="1257">
      <x:c r="A1257" s="50" t="n">
        <x:v>46206</x:v>
      </x:c>
      <x:c r="B1257" s="14" t="str">
        <x:v>SKU-0139</x:v>
      </x:c>
      <x:c r="C1257" s="52" t="n">
        <x:v>4</x:v>
      </x:c>
      <x:c r="D1257" s="40" t="n">
        <x:v>284.73</x:v>
      </x:c>
      <x:c r="E1257" s="44" t="n">
        <x:f>C1257*D1257</x:f>
        <x:v>1138.92</x:v>
      </x:c>
      <x:c r="F1257" s="40" t="n">
        <x:v>157.6</x:v>
      </x:c>
      <x:c r="G1257" s="44" t="n">
        <x:f>C1257*F1257</x:f>
        <x:v>630.4</x:v>
      </x:c>
      <x:c r="H1257" s="44" t="n">
        <x:f>E1257-G1257</x:f>
        <x:v>508.5200000000001</x:v>
      </x:c>
      <x:c r="I1257" s="14" t="str">
        <x:v>Enterprise</x:v>
      </x:c>
      <x:c r="J1257" s="14" t="str">
        <x:v>Northeast</x:v>
      </x:c>
    </x:row>
    <x:row r="1258">
      <x:c r="A1258" s="50" t="n">
        <x:v>46111</x:v>
      </x:c>
      <x:c r="B1258" s="14" t="str">
        <x:v>SKU-0065</x:v>
      </x:c>
      <x:c r="C1258" s="52" t="n">
        <x:v>26</x:v>
      </x:c>
      <x:c r="D1258" s="40" t="n">
        <x:v>61.24</x:v>
      </x:c>
      <x:c r="E1258" s="44" t="n">
        <x:f>C1258*D1258</x:f>
        <x:v>1592.24</x:v>
      </x:c>
      <x:c r="F1258" s="40" t="n">
        <x:v>52.3</x:v>
      </x:c>
      <x:c r="G1258" s="44" t="n">
        <x:f>C1258*F1258</x:f>
        <x:v>1359.8</x:v>
      </x:c>
      <x:c r="H1258" s="44" t="n">
        <x:f>E1258-G1258</x:f>
        <x:v>232.44000000000005</x:v>
      </x:c>
      <x:c r="I1258" s="14" t="str">
        <x:v>Internal Use</x:v>
      </x:c>
      <x:c r="J1258" s="14" t="str">
        <x:v>Northeast</x:v>
      </x:c>
    </x:row>
    <x:row r="1259">
      <x:c r="A1259" s="50" t="n">
        <x:v>46055</x:v>
      </x:c>
      <x:c r="B1259" s="14" t="str">
        <x:v>SKU-0077</x:v>
      </x:c>
      <x:c r="C1259" s="52" t="n">
        <x:v>7</x:v>
      </x:c>
      <x:c r="D1259" s="40" t="n">
        <x:v>15.58</x:v>
      </x:c>
      <x:c r="E1259" s="44" t="n">
        <x:f>C1259*D1259</x:f>
        <x:v>109.06</x:v>
      </x:c>
      <x:c r="F1259" s="40" t="n">
        <x:v>12.68</x:v>
      </x:c>
      <x:c r="G1259" s="44" t="n">
        <x:f>C1259*F1259</x:f>
        <x:v>88.75999999999999</x:v>
      </x:c>
      <x:c r="H1259" s="44" t="n">
        <x:f>E1259-G1259</x:f>
        <x:v>20.30000000000001</x:v>
      </x:c>
      <x:c r="I1259" s="14" t="str">
        <x:v>Internal Use</x:v>
      </x:c>
      <x:c r="J1259" s="14" t="str">
        <x:v>Northeast</x:v>
      </x:c>
    </x:row>
    <x:row r="1260">
      <x:c r="A1260" s="50" t="n">
        <x:v>45896</x:v>
      </x:c>
      <x:c r="B1260" s="14" t="str">
        <x:v>SKU-0126</x:v>
      </x:c>
      <x:c r="C1260" s="52" t="n">
        <x:v>9</x:v>
      </x:c>
      <x:c r="D1260" s="40" t="n">
        <x:v>16</x:v>
      </x:c>
      <x:c r="E1260" s="44" t="n">
        <x:f>C1260*D1260</x:f>
        <x:v>144</x:v>
      </x:c>
      <x:c r="F1260" s="40" t="n">
        <x:v>7.7</x:v>
      </x:c>
      <x:c r="G1260" s="44" t="n">
        <x:f>C1260*F1260</x:f>
        <x:v>69.3</x:v>
      </x:c>
      <x:c r="H1260" s="44" t="n">
        <x:f>E1260-G1260</x:f>
        <x:v>74.7</x:v>
      </x:c>
      <x:c r="I1260" s="14" t="str">
        <x:v>Internal Use</x:v>
      </x:c>
      <x:c r="J1260" s="14" t="str">
        <x:v>West</x:v>
      </x:c>
    </x:row>
    <x:row r="1261">
      <x:c r="A1261" s="50" t="n">
        <x:v>45930</x:v>
      </x:c>
      <x:c r="B1261" s="14" t="str">
        <x:v>SKU-0138</x:v>
      </x:c>
      <x:c r="C1261" s="52" t="n">
        <x:v>6</x:v>
      </x:c>
      <x:c r="D1261" s="40" t="n">
        <x:v>424.98</x:v>
      </x:c>
      <x:c r="E1261" s="44" t="n">
        <x:f>C1261*D1261</x:f>
        <x:v>2549.88</x:v>
      </x:c>
      <x:c r="F1261" s="40" t="n">
        <x:v>186.65</x:v>
      </x:c>
      <x:c r="G1261" s="44" t="n">
        <x:f>C1261*F1261</x:f>
        <x:v>1119.9</x:v>
      </x:c>
      <x:c r="H1261" s="44" t="n">
        <x:f>E1261-G1261</x:f>
        <x:v>1429.98</x:v>
      </x:c>
      <x:c r="I1261" s="14" t="str">
        <x:v>Internal Use</x:v>
      </x:c>
      <x:c r="J1261" s="14" t="str">
        <x:v>Northeast</x:v>
      </x:c>
    </x:row>
    <x:row r="1262">
      <x:c r="A1262" s="50" t="n">
        <x:v>45899</x:v>
      </x:c>
      <x:c r="B1262" s="14" t="str">
        <x:v>SKU-0098</x:v>
      </x:c>
      <x:c r="C1262" s="52" t="n">
        <x:v>4</x:v>
      </x:c>
      <x:c r="D1262" s="40" t="n">
        <x:v>352.73</x:v>
      </x:c>
      <x:c r="E1262" s="44" t="n">
        <x:f>C1262*D1262</x:f>
        <x:v>1410.92</x:v>
      </x:c>
      <x:c r="F1262" s="40" t="n">
        <x:v>270.95</x:v>
      </x:c>
      <x:c r="G1262" s="44" t="n">
        <x:f>C1262*F1262</x:f>
        <x:v>1083.8</x:v>
      </x:c>
      <x:c r="H1262" s="44" t="n">
        <x:f>E1262-G1262</x:f>
        <x:v>327.1200000000001</x:v>
      </x:c>
      <x:c r="I1262" s="14" t="str">
        <x:v>SMB</x:v>
      </x:c>
      <x:c r="J1262" s="14" t="str">
        <x:v>Northeast</x:v>
      </x:c>
    </x:row>
    <x:row r="1263">
      <x:c r="A1263" s="50" t="n">
        <x:v>46074</x:v>
      </x:c>
      <x:c r="B1263" s="14" t="str">
        <x:v>SKU-0117</x:v>
      </x:c>
      <x:c r="C1263" s="52" t="n">
        <x:v>14</x:v>
      </x:c>
      <x:c r="D1263" s="40" t="n">
        <x:v>198.04</x:v>
      </x:c>
      <x:c r="E1263" s="44" t="n">
        <x:f>C1263*D1263</x:f>
        <x:v>2772.56</x:v>
      </x:c>
      <x:c r="F1263" s="40" t="n">
        <x:v>143.31</x:v>
      </x:c>
      <x:c r="G1263" s="44" t="n">
        <x:f>C1263*F1263</x:f>
        <x:v>2006.3400000000001</x:v>
      </x:c>
      <x:c r="H1263" s="44" t="n">
        <x:f>E1263-G1263</x:f>
        <x:v>766.2199999999998</x:v>
      </x:c>
      <x:c r="I1263" s="14" t="str">
        <x:v>Enterprise</x:v>
      </x:c>
      <x:c r="J1263" s="14" t="str">
        <x:v>Midwest</x:v>
      </x:c>
    </x:row>
    <x:row r="1264">
      <x:c r="A1264" s="50" t="n">
        <x:v>46162</x:v>
      </x:c>
      <x:c r="B1264" s="14" t="str">
        <x:v>SKU-0080</x:v>
      </x:c>
      <x:c r="C1264" s="52" t="n">
        <x:v>4</x:v>
      </x:c>
      <x:c r="D1264" s="40" t="n">
        <x:v>142.89</x:v>
      </x:c>
      <x:c r="E1264" s="44" t="n">
        <x:f>C1264*D1264</x:f>
        <x:v>571.56</x:v>
      </x:c>
      <x:c r="F1264" s="40" t="n">
        <x:v>115.72</x:v>
      </x:c>
      <x:c r="G1264" s="44" t="n">
        <x:f>C1264*F1264</x:f>
        <x:v>462.88</x:v>
      </x:c>
      <x:c r="H1264" s="44" t="n">
        <x:f>E1264-G1264</x:f>
        <x:v>108.67999999999995</x:v>
      </x:c>
      <x:c r="I1264" s="14" t="str">
        <x:v>SMB</x:v>
      </x:c>
      <x:c r="J1264" s="14" t="str">
        <x:v>Northeast</x:v>
      </x:c>
    </x:row>
    <x:row r="1265">
      <x:c r="A1265" s="50" t="n">
        <x:v>46107</x:v>
      </x:c>
      <x:c r="B1265" s="14" t="str">
        <x:v>SKU-0130</x:v>
      </x:c>
      <x:c r="C1265" s="52" t="n">
        <x:v>4</x:v>
      </x:c>
      <x:c r="D1265" s="40" t="n">
        <x:v>99.94</x:v>
      </x:c>
      <x:c r="E1265" s="44" t="n">
        <x:f>C1265*D1265</x:f>
        <x:v>399.76</x:v>
      </x:c>
      <x:c r="F1265" s="40" t="n">
        <x:v>73.53</x:v>
      </x:c>
      <x:c r="G1265" s="44" t="n">
        <x:f>C1265*F1265</x:f>
        <x:v>294.12</x:v>
      </x:c>
      <x:c r="H1265" s="44" t="n">
        <x:f>E1265-G1265</x:f>
        <x:v>105.63999999999999</x:v>
      </x:c>
      <x:c r="I1265" s="14" t="str">
        <x:v>Enterprise</x:v>
      </x:c>
      <x:c r="J1265" s="14" t="str">
        <x:v>Midwest</x:v>
      </x:c>
    </x:row>
    <x:row r="1266">
      <x:c r="A1266" s="50" t="n">
        <x:v>45940</x:v>
      </x:c>
      <x:c r="B1266" s="14" t="str">
        <x:v>SKU-0150</x:v>
      </x:c>
      <x:c r="C1266" s="52" t="n">
        <x:v>15</x:v>
      </x:c>
      <x:c r="D1266" s="40" t="n">
        <x:v>84.91</x:v>
      </x:c>
      <x:c r="E1266" s="44" t="n">
        <x:f>C1266*D1266</x:f>
        <x:v>1273.6499999999999</x:v>
      </x:c>
      <x:c r="F1266" s="40" t="n">
        <x:v>62.34</x:v>
      </x:c>
      <x:c r="G1266" s="44" t="n">
        <x:f>C1266*F1266</x:f>
        <x:v>935.1</x:v>
      </x:c>
      <x:c r="H1266" s="44" t="n">
        <x:f>E1266-G1266</x:f>
        <x:v>338.54999999999984</x:v>
      </x:c>
      <x:c r="I1266" s="14" t="str">
        <x:v>Distributor</x:v>
      </x:c>
      <x:c r="J1266" s="14" t="str">
        <x:v>Southeast</x:v>
      </x:c>
    </x:row>
    <x:row r="1267">
      <x:c r="A1267" s="50" t="n">
        <x:v>46028</x:v>
      </x:c>
      <x:c r="B1267" s="14" t="str">
        <x:v>SKU-0011</x:v>
      </x:c>
      <x:c r="C1267" s="52" t="n">
        <x:v>11</x:v>
      </x:c>
      <x:c r="D1267" s="40" t="n">
        <x:v>377.02</x:v>
      </x:c>
      <x:c r="E1267" s="44" t="n">
        <x:f>C1267*D1267</x:f>
        <x:v>4147.219999999999</x:v>
      </x:c>
      <x:c r="F1267" s="40" t="n">
        <x:v>244.6</x:v>
      </x:c>
      <x:c r="G1267" s="44" t="n">
        <x:f>C1267*F1267</x:f>
        <x:v>2690.6</x:v>
      </x:c>
      <x:c r="H1267" s="44" t="n">
        <x:f>E1267-G1267</x:f>
        <x:v>1456.6199999999994</x:v>
      </x:c>
      <x:c r="I1267" s="14" t="str">
        <x:v>Enterprise</x:v>
      </x:c>
      <x:c r="J1267" s="14" t="str">
        <x:v>Southeast</x:v>
      </x:c>
    </x:row>
    <x:row r="1268">
      <x:c r="A1268" s="50" t="n">
        <x:v>46128</x:v>
      </x:c>
      <x:c r="B1268" s="14" t="str">
        <x:v>SKU-0124</x:v>
      </x:c>
      <x:c r="C1268" s="52" t="n">
        <x:v>5</x:v>
      </x:c>
      <x:c r="D1268" s="40" t="n">
        <x:v>135.61</x:v>
      </x:c>
      <x:c r="E1268" s="44" t="n">
        <x:f>C1268*D1268</x:f>
        <x:v>678.0500000000001</x:v>
      </x:c>
      <x:c r="F1268" s="40" t="n">
        <x:v>59.23</x:v>
      </x:c>
      <x:c r="G1268" s="44" t="n">
        <x:f>C1268*F1268</x:f>
        <x:v>296.15</x:v>
      </x:c>
      <x:c r="H1268" s="44" t="n">
        <x:f>E1268-G1268</x:f>
        <x:v>381.9000000000001</x:v>
      </x:c>
      <x:c r="I1268" s="14" t="str">
        <x:v>SMB</x:v>
      </x:c>
      <x:c r="J1268" s="14" t="str">
        <x:v>West</x:v>
      </x:c>
    </x:row>
    <x:row r="1269">
      <x:c r="A1269" s="50" t="n">
        <x:v>46034</x:v>
      </x:c>
      <x:c r="B1269" s="14" t="str">
        <x:v>SKU-0012</x:v>
      </x:c>
      <x:c r="C1269" s="52" t="n">
        <x:v>4</x:v>
      </x:c>
      <x:c r="D1269" s="40" t="n">
        <x:v>395.31</x:v>
      </x:c>
      <x:c r="E1269" s="44" t="n">
        <x:f>C1269*D1269</x:f>
        <x:v>1581.24</x:v>
      </x:c>
      <x:c r="F1269" s="40" t="n">
        <x:v>252.14</x:v>
      </x:c>
      <x:c r="G1269" s="44" t="n">
        <x:f>C1269*F1269</x:f>
        <x:v>1008.56</x:v>
      </x:c>
      <x:c r="H1269" s="44" t="n">
        <x:f>E1269-G1269</x:f>
        <x:v>572.6800000000001</x:v>
      </x:c>
      <x:c r="I1269" s="14" t="str">
        <x:v>Internal Use</x:v>
      </x:c>
      <x:c r="J1269" s="14" t="str">
        <x:v>Southeast</x:v>
      </x:c>
    </x:row>
    <x:row r="1270">
      <x:c r="A1270" s="50" t="n">
        <x:v>46238</x:v>
      </x:c>
      <x:c r="B1270" s="14" t="str">
        <x:v>SKU-0114</x:v>
      </x:c>
      <x:c r="C1270" s="52" t="n">
        <x:v>5</x:v>
      </x:c>
      <x:c r="D1270" s="40" t="n">
        <x:v>367.86</x:v>
      </x:c>
      <x:c r="E1270" s="44" t="n">
        <x:f>C1270*D1270</x:f>
        <x:v>1839.3000000000002</x:v>
      </x:c>
      <x:c r="F1270" s="40" t="n">
        <x:v>232.11</x:v>
      </x:c>
      <x:c r="G1270" s="44" t="n">
        <x:f>C1270*F1270</x:f>
        <x:v>1160.5500000000002</x:v>
      </x:c>
      <x:c r="H1270" s="44" t="n">
        <x:f>E1270-G1270</x:f>
        <x:v>678.75</x:v>
      </x:c>
      <x:c r="I1270" s="14" t="str">
        <x:v>Enterprise</x:v>
      </x:c>
      <x:c r="J1270" s="14" t="str">
        <x:v>West</x:v>
      </x:c>
    </x:row>
    <x:row r="1271">
      <x:c r="A1271" s="50" t="n">
        <x:v>46067</x:v>
      </x:c>
      <x:c r="B1271" s="14" t="str">
        <x:v>SKU-0128</x:v>
      </x:c>
      <x:c r="C1271" s="52" t="n">
        <x:v>18</x:v>
      </x:c>
      <x:c r="D1271" s="40" t="n">
        <x:v>120.55</x:v>
      </x:c>
      <x:c r="E1271" s="44" t="n">
        <x:f>C1271*D1271</x:f>
        <x:v>2169.9</x:v>
      </x:c>
      <x:c r="F1271" s="40" t="n">
        <x:v>70.02</x:v>
      </x:c>
      <x:c r="G1271" s="44" t="n">
        <x:f>C1271*F1271</x:f>
        <x:v>1260.36</x:v>
      </x:c>
      <x:c r="H1271" s="44" t="n">
        <x:f>E1271-G1271</x:f>
        <x:v>909.5400000000002</x:v>
      </x:c>
      <x:c r="I1271" s="14" t="str">
        <x:v>Distributor</x:v>
      </x:c>
      <x:c r="J1271" s="14" t="str">
        <x:v>Northeast</x:v>
      </x:c>
    </x:row>
    <x:row r="1272">
      <x:c r="A1272" s="50" t="n">
        <x:v>46122</x:v>
      </x:c>
      <x:c r="B1272" s="14" t="str">
        <x:v>SKU-0108</x:v>
      </x:c>
      <x:c r="C1272" s="52" t="n">
        <x:v>2</x:v>
      </x:c>
      <x:c r="D1272" s="40" t="n">
        <x:v>318.31</x:v>
      </x:c>
      <x:c r="E1272" s="44" t="n">
        <x:f>C1272*D1272</x:f>
        <x:v>636.62</x:v>
      </x:c>
      <x:c r="F1272" s="40" t="n">
        <x:v>242.94</x:v>
      </x:c>
      <x:c r="G1272" s="44" t="n">
        <x:f>C1272*F1272</x:f>
        <x:v>485.88</x:v>
      </x:c>
      <x:c r="H1272" s="44" t="n">
        <x:f>E1272-G1272</x:f>
        <x:v>150.74</x:v>
      </x:c>
      <x:c r="I1272" s="14" t="str">
        <x:v>Enterprise</x:v>
      </x:c>
      <x:c r="J1272" s="14" t="str">
        <x:v>Northeast</x:v>
      </x:c>
    </x:row>
    <x:row r="1273">
      <x:c r="A1273" s="50" t="n">
        <x:v>46014</x:v>
      </x:c>
      <x:c r="B1273" s="14" t="str">
        <x:v>SKU-0023</x:v>
      </x:c>
      <x:c r="C1273" s="52" t="n">
        <x:v>42</x:v>
      </x:c>
      <x:c r="D1273" s="40" t="n">
        <x:v>96.42</x:v>
      </x:c>
      <x:c r="E1273" s="44" t="n">
        <x:f>C1273*D1273</x:f>
        <x:v>4049.64</x:v>
      </x:c>
      <x:c r="F1273" s="40" t="n">
        <x:v>76.21</x:v>
      </x:c>
      <x:c r="G1273" s="44" t="n">
        <x:f>C1273*F1273</x:f>
        <x:v>3200.8199999999997</x:v>
      </x:c>
      <x:c r="H1273" s="44" t="n">
        <x:f>E1273-G1273</x:f>
        <x:v>848.8200000000002</x:v>
      </x:c>
      <x:c r="I1273" s="14" t="str">
        <x:v>SMB</x:v>
      </x:c>
      <x:c r="J1273" s="14" t="str">
        <x:v>Southeast</x:v>
      </x:c>
    </x:row>
    <x:row r="1274">
      <x:c r="A1274" s="50" t="n">
        <x:v>45892</x:v>
      </x:c>
      <x:c r="B1274" s="14" t="str">
        <x:v>SKU-0031</x:v>
      </x:c>
      <x:c r="C1274" s="52" t="n">
        <x:v>3</x:v>
      </x:c>
      <x:c r="D1274" s="40" t="n">
        <x:v>304.93</x:v>
      </x:c>
      <x:c r="E1274" s="44" t="n">
        <x:f>C1274*D1274</x:f>
        <x:v>914.79</x:v>
      </x:c>
      <x:c r="F1274" s="40" t="n">
        <x:v>247.09</x:v>
      </x:c>
      <x:c r="G1274" s="44" t="n">
        <x:f>C1274*F1274</x:f>
        <x:v>741.27</x:v>
      </x:c>
      <x:c r="H1274" s="44" t="n">
        <x:f>E1274-G1274</x:f>
        <x:v>173.51999999999998</x:v>
      </x:c>
      <x:c r="I1274" s="14" t="str">
        <x:v>Internal Use</x:v>
      </x:c>
      <x:c r="J1274" s="14" t="str">
        <x:v>Midwest</x:v>
      </x:c>
    </x:row>
    <x:row r="1275">
      <x:c r="A1275" s="50" t="n">
        <x:v>46014</x:v>
      </x:c>
      <x:c r="B1275" s="14" t="str">
        <x:v>SKU-0143</x:v>
      </x:c>
      <x:c r="C1275" s="52" t="n">
        <x:v>3</x:v>
      </x:c>
      <x:c r="D1275" s="40" t="n">
        <x:v>188.75</x:v>
      </x:c>
      <x:c r="E1275" s="44" t="n">
        <x:f>C1275*D1275</x:f>
        <x:v>566.25</x:v>
      </x:c>
      <x:c r="F1275" s="40" t="n">
        <x:v>123.95</x:v>
      </x:c>
      <x:c r="G1275" s="44" t="n">
        <x:f>C1275*F1275</x:f>
        <x:v>371.85</x:v>
      </x:c>
      <x:c r="H1275" s="44" t="n">
        <x:f>E1275-G1275</x:f>
        <x:v>194.39999999999998</x:v>
      </x:c>
      <x:c r="I1275" s="14" t="str">
        <x:v>Internal Use</x:v>
      </x:c>
      <x:c r="J1275" s="14" t="str">
        <x:v>Northeast</x:v>
      </x:c>
    </x:row>
    <x:row r="1276">
      <x:c r="A1276" s="50" t="n">
        <x:v>45900</x:v>
      </x:c>
      <x:c r="B1276" s="14" t="str">
        <x:v>SKU-0144</x:v>
      </x:c>
      <x:c r="C1276" s="52" t="n">
        <x:v>5</x:v>
      </x:c>
      <x:c r="D1276" s="40" t="n">
        <x:v>146.07</x:v>
      </x:c>
      <x:c r="E1276" s="44" t="n">
        <x:f>C1276*D1276</x:f>
        <x:v>730.3499999999999</x:v>
      </x:c>
      <x:c r="F1276" s="40" t="n">
        <x:v>68.87</x:v>
      </x:c>
      <x:c r="G1276" s="44" t="n">
        <x:f>C1276*F1276</x:f>
        <x:v>344.35</x:v>
      </x:c>
      <x:c r="H1276" s="44" t="n">
        <x:f>E1276-G1276</x:f>
        <x:v>385.9999999999999</x:v>
      </x:c>
      <x:c r="I1276" s="14" t="str">
        <x:v>Internal Use</x:v>
      </x:c>
      <x:c r="J1276" s="14" t="str">
        <x:v>Northeast</x:v>
      </x:c>
    </x:row>
    <x:row r="1277">
      <x:c r="A1277" s="50" t="n">
        <x:v>45910</x:v>
      </x:c>
      <x:c r="B1277" s="14" t="str">
        <x:v>SKU-0096</x:v>
      </x:c>
      <x:c r="C1277" s="52" t="n">
        <x:v>9</x:v>
      </x:c>
      <x:c r="D1277" s="40" t="n">
        <x:v>50.67</x:v>
      </x:c>
      <x:c r="E1277" s="44" t="n">
        <x:f>C1277*D1277</x:f>
        <x:v>456.03000000000003</x:v>
      </x:c>
      <x:c r="F1277" s="40" t="n">
        <x:v>29.46</x:v>
      </x:c>
      <x:c r="G1277" s="44" t="n">
        <x:f>C1277*F1277</x:f>
        <x:v>265.14</x:v>
      </x:c>
      <x:c r="H1277" s="44" t="n">
        <x:f>E1277-G1277</x:f>
        <x:v>190.89000000000004</x:v>
      </x:c>
      <x:c r="I1277" s="14" t="str">
        <x:v>Distributor</x:v>
      </x:c>
      <x:c r="J1277" s="14" t="str">
        <x:v>Northeast</x:v>
      </x:c>
    </x:row>
    <x:row r="1278">
      <x:c r="A1278" s="50" t="n">
        <x:v>45950</x:v>
      </x:c>
      <x:c r="B1278" s="14" t="str">
        <x:v>SKU-0078</x:v>
      </x:c>
      <x:c r="C1278" s="52" t="n">
        <x:v>6</x:v>
      </x:c>
      <x:c r="D1278" s="40" t="n">
        <x:v>27.83</x:v>
      </x:c>
      <x:c r="E1278" s="44" t="n">
        <x:f>C1278*D1278</x:f>
        <x:v>166.98</x:v>
      </x:c>
      <x:c r="F1278" s="40" t="n">
        <x:v>17.54</x:v>
      </x:c>
      <x:c r="G1278" s="44" t="n">
        <x:f>C1278*F1278</x:f>
        <x:v>105.24</x:v>
      </x:c>
      <x:c r="H1278" s="44" t="n">
        <x:f>E1278-G1278</x:f>
        <x:v>61.739999999999995</x:v>
      </x:c>
      <x:c r="I1278" s="14" t="str">
        <x:v>SMB</x:v>
      </x:c>
      <x:c r="J1278" s="14" t="str">
        <x:v>Southeast</x:v>
      </x:c>
    </x:row>
    <x:row r="1279">
      <x:c r="A1279" s="50" t="n">
        <x:v>46124</x:v>
      </x:c>
      <x:c r="B1279" s="14" t="str">
        <x:v>SKU-0122</x:v>
      </x:c>
      <x:c r="C1279" s="52" t="n">
        <x:v>8</x:v>
      </x:c>
      <x:c r="D1279" s="40" t="n">
        <x:v>37.47</x:v>
      </x:c>
      <x:c r="E1279" s="44" t="n">
        <x:f>C1279*D1279</x:f>
        <x:v>299.76</x:v>
      </x:c>
      <x:c r="F1279" s="40" t="n">
        <x:v>25.14</x:v>
      </x:c>
      <x:c r="G1279" s="44" t="n">
        <x:f>C1279*F1279</x:f>
        <x:v>201.12</x:v>
      </x:c>
      <x:c r="H1279" s="44" t="n">
        <x:f>E1279-G1279</x:f>
        <x:v>98.63999999999999</x:v>
      </x:c>
      <x:c r="I1279" s="14" t="str">
        <x:v>Enterprise</x:v>
      </x:c>
      <x:c r="J1279" s="14" t="str">
        <x:v>Southeast</x:v>
      </x:c>
    </x:row>
    <x:row r="1280">
      <x:c r="A1280" s="50" t="n">
        <x:v>46141</x:v>
      </x:c>
      <x:c r="B1280" s="14" t="str">
        <x:v>SKU-0033</x:v>
      </x:c>
      <x:c r="C1280" s="52" t="n">
        <x:v>1</x:v>
      </x:c>
      <x:c r="D1280" s="40" t="n">
        <x:v>256</x:v>
      </x:c>
      <x:c r="E1280" s="44" t="n">
        <x:f>C1280*D1280</x:f>
        <x:v>256</x:v>
      </x:c>
      <x:c r="F1280" s="40" t="n">
        <x:v>185.66</x:v>
      </x:c>
      <x:c r="G1280" s="44" t="n">
        <x:f>C1280*F1280</x:f>
        <x:v>185.66</x:v>
      </x:c>
      <x:c r="H1280" s="44" t="n">
        <x:f>E1280-G1280</x:f>
        <x:v>70.34</x:v>
      </x:c>
      <x:c r="I1280" s="14" t="str">
        <x:v>SMB</x:v>
      </x:c>
      <x:c r="J1280" s="14" t="str">
        <x:v>Southeast</x:v>
      </x:c>
    </x:row>
    <x:row r="1281">
      <x:c r="A1281" s="50" t="n">
        <x:v>46200</x:v>
      </x:c>
      <x:c r="B1281" s="14" t="str">
        <x:v>SKU-0106</x:v>
      </x:c>
      <x:c r="C1281" s="52" t="n">
        <x:v>7</x:v>
      </x:c>
      <x:c r="D1281" s="40" t="n">
        <x:v>287.1</x:v>
      </x:c>
      <x:c r="E1281" s="44" t="n">
        <x:f>C1281*D1281</x:f>
        <x:v>2009.7000000000003</x:v>
      </x:c>
      <x:c r="F1281" s="40" t="n">
        <x:v>220.84</x:v>
      </x:c>
      <x:c r="G1281" s="44" t="n">
        <x:f>C1281*F1281</x:f>
        <x:v>1545.88</x:v>
      </x:c>
      <x:c r="H1281" s="44" t="n">
        <x:f>E1281-G1281</x:f>
        <x:v>463.82000000000016</x:v>
      </x:c>
      <x:c r="I1281" s="14" t="str">
        <x:v>Enterprise</x:v>
      </x:c>
      <x:c r="J1281" s="14" t="str">
        <x:v>West</x:v>
      </x:c>
    </x:row>
    <x:row r="1282">
      <x:c r="A1282" s="50" t="n">
        <x:v>46044</x:v>
      </x:c>
      <x:c r="B1282" s="14" t="str">
        <x:v>SKU-0011</x:v>
      </x:c>
      <x:c r="C1282" s="52" t="n">
        <x:v>6</x:v>
      </x:c>
      <x:c r="D1282" s="40" t="n">
        <x:v>387.17</x:v>
      </x:c>
      <x:c r="E1282" s="44" t="n">
        <x:f>C1282*D1282</x:f>
        <x:v>2323.02</x:v>
      </x:c>
      <x:c r="F1282" s="40" t="n">
        <x:v>244.6</x:v>
      </x:c>
      <x:c r="G1282" s="44" t="n">
        <x:f>C1282*F1282</x:f>
        <x:v>1467.6</x:v>
      </x:c>
      <x:c r="H1282" s="44" t="n">
        <x:f>E1282-G1282</x:f>
        <x:v>855.4200000000001</x:v>
      </x:c>
      <x:c r="I1282" s="14" t="str">
        <x:v>SMB</x:v>
      </x:c>
      <x:c r="J1282" s="14" t="str">
        <x:v>West</x:v>
      </x:c>
    </x:row>
    <x:row r="1283">
      <x:c r="A1283" s="50" t="n">
        <x:v>46088</x:v>
      </x:c>
      <x:c r="B1283" s="14" t="str">
        <x:v>SKU-0131</x:v>
      </x:c>
      <x:c r="C1283" s="52" t="n">
        <x:v>20</x:v>
      </x:c>
      <x:c r="D1283" s="40" t="n">
        <x:v>402.49</x:v>
      </x:c>
      <x:c r="E1283" s="44" t="n">
        <x:f>C1283*D1283</x:f>
        <x:v>8049.8</x:v>
      </x:c>
      <x:c r="F1283" s="40" t="n">
        <x:v>258.95</x:v>
      </x:c>
      <x:c r="G1283" s="44" t="n">
        <x:f>C1283*F1283</x:f>
        <x:v>5179</x:v>
      </x:c>
      <x:c r="H1283" s="44" t="n">
        <x:f>E1283-G1283</x:f>
        <x:v>2870.8</x:v>
      </x:c>
      <x:c r="I1283" s="14" t="str">
        <x:v>Distributor</x:v>
      </x:c>
      <x:c r="J1283" s="14" t="str">
        <x:v>West</x:v>
      </x:c>
    </x:row>
    <x:row r="1284">
      <x:c r="A1284" s="50" t="n">
        <x:v>46101</x:v>
      </x:c>
      <x:c r="B1284" s="14" t="str">
        <x:v>SKU-0020</x:v>
      </x:c>
      <x:c r="C1284" s="52" t="n">
        <x:v>11</x:v>
      </x:c>
      <x:c r="D1284" s="40" t="n">
        <x:v>266.37</x:v>
      </x:c>
      <x:c r="E1284" s="44" t="n">
        <x:f>C1284*D1284</x:f>
        <x:v>2930.07</x:v>
      </x:c>
      <x:c r="F1284" s="40" t="n">
        <x:v>163.22</x:v>
      </x:c>
      <x:c r="G1284" s="44" t="n">
        <x:f>C1284*F1284</x:f>
        <x:v>1795.42</x:v>
      </x:c>
      <x:c r="H1284" s="44" t="n">
        <x:f>E1284-G1284</x:f>
        <x:v>1134.65</x:v>
      </x:c>
      <x:c r="I1284" s="14" t="str">
        <x:v>SMB</x:v>
      </x:c>
      <x:c r="J1284" s="14" t="str">
        <x:v>Northeast</x:v>
      </x:c>
    </x:row>
    <x:row r="1285">
      <x:c r="A1285" s="50" t="n">
        <x:v>46022</x:v>
      </x:c>
      <x:c r="B1285" s="14" t="str">
        <x:v>SKU-0095</x:v>
      </x:c>
      <x:c r="C1285" s="52" t="n">
        <x:v>6</x:v>
      </x:c>
      <x:c r="D1285" s="40" t="n">
        <x:v>313.72</x:v>
      </x:c>
      <x:c r="E1285" s="44" t="n">
        <x:f>C1285*D1285</x:f>
        <x:v>1882.3200000000002</x:v>
      </x:c>
      <x:c r="F1285" s="40" t="n">
        <x:v>225.04</x:v>
      </x:c>
      <x:c r="G1285" s="44" t="n">
        <x:f>C1285*F1285</x:f>
        <x:v>1350.24</x:v>
      </x:c>
      <x:c r="H1285" s="44" t="n">
        <x:f>E1285-G1285</x:f>
        <x:v>532.0800000000002</x:v>
      </x:c>
      <x:c r="I1285" s="14" t="str">
        <x:v>Distributor</x:v>
      </x:c>
      <x:c r="J1285" s="14" t="str">
        <x:v>Midwest</x:v>
      </x:c>
    </x:row>
    <x:row r="1286">
      <x:c r="A1286" s="50" t="n">
        <x:v>46189</x:v>
      </x:c>
      <x:c r="B1286" s="14" t="str">
        <x:v>SKU-0138</x:v>
      </x:c>
      <x:c r="C1286" s="52" t="n">
        <x:v>6</x:v>
      </x:c>
      <x:c r="D1286" s="40" t="n">
        <x:v>429.17</x:v>
      </x:c>
      <x:c r="E1286" s="44" t="n">
        <x:f>C1286*D1286</x:f>
        <x:v>2575.02</x:v>
      </x:c>
      <x:c r="F1286" s="40" t="n">
        <x:v>186.65</x:v>
      </x:c>
      <x:c r="G1286" s="44" t="n">
        <x:f>C1286*F1286</x:f>
        <x:v>1119.9</x:v>
      </x:c>
      <x:c r="H1286" s="44" t="n">
        <x:f>E1286-G1286</x:f>
        <x:v>1455.12</x:v>
      </x:c>
      <x:c r="I1286" s="14" t="str">
        <x:v>Internal Use</x:v>
      </x:c>
      <x:c r="J1286" s="14" t="str">
        <x:v>West</x:v>
      </x:c>
    </x:row>
    <x:row r="1287">
      <x:c r="A1287" s="50" t="n">
        <x:v>46229</x:v>
      </x:c>
      <x:c r="B1287" s="14" t="str">
        <x:v>SKU-0144</x:v>
      </x:c>
      <x:c r="C1287" s="52" t="n">
        <x:v>13</x:v>
      </x:c>
      <x:c r="D1287" s="40" t="n">
        <x:v>156.56</x:v>
      </x:c>
      <x:c r="E1287" s="44" t="n">
        <x:f>C1287*D1287</x:f>
        <x:v>2035.28</x:v>
      </x:c>
      <x:c r="F1287" s="40" t="n">
        <x:v>68.87</x:v>
      </x:c>
      <x:c r="G1287" s="44" t="n">
        <x:f>C1287*F1287</x:f>
        <x:v>895.3100000000001</x:v>
      </x:c>
      <x:c r="H1287" s="44" t="n">
        <x:f>E1287-G1287</x:f>
        <x:v>1139.9699999999998</x:v>
      </x:c>
      <x:c r="I1287" s="14" t="str">
        <x:v>Internal Use</x:v>
      </x:c>
      <x:c r="J1287" s="14" t="str">
        <x:v>Midwest</x:v>
      </x:c>
    </x:row>
    <x:row r="1288">
      <x:c r="A1288" s="50" t="n">
        <x:v>46234</x:v>
      </x:c>
      <x:c r="B1288" s="14" t="str">
        <x:v>SKU-0024</x:v>
      </x:c>
      <x:c r="C1288" s="52" t="n">
        <x:v>8</x:v>
      </x:c>
      <x:c r="D1288" s="40" t="n">
        <x:v>240.08</x:v>
      </x:c>
      <x:c r="E1288" s="44" t="n">
        <x:f>C1288*D1288</x:f>
        <x:v>1920.64</x:v>
      </x:c>
      <x:c r="F1288" s="40" t="n">
        <x:v>151.69</x:v>
      </x:c>
      <x:c r="G1288" s="44" t="n">
        <x:f>C1288*F1288</x:f>
        <x:v>1213.52</x:v>
      </x:c>
      <x:c r="H1288" s="44" t="n">
        <x:f>E1288-G1288</x:f>
        <x:v>707.1200000000001</x:v>
      </x:c>
      <x:c r="I1288" s="14" t="str">
        <x:v>Enterprise</x:v>
      </x:c>
      <x:c r="J1288" s="14" t="str">
        <x:v>Midwest</x:v>
      </x:c>
    </x:row>
    <x:row r="1289">
      <x:c r="A1289" s="50" t="n">
        <x:v>46018</x:v>
      </x:c>
      <x:c r="B1289" s="14" t="str">
        <x:v>SKU-0069</x:v>
      </x:c>
      <x:c r="C1289" s="52" t="n">
        <x:v>32</x:v>
      </x:c>
      <x:c r="D1289" s="40" t="n">
        <x:v>371.11</x:v>
      </x:c>
      <x:c r="E1289" s="44" t="n">
        <x:f>C1289*D1289</x:f>
        <x:v>11875.52</x:v>
      </x:c>
      <x:c r="F1289" s="40" t="n">
        <x:v>277.23</x:v>
      </x:c>
      <x:c r="G1289" s="44" t="n">
        <x:f>C1289*F1289</x:f>
        <x:v>8871.36</x:v>
      </x:c>
      <x:c r="H1289" s="44" t="n">
        <x:f>E1289-G1289</x:f>
        <x:v>3004.16</x:v>
      </x:c>
      <x:c r="I1289" s="14" t="str">
        <x:v>Distributor</x:v>
      </x:c>
      <x:c r="J1289" s="14" t="str">
        <x:v>Southeast</x:v>
      </x:c>
    </x:row>
    <x:row r="1290">
      <x:c r="A1290" s="50" t="n">
        <x:v>45977</x:v>
      </x:c>
      <x:c r="B1290" s="14" t="str">
        <x:v>SKU-0145</x:v>
      </x:c>
      <x:c r="C1290" s="52" t="n">
        <x:v>6</x:v>
      </x:c>
      <x:c r="D1290" s="40" t="n">
        <x:v>222.89</x:v>
      </x:c>
      <x:c r="E1290" s="44" t="n">
        <x:f>C1290*D1290</x:f>
        <x:v>1337.34</x:v>
      </x:c>
      <x:c r="F1290" s="40" t="n">
        <x:v>142.06</x:v>
      </x:c>
      <x:c r="G1290" s="44" t="n">
        <x:f>C1290*F1290</x:f>
        <x:v>852.36</x:v>
      </x:c>
      <x:c r="H1290" s="44" t="n">
        <x:f>E1290-G1290</x:f>
        <x:v>484.9799999999999</x:v>
      </x:c>
      <x:c r="I1290" s="14" t="str">
        <x:v>Internal Use</x:v>
      </x:c>
      <x:c r="J1290" s="14" t="str">
        <x:v>Midwest</x:v>
      </x:c>
    </x:row>
    <x:row r="1291">
      <x:c r="A1291" s="50" t="n">
        <x:v>46186</x:v>
      </x:c>
      <x:c r="B1291" s="14" t="str">
        <x:v>SKU-0068</x:v>
      </x:c>
      <x:c r="C1291" s="52" t="n">
        <x:v>6</x:v>
      </x:c>
      <x:c r="D1291" s="40" t="n">
        <x:v>244.47</x:v>
      </x:c>
      <x:c r="E1291" s="44" t="n">
        <x:f>C1291*D1291</x:f>
        <x:v>1466.82</x:v>
      </x:c>
      <x:c r="F1291" s="40" t="n">
        <x:v>157.37</x:v>
      </x:c>
      <x:c r="G1291" s="44" t="n">
        <x:f>C1291*F1291</x:f>
        <x:v>944.22</x:v>
      </x:c>
      <x:c r="H1291" s="44" t="n">
        <x:f>E1291-G1291</x:f>
        <x:v>522.5999999999999</x:v>
      </x:c>
      <x:c r="I1291" s="14" t="str">
        <x:v>SMB</x:v>
      </x:c>
      <x:c r="J1291" s="14" t="str">
        <x:v>Midwest</x:v>
      </x:c>
    </x:row>
    <x:row r="1292">
      <x:c r="A1292" s="50" t="n">
        <x:v>46231</x:v>
      </x:c>
      <x:c r="B1292" s="14" t="str">
        <x:v>SKU-0049</x:v>
      </x:c>
      <x:c r="C1292" s="52" t="n">
        <x:v>21</x:v>
      </x:c>
      <x:c r="D1292" s="40" t="n">
        <x:v>96.5</x:v>
      </x:c>
      <x:c r="E1292" s="44" t="n">
        <x:f>C1292*D1292</x:f>
        <x:v>2026.5</x:v>
      </x:c>
      <x:c r="F1292" s="40" t="n">
        <x:v>63.39</x:v>
      </x:c>
      <x:c r="G1292" s="44" t="n">
        <x:f>C1292*F1292</x:f>
        <x:v>1331.19</x:v>
      </x:c>
      <x:c r="H1292" s="44" t="n">
        <x:f>E1292-G1292</x:f>
        <x:v>695.31</x:v>
      </x:c>
      <x:c r="I1292" s="14" t="str">
        <x:v>SMB</x:v>
      </x:c>
      <x:c r="J1292" s="14" t="str">
        <x:v>West</x:v>
      </x:c>
    </x:row>
    <x:row r="1293">
      <x:c r="A1293" s="50" t="n">
        <x:v>46146</x:v>
      </x:c>
      <x:c r="B1293" s="14" t="str">
        <x:v>SKU-0149</x:v>
      </x:c>
      <x:c r="C1293" s="52" t="n">
        <x:v>1</x:v>
      </x:c>
      <x:c r="D1293" s="40" t="n">
        <x:v>420.21</x:v>
      </x:c>
      <x:c r="E1293" s="44" t="n">
        <x:f>C1293*D1293</x:f>
        <x:v>420.21</x:v>
      </x:c>
      <x:c r="F1293" s="40" t="n">
        <x:v>257.08</x:v>
      </x:c>
      <x:c r="G1293" s="44" t="n">
        <x:f>C1293*F1293</x:f>
        <x:v>257.08</x:v>
      </x:c>
      <x:c r="H1293" s="44" t="n">
        <x:f>E1293-G1293</x:f>
        <x:v>163.13</x:v>
      </x:c>
      <x:c r="I1293" s="14" t="str">
        <x:v>SMB</x:v>
      </x:c>
      <x:c r="J1293" s="14" t="str">
        <x:v>Southeast</x:v>
      </x:c>
    </x:row>
    <x:row r="1294">
      <x:c r="A1294" s="50" t="n">
        <x:v>45973</x:v>
      </x:c>
      <x:c r="B1294" s="14" t="str">
        <x:v>SKU-0087</x:v>
      </x:c>
      <x:c r="C1294" s="52" t="n">
        <x:v>6</x:v>
      </x:c>
      <x:c r="D1294" s="40" t="n">
        <x:v>350.32</x:v>
      </x:c>
      <x:c r="E1294" s="44" t="n">
        <x:f>C1294*D1294</x:f>
        <x:v>2101.92</x:v>
      </x:c>
      <x:c r="F1294" s="40" t="n">
        <x:v>194.73</x:v>
      </x:c>
      <x:c r="G1294" s="44" t="n">
        <x:f>C1294*F1294</x:f>
        <x:v>1168.3799999999999</x:v>
      </x:c>
      <x:c r="H1294" s="44" t="n">
        <x:f>E1294-G1294</x:f>
        <x:v>933.5400000000002</x:v>
      </x:c>
      <x:c r="I1294" s="14" t="str">
        <x:v>Internal Use</x:v>
      </x:c>
      <x:c r="J1294" s="14" t="str">
        <x:v>Midwest</x:v>
      </x:c>
    </x:row>
    <x:row r="1295">
      <x:c r="A1295" s="50" t="n">
        <x:v>46010</x:v>
      </x:c>
      <x:c r="B1295" s="14" t="str">
        <x:v>SKU-0038</x:v>
      </x:c>
      <x:c r="C1295" s="52" t="n">
        <x:v>10</x:v>
      </x:c>
      <x:c r="D1295" s="40" t="n">
        <x:v>254.94</x:v>
      </x:c>
      <x:c r="E1295" s="44" t="n">
        <x:f>C1295*D1295</x:f>
        <x:v>2549.4</x:v>
      </x:c>
      <x:c r="F1295" s="40" t="n">
        <x:v>160.43</x:v>
      </x:c>
      <x:c r="G1295" s="44" t="n">
        <x:f>C1295*F1295</x:f>
        <x:v>1604.3000000000002</x:v>
      </x:c>
      <x:c r="H1295" s="44" t="n">
        <x:f>E1295-G1295</x:f>
        <x:v>945.0999999999999</x:v>
      </x:c>
      <x:c r="I1295" s="14" t="str">
        <x:v>Internal Use</x:v>
      </x:c>
      <x:c r="J1295" s="14" t="str">
        <x:v>Northeast</x:v>
      </x:c>
    </x:row>
    <x:row r="1296">
      <x:c r="A1296" s="50" t="n">
        <x:v>45976</x:v>
      </x:c>
      <x:c r="B1296" s="14" t="str">
        <x:v>SKU-0018</x:v>
      </x:c>
      <x:c r="C1296" s="52" t="n">
        <x:v>16</x:v>
      </x:c>
      <x:c r="D1296" s="40" t="n">
        <x:v>75.75</x:v>
      </x:c>
      <x:c r="E1296" s="44" t="n">
        <x:f>C1296*D1296</x:f>
        <x:v>1212</x:v>
      </x:c>
      <x:c r="F1296" s="40" t="n">
        <x:v>48.65</x:v>
      </x:c>
      <x:c r="G1296" s="44" t="n">
        <x:f>C1296*F1296</x:f>
        <x:v>778.4</x:v>
      </x:c>
      <x:c r="H1296" s="44" t="n">
        <x:f>E1296-G1296</x:f>
        <x:v>433.6</x:v>
      </x:c>
      <x:c r="I1296" s="14" t="str">
        <x:v>Distributor</x:v>
      </x:c>
      <x:c r="J1296" s="14" t="str">
        <x:v>West</x:v>
      </x:c>
    </x:row>
    <x:row r="1297">
      <x:c r="A1297" s="50" t="n">
        <x:v>46016</x:v>
      </x:c>
      <x:c r="B1297" s="14" t="str">
        <x:v>SKU-0051</x:v>
      </x:c>
      <x:c r="C1297" s="52" t="n">
        <x:v>3</x:v>
      </x:c>
      <x:c r="D1297" s="40" t="n">
        <x:v>113.51</x:v>
      </x:c>
      <x:c r="E1297" s="44" t="n">
        <x:f>C1297*D1297</x:f>
        <x:v>340.53000000000003</x:v>
      </x:c>
      <x:c r="F1297" s="40" t="n">
        <x:v>74.69</x:v>
      </x:c>
      <x:c r="G1297" s="44" t="n">
        <x:f>C1297*F1297</x:f>
        <x:v>224.07</x:v>
      </x:c>
      <x:c r="H1297" s="44" t="n">
        <x:f>E1297-G1297</x:f>
        <x:v>116.46000000000004</x:v>
      </x:c>
      <x:c r="I1297" s="14" t="str">
        <x:v>Enterprise</x:v>
      </x:c>
      <x:c r="J1297" s="14" t="str">
        <x:v>West</x:v>
      </x:c>
    </x:row>
    <x:row r="1298">
      <x:c r="A1298" s="50" t="n">
        <x:v>46078</x:v>
      </x:c>
      <x:c r="B1298" s="14" t="str">
        <x:v>SKU-0112</x:v>
      </x:c>
      <x:c r="C1298" s="52" t="n">
        <x:v>6</x:v>
      </x:c>
      <x:c r="D1298" s="40" t="n">
        <x:v>275.52</x:v>
      </x:c>
      <x:c r="E1298" s="44" t="n">
        <x:f>C1298*D1298</x:f>
        <x:v>1653.12</x:v>
      </x:c>
      <x:c r="F1298" s="40" t="n">
        <x:v>175.75</x:v>
      </x:c>
      <x:c r="G1298" s="44" t="n">
        <x:f>C1298*F1298</x:f>
        <x:v>1054.5</x:v>
      </x:c>
      <x:c r="H1298" s="44" t="n">
        <x:f>E1298-G1298</x:f>
        <x:v>598.6199999999999</x:v>
      </x:c>
      <x:c r="I1298" s="14" t="str">
        <x:v>Enterprise</x:v>
      </x:c>
      <x:c r="J1298" s="14" t="str">
        <x:v>Northeast</x:v>
      </x:c>
    </x:row>
    <x:row r="1299">
      <x:c r="A1299" s="50" t="n">
        <x:v>46022</x:v>
      </x:c>
      <x:c r="B1299" s="14" t="str">
        <x:v>SKU-0018</x:v>
      </x:c>
      <x:c r="C1299" s="52" t="n">
        <x:v>2</x:v>
      </x:c>
      <x:c r="D1299" s="40" t="n">
        <x:v>71.46</x:v>
      </x:c>
      <x:c r="E1299" s="44" t="n">
        <x:f>C1299*D1299</x:f>
        <x:v>142.92</x:v>
      </x:c>
      <x:c r="F1299" s="40" t="n">
        <x:v>48.65</x:v>
      </x:c>
      <x:c r="G1299" s="44" t="n">
        <x:f>C1299*F1299</x:f>
        <x:v>97.3</x:v>
      </x:c>
      <x:c r="H1299" s="44" t="n">
        <x:f>E1299-G1299</x:f>
        <x:v>45.61999999999999</x:v>
      </x:c>
      <x:c r="I1299" s="14" t="str">
        <x:v>Enterprise</x:v>
      </x:c>
      <x:c r="J1299" s="14" t="str">
        <x:v>West</x:v>
      </x:c>
    </x:row>
    <x:row r="1300">
      <x:c r="A1300" s="50" t="n">
        <x:v>45900</x:v>
      </x:c>
      <x:c r="B1300" s="14" t="str">
        <x:v>SKU-0053</x:v>
      </x:c>
      <x:c r="C1300" s="52" t="n">
        <x:v>31</x:v>
      </x:c>
      <x:c r="D1300" s="40" t="n">
        <x:v>371.33</x:v>
      </x:c>
      <x:c r="E1300" s="44" t="n">
        <x:f>C1300*D1300</x:f>
        <x:v>11511.23</x:v>
      </x:c>
      <x:c r="F1300" s="40" t="n">
        <x:v>235.39</x:v>
      </x:c>
      <x:c r="G1300" s="44" t="n">
        <x:f>C1300*F1300</x:f>
        <x:v>7297.089999999999</x:v>
      </x:c>
      <x:c r="H1300" s="44" t="n">
        <x:f>E1300-G1300</x:f>
        <x:v>4214.14</x:v>
      </x:c>
      <x:c r="I1300" s="14" t="str">
        <x:v>Distributor</x:v>
      </x:c>
      <x:c r="J1300" s="14" t="str">
        <x:v>Midwest</x:v>
      </x:c>
    </x:row>
    <x:row r="1301">
      <x:c r="A1301" s="50" t="n">
        <x:v>46100</x:v>
      </x:c>
      <x:c r="B1301" s="14" t="str">
        <x:v>SKU-0073</x:v>
      </x:c>
      <x:c r="C1301" s="52" t="n">
        <x:v>5</x:v>
      </x:c>
      <x:c r="D1301" s="40" t="n">
        <x:v>67.33</x:v>
      </x:c>
      <x:c r="E1301" s="44" t="n">
        <x:f>C1301*D1301</x:f>
        <x:v>336.65</x:v>
      </x:c>
      <x:c r="F1301" s="40" t="n">
        <x:v>37.01</x:v>
      </x:c>
      <x:c r="G1301" s="44" t="n">
        <x:f>C1301*F1301</x:f>
        <x:v>185.04999999999998</x:v>
      </x:c>
      <x:c r="H1301" s="44" t="n">
        <x:f>E1301-G1301</x:f>
        <x:v>151.6</x:v>
      </x:c>
      <x:c r="I1301" s="14" t="str">
        <x:v>Distributor</x:v>
      </x:c>
      <x:c r="J1301" s="14" t="str">
        <x:v>Midwest</x:v>
      </x:c>
    </x:row>
    <x:row r="1302">
      <x:c r="A1302" s="50" t="n">
        <x:v>45957</x:v>
      </x:c>
      <x:c r="B1302" s="14" t="str">
        <x:v>SKU-0061</x:v>
      </x:c>
      <x:c r="C1302" s="52" t="n">
        <x:v>13</x:v>
      </x:c>
      <x:c r="D1302" s="40" t="n">
        <x:v>338.5</x:v>
      </x:c>
      <x:c r="E1302" s="44" t="n">
        <x:f>C1302*D1302</x:f>
        <x:v>4400.5</x:v>
      </x:c>
      <x:c r="F1302" s="40" t="n">
        <x:v>202.32</x:v>
      </x:c>
      <x:c r="G1302" s="44" t="n">
        <x:f>C1302*F1302</x:f>
        <x:v>2630.16</x:v>
      </x:c>
      <x:c r="H1302" s="44" t="n">
        <x:f>E1302-G1302</x:f>
        <x:v>1770.3400000000001</x:v>
      </x:c>
      <x:c r="I1302" s="14" t="str">
        <x:v>Internal Use</x:v>
      </x:c>
      <x:c r="J1302" s="14" t="str">
        <x:v>Southeast</x:v>
      </x:c>
    </x:row>
    <x:row r="1303">
      <x:c r="A1303" s="50" t="n">
        <x:v>46195</x:v>
      </x:c>
      <x:c r="B1303" s="14" t="str">
        <x:v>SKU-0139</x:v>
      </x:c>
      <x:c r="C1303" s="52" t="n">
        <x:v>11</x:v>
      </x:c>
      <x:c r="D1303" s="40" t="n">
        <x:v>293.05</x:v>
      </x:c>
      <x:c r="E1303" s="44" t="n">
        <x:f>C1303*D1303</x:f>
        <x:v>3223.55</x:v>
      </x:c>
      <x:c r="F1303" s="40" t="n">
        <x:v>157.6</x:v>
      </x:c>
      <x:c r="G1303" s="44" t="n">
        <x:f>C1303*F1303</x:f>
        <x:v>1733.6</x:v>
      </x:c>
      <x:c r="H1303" s="44" t="n">
        <x:f>E1303-G1303</x:f>
        <x:v>1489.9500000000003</x:v>
      </x:c>
      <x:c r="I1303" s="14" t="str">
        <x:v>Internal Use</x:v>
      </x:c>
      <x:c r="J1303" s="14" t="str">
        <x:v>Northeast</x:v>
      </x:c>
    </x:row>
    <x:row r="1304">
      <x:c r="A1304" s="50" t="n">
        <x:v>46006</x:v>
      </x:c>
      <x:c r="B1304" s="14" t="str">
        <x:v>SKU-0025</x:v>
      </x:c>
      <x:c r="C1304" s="52" t="n">
        <x:v>16</x:v>
      </x:c>
      <x:c r="D1304" s="40" t="n">
        <x:v>536.97</x:v>
      </x:c>
      <x:c r="E1304" s="44" t="n">
        <x:f>C1304*D1304</x:f>
        <x:v>8591.52</x:v>
      </x:c>
      <x:c r="F1304" s="40" t="n">
        <x:v>275.52</x:v>
      </x:c>
      <x:c r="G1304" s="44" t="n">
        <x:f>C1304*F1304</x:f>
        <x:v>4408.32</x:v>
      </x:c>
      <x:c r="H1304" s="44" t="n">
        <x:f>E1304-G1304</x:f>
        <x:v>4183.200000000001</x:v>
      </x:c>
      <x:c r="I1304" s="14" t="str">
        <x:v>SMB</x:v>
      </x:c>
      <x:c r="J1304" s="14" t="str">
        <x:v>Southeast</x:v>
      </x:c>
    </x:row>
    <x:row r="1305">
      <x:c r="A1305" s="50" t="n">
        <x:v>46023</x:v>
      </x:c>
      <x:c r="B1305" s="14" t="str">
        <x:v>SKU-0057</x:v>
      </x:c>
      <x:c r="C1305" s="52" t="n">
        <x:v>4</x:v>
      </x:c>
      <x:c r="D1305" s="40" t="n">
        <x:v>172.12</x:v>
      </x:c>
      <x:c r="E1305" s="44" t="n">
        <x:f>C1305*D1305</x:f>
        <x:v>688.48</x:v>
      </x:c>
      <x:c r="F1305" s="40" t="n">
        <x:v>122.8</x:v>
      </x:c>
      <x:c r="G1305" s="44" t="n">
        <x:f>C1305*F1305</x:f>
        <x:v>491.2</x:v>
      </x:c>
      <x:c r="H1305" s="44" t="n">
        <x:f>E1305-G1305</x:f>
        <x:v>197.28000000000003</x:v>
      </x:c>
      <x:c r="I1305" s="14" t="str">
        <x:v>Internal Use</x:v>
      </x:c>
      <x:c r="J1305" s="14" t="str">
        <x:v>West</x:v>
      </x:c>
    </x:row>
    <x:row r="1306">
      <x:c r="A1306" s="50" t="n">
        <x:v>45998</x:v>
      </x:c>
      <x:c r="B1306" s="14" t="str">
        <x:v>SKU-0055</x:v>
      </x:c>
      <x:c r="C1306" s="52" t="n">
        <x:v>15</x:v>
      </x:c>
      <x:c r="D1306" s="40" t="n">
        <x:v>359.98</x:v>
      </x:c>
      <x:c r="E1306" s="44" t="n">
        <x:f>C1306*D1306</x:f>
        <x:v>5399.700000000001</x:v>
      </x:c>
      <x:c r="F1306" s="40" t="n">
        <x:v>263.76</x:v>
      </x:c>
      <x:c r="G1306" s="44" t="n">
        <x:f>C1306*F1306</x:f>
        <x:v>3956.3999999999996</x:v>
      </x:c>
      <x:c r="H1306" s="44" t="n">
        <x:f>E1306-G1306</x:f>
        <x:v>1443.300000000001</x:v>
      </x:c>
      <x:c r="I1306" s="14" t="str">
        <x:v>Internal Use</x:v>
      </x:c>
      <x:c r="J1306" s="14" t="str">
        <x:v>West</x:v>
      </x:c>
    </x:row>
    <x:row r="1307">
      <x:c r="A1307" s="50" t="n">
        <x:v>46157</x:v>
      </x:c>
      <x:c r="B1307" s="14" t="str">
        <x:v>SKU-0006</x:v>
      </x:c>
      <x:c r="C1307" s="52" t="n">
        <x:v>14</x:v>
      </x:c>
      <x:c r="D1307" s="40" t="n">
        <x:v>296.31</x:v>
      </x:c>
      <x:c r="E1307" s="44" t="n">
        <x:f>C1307*D1307</x:f>
        <x:v>4148.34</x:v>
      </x:c>
      <x:c r="F1307" s="40" t="n">
        <x:v>241.37</x:v>
      </x:c>
      <x:c r="G1307" s="44" t="n">
        <x:f>C1307*F1307</x:f>
        <x:v>3379.1800000000003</x:v>
      </x:c>
      <x:c r="H1307" s="44" t="n">
        <x:f>E1307-G1307</x:f>
        <x:v>769.1599999999999</x:v>
      </x:c>
      <x:c r="I1307" s="14" t="str">
        <x:v>Internal Use</x:v>
      </x:c>
      <x:c r="J1307" s="14" t="str">
        <x:v>Midwest</x:v>
      </x:c>
    </x:row>
    <x:row r="1308">
      <x:c r="A1308" s="50" t="n">
        <x:v>45890</x:v>
      </x:c>
      <x:c r="B1308" s="14" t="str">
        <x:v>SKU-0083</x:v>
      </x:c>
      <x:c r="C1308" s="52" t="n">
        <x:v>8</x:v>
      </x:c>
      <x:c r="D1308" s="40" t="n">
        <x:v>207.05</x:v>
      </x:c>
      <x:c r="E1308" s="44" t="n">
        <x:f>C1308*D1308</x:f>
        <x:v>1656.4</x:v>
      </x:c>
      <x:c r="F1308" s="40" t="n">
        <x:v>126.42</x:v>
      </x:c>
      <x:c r="G1308" s="44" t="n">
        <x:f>C1308*F1308</x:f>
        <x:v>1011.36</x:v>
      </x:c>
      <x:c r="H1308" s="44" t="n">
        <x:f>E1308-G1308</x:f>
        <x:v>645.0400000000001</x:v>
      </x:c>
      <x:c r="I1308" s="14" t="str">
        <x:v>SMB</x:v>
      </x:c>
      <x:c r="J1308" s="14" t="str">
        <x:v>Midwest</x:v>
      </x:c>
    </x:row>
    <x:row r="1309">
      <x:c r="A1309" s="50" t="n">
        <x:v>46240</x:v>
      </x:c>
      <x:c r="B1309" s="14" t="str">
        <x:v>SKU-0037</x:v>
      </x:c>
      <x:c r="C1309" s="52" t="n">
        <x:v>12</x:v>
      </x:c>
      <x:c r="D1309" s="40" t="n">
        <x:v>168.84</x:v>
      </x:c>
      <x:c r="E1309" s="44" t="n">
        <x:f>C1309*D1309</x:f>
        <x:v>2026.08</x:v>
      </x:c>
      <x:c r="F1309" s="40" t="n">
        <x:v>115.83</x:v>
      </x:c>
      <x:c r="G1309" s="44" t="n">
        <x:f>C1309*F1309</x:f>
        <x:v>1389.96</x:v>
      </x:c>
      <x:c r="H1309" s="44" t="n">
        <x:f>E1309-G1309</x:f>
        <x:v>636.1199999999999</x:v>
      </x:c>
      <x:c r="I1309" s="14" t="str">
        <x:v>SMB</x:v>
      </x:c>
      <x:c r="J1309" s="14" t="str">
        <x:v>Midwest</x:v>
      </x:c>
    </x:row>
    <x:row r="1310">
      <x:c r="A1310" s="50" t="n">
        <x:v>46087</x:v>
      </x:c>
      <x:c r="B1310" s="14" t="str">
        <x:v>SKU-0091</x:v>
      </x:c>
      <x:c r="C1310" s="52" t="n">
        <x:v>3</x:v>
      </x:c>
      <x:c r="D1310" s="40" t="n">
        <x:v>68.74</x:v>
      </x:c>
      <x:c r="E1310" s="44" t="n">
        <x:f>C1310*D1310</x:f>
        <x:v>206.21999999999997</x:v>
      </x:c>
      <x:c r="F1310" s="40" t="n">
        <x:v>42.22</x:v>
      </x:c>
      <x:c r="G1310" s="44" t="n">
        <x:f>C1310*F1310</x:f>
        <x:v>126.66</x:v>
      </x:c>
      <x:c r="H1310" s="44" t="n">
        <x:f>E1310-G1310</x:f>
        <x:v>79.55999999999997</x:v>
      </x:c>
      <x:c r="I1310" s="14" t="str">
        <x:v>Internal Use</x:v>
      </x:c>
      <x:c r="J1310" s="14" t="str">
        <x:v>West</x:v>
      </x:c>
    </x:row>
    <x:row r="1311">
      <x:c r="A1311" s="50" t="n">
        <x:v>46231</x:v>
      </x:c>
      <x:c r="B1311" s="14" t="str">
        <x:v>SKU-0007</x:v>
      </x:c>
      <x:c r="C1311" s="52" t="n">
        <x:v>19</x:v>
      </x:c>
      <x:c r="D1311" s="40" t="n">
        <x:v>193.76</x:v>
      </x:c>
      <x:c r="E1311" s="44" t="n">
        <x:f>C1311*D1311</x:f>
        <x:v>3681.4399999999996</x:v>
      </x:c>
      <x:c r="F1311" s="40" t="n">
        <x:v>123.15</x:v>
      </x:c>
      <x:c r="G1311" s="44" t="n">
        <x:f>C1311*F1311</x:f>
        <x:v>2339.85</x:v>
      </x:c>
      <x:c r="H1311" s="44" t="n">
        <x:f>E1311-G1311</x:f>
        <x:v>1341.5899999999997</x:v>
      </x:c>
      <x:c r="I1311" s="14" t="str">
        <x:v>Internal Use</x:v>
      </x:c>
      <x:c r="J1311" s="14" t="str">
        <x:v>Northeast</x:v>
      </x:c>
    </x:row>
    <x:row r="1312">
      <x:c r="A1312" s="50" t="n">
        <x:v>46172</x:v>
      </x:c>
      <x:c r="B1312" s="14" t="str">
        <x:v>SKU-0100</x:v>
      </x:c>
      <x:c r="C1312" s="52" t="n">
        <x:v>6</x:v>
      </x:c>
      <x:c r="D1312" s="40" t="n">
        <x:v>186.65</x:v>
      </x:c>
      <x:c r="E1312" s="44" t="n">
        <x:f>C1312*D1312</x:f>
        <x:v>1119.9</x:v>
      </x:c>
      <x:c r="F1312" s="40" t="n">
        <x:v>108.23</x:v>
      </x:c>
      <x:c r="G1312" s="44" t="n">
        <x:f>C1312*F1312</x:f>
        <x:v>649.38</x:v>
      </x:c>
      <x:c r="H1312" s="44" t="n">
        <x:f>E1312-G1312</x:f>
        <x:v>470.5200000000001</x:v>
      </x:c>
      <x:c r="I1312" s="14" t="str">
        <x:v>Internal Use</x:v>
      </x:c>
      <x:c r="J1312" s="14" t="str">
        <x:v>West</x:v>
      </x:c>
    </x:row>
    <x:row r="1313">
      <x:c r="A1313" s="50" t="n">
        <x:v>46103</x:v>
      </x:c>
      <x:c r="B1313" s="14" t="str">
        <x:v>SKU-0023</x:v>
      </x:c>
      <x:c r="C1313" s="52" t="n">
        <x:v>5</x:v>
      </x:c>
      <x:c r="D1313" s="40" t="n">
        <x:v>94.81</x:v>
      </x:c>
      <x:c r="E1313" s="44" t="n">
        <x:f>C1313*D1313</x:f>
        <x:v>474.05</x:v>
      </x:c>
      <x:c r="F1313" s="40" t="n">
        <x:v>76.21</x:v>
      </x:c>
      <x:c r="G1313" s="44" t="n">
        <x:f>C1313*F1313</x:f>
        <x:v>381.04999999999995</x:v>
      </x:c>
      <x:c r="H1313" s="44" t="n">
        <x:f>E1313-G1313</x:f>
        <x:v>93.00000000000006</x:v>
      </x:c>
      <x:c r="I1313" s="14" t="str">
        <x:v>Distributor</x:v>
      </x:c>
      <x:c r="J1313" s="14" t="str">
        <x:v>West</x:v>
      </x:c>
    </x:row>
    <x:row r="1314">
      <x:c r="A1314" s="50" t="n">
        <x:v>45966</x:v>
      </x:c>
      <x:c r="B1314" s="14" t="str">
        <x:v>SKU-0041</x:v>
      </x:c>
      <x:c r="C1314" s="52" t="n">
        <x:v>3</x:v>
      </x:c>
      <x:c r="D1314" s="40" t="n">
        <x:v>202.21</x:v>
      </x:c>
      <x:c r="E1314" s="44" t="n">
        <x:f>C1314*D1314</x:f>
        <x:v>606.63</x:v>
      </x:c>
      <x:c r="F1314" s="40" t="n">
        <x:v>117.51</x:v>
      </x:c>
      <x:c r="G1314" s="44" t="n">
        <x:f>C1314*F1314</x:f>
        <x:v>352.53000000000003</x:v>
      </x:c>
      <x:c r="H1314" s="44" t="n">
        <x:f>E1314-G1314</x:f>
        <x:v>254.09999999999997</x:v>
      </x:c>
      <x:c r="I1314" s="14" t="str">
        <x:v>SMB</x:v>
      </x:c>
      <x:c r="J1314" s="14" t="str">
        <x:v>Northeast</x:v>
      </x:c>
    </x:row>
    <x:row r="1315">
      <x:c r="A1315" s="50" t="n">
        <x:v>46066</x:v>
      </x:c>
      <x:c r="B1315" s="14" t="str">
        <x:v>SKU-0098</x:v>
      </x:c>
      <x:c r="C1315" s="52" t="n">
        <x:v>4</x:v>
      </x:c>
      <x:c r="D1315" s="40" t="n">
        <x:v>388.34</x:v>
      </x:c>
      <x:c r="E1315" s="44" t="n">
        <x:f>C1315*D1315</x:f>
        <x:v>1553.36</x:v>
      </x:c>
      <x:c r="F1315" s="40" t="n">
        <x:v>270.95</x:v>
      </x:c>
      <x:c r="G1315" s="44" t="n">
        <x:f>C1315*F1315</x:f>
        <x:v>1083.8</x:v>
      </x:c>
      <x:c r="H1315" s="44" t="n">
        <x:f>E1315-G1315</x:f>
        <x:v>469.55999999999995</x:v>
      </x:c>
      <x:c r="I1315" s="14" t="str">
        <x:v>SMB</x:v>
      </x:c>
      <x:c r="J1315" s="14" t="str">
        <x:v>Northeast</x:v>
      </x:c>
    </x:row>
    <x:row r="1316">
      <x:c r="A1316" s="50" t="n">
        <x:v>45905</x:v>
      </x:c>
      <x:c r="B1316" s="14" t="str">
        <x:v>SKU-0142</x:v>
      </x:c>
      <x:c r="C1316" s="52" t="n">
        <x:v>4</x:v>
      </x:c>
      <x:c r="D1316" s="40" t="n">
        <x:v>175.33</x:v>
      </x:c>
      <x:c r="E1316" s="44" t="n">
        <x:f>C1316*D1316</x:f>
        <x:v>701.32</x:v>
      </x:c>
      <x:c r="F1316" s="40" t="n">
        <x:v>95.95</x:v>
      </x:c>
      <x:c r="G1316" s="44" t="n">
        <x:f>C1316*F1316</x:f>
        <x:v>383.8</x:v>
      </x:c>
      <x:c r="H1316" s="44" t="n">
        <x:f>E1316-G1316</x:f>
        <x:v>317.52000000000004</x:v>
      </x:c>
      <x:c r="I1316" s="14" t="str">
        <x:v>SMB</x:v>
      </x:c>
      <x:c r="J1316" s="14" t="str">
        <x:v>Midwest</x:v>
      </x:c>
    </x:row>
    <x:row r="1317">
      <x:c r="A1317" s="50" t="n">
        <x:v>46103</x:v>
      </x:c>
      <x:c r="B1317" s="14" t="str">
        <x:v>SKU-0037</x:v>
      </x:c>
      <x:c r="C1317" s="52" t="n">
        <x:v>5</x:v>
      </x:c>
      <x:c r="D1317" s="40" t="n">
        <x:v>171.91</x:v>
      </x:c>
      <x:c r="E1317" s="44" t="n">
        <x:f>C1317*D1317</x:f>
        <x:v>859.55</x:v>
      </x:c>
      <x:c r="F1317" s="40" t="n">
        <x:v>115.83</x:v>
      </x:c>
      <x:c r="G1317" s="44" t="n">
        <x:f>C1317*F1317</x:f>
        <x:v>579.15</x:v>
      </x:c>
      <x:c r="H1317" s="44" t="n">
        <x:f>E1317-G1317</x:f>
        <x:v>280.4</x:v>
      </x:c>
      <x:c r="I1317" s="14" t="str">
        <x:v>SMB</x:v>
      </x:c>
      <x:c r="J1317" s="14" t="str">
        <x:v>Northeast</x:v>
      </x:c>
    </x:row>
    <x:row r="1318">
      <x:c r="A1318" s="50" t="n">
        <x:v>46173</x:v>
      </x:c>
      <x:c r="B1318" s="14" t="str">
        <x:v>SKU-0014</x:v>
      </x:c>
      <x:c r="C1318" s="52" t="n">
        <x:v>24</x:v>
      </x:c>
      <x:c r="D1318" s="40" t="n">
        <x:v>299.05</x:v>
      </x:c>
      <x:c r="E1318" s="44" t="n">
        <x:f>C1318*D1318</x:f>
        <x:v>7177.200000000001</x:v>
      </x:c>
      <x:c r="F1318" s="40" t="n">
        <x:v>152.14</x:v>
      </x:c>
      <x:c r="G1318" s="44" t="n">
        <x:f>C1318*F1318</x:f>
        <x:v>3651.3599999999997</x:v>
      </x:c>
      <x:c r="H1318" s="44" t="n">
        <x:f>E1318-G1318</x:f>
        <x:v>3525.840000000001</x:v>
      </x:c>
      <x:c r="I1318" s="14" t="str">
        <x:v>SMB</x:v>
      </x:c>
      <x:c r="J1318" s="14" t="str">
        <x:v>Midwest</x:v>
      </x:c>
    </x:row>
    <x:row r="1319">
      <x:c r="A1319" s="50" t="n">
        <x:v>46120</x:v>
      </x:c>
      <x:c r="B1319" s="14" t="str">
        <x:v>SKU-0141</x:v>
      </x:c>
      <x:c r="C1319" s="52" t="n">
        <x:v>1</x:v>
      </x:c>
      <x:c r="D1319" s="40" t="n">
        <x:v>343.26</x:v>
      </x:c>
      <x:c r="E1319" s="44" t="n">
        <x:f>C1319*D1319</x:f>
        <x:v>343.26</x:v>
      </x:c>
      <x:c r="F1319" s="40" t="n">
        <x:v>279.99</x:v>
      </x:c>
      <x:c r="G1319" s="44" t="n">
        <x:f>C1319*F1319</x:f>
        <x:v>279.99</x:v>
      </x:c>
      <x:c r="H1319" s="44" t="n">
        <x:f>E1319-G1319</x:f>
        <x:v>63.26999999999998</x:v>
      </x:c>
      <x:c r="I1319" s="14" t="str">
        <x:v>Enterprise</x:v>
      </x:c>
      <x:c r="J1319" s="14" t="str">
        <x:v>Northeast</x:v>
      </x:c>
    </x:row>
    <x:row r="1320">
      <x:c r="A1320" s="50" t="n">
        <x:v>46017</x:v>
      </x:c>
      <x:c r="B1320" s="14" t="str">
        <x:v>SKU-0026</x:v>
      </x:c>
      <x:c r="C1320" s="52" t="n">
        <x:v>15</x:v>
      </x:c>
      <x:c r="D1320" s="40" t="n">
        <x:v>438.03</x:v>
      </x:c>
      <x:c r="E1320" s="44" t="n">
        <x:f>C1320*D1320</x:f>
        <x:v>6570.45</x:v>
      </x:c>
      <x:c r="F1320" s="40" t="n">
        <x:v>249.4</x:v>
      </x:c>
      <x:c r="G1320" s="44" t="n">
        <x:f>C1320*F1320</x:f>
        <x:v>3741</x:v>
      </x:c>
      <x:c r="H1320" s="44" t="n">
        <x:f>E1320-G1320</x:f>
        <x:v>2829.45</x:v>
      </x:c>
      <x:c r="I1320" s="14" t="str">
        <x:v>Internal Use</x:v>
      </x:c>
      <x:c r="J1320" s="14" t="str">
        <x:v>Midwest</x:v>
      </x:c>
    </x:row>
    <x:row r="1321">
      <x:c r="A1321" s="50" t="n">
        <x:v>45958</x:v>
      </x:c>
      <x:c r="B1321" s="14" t="str">
        <x:v>SKU-0046</x:v>
      </x:c>
      <x:c r="C1321" s="52" t="n">
        <x:v>9</x:v>
      </x:c>
      <x:c r="D1321" s="40" t="n">
        <x:v>125.15</x:v>
      </x:c>
      <x:c r="E1321" s="44" t="n">
        <x:f>C1321*D1321</x:f>
        <x:v>1126.3500000000001</x:v>
      </x:c>
      <x:c r="F1321" s="40" t="n">
        <x:v>66.68</x:v>
      </x:c>
      <x:c r="G1321" s="44" t="n">
        <x:f>C1321*F1321</x:f>
        <x:v>600.1200000000001</x:v>
      </x:c>
      <x:c r="H1321" s="44" t="n">
        <x:f>E1321-G1321</x:f>
        <x:v>526.23</x:v>
      </x:c>
      <x:c r="I1321" s="14" t="str">
        <x:v>Distributor</x:v>
      </x:c>
      <x:c r="J1321" s="14" t="str">
        <x:v>Southeast</x:v>
      </x:c>
    </x:row>
    <x:row r="1322">
      <x:c r="A1322" s="50" t="n">
        <x:v>46142</x:v>
      </x:c>
      <x:c r="B1322" s="14" t="str">
        <x:v>SKU-0070</x:v>
      </x:c>
      <x:c r="C1322" s="52" t="n">
        <x:v>21</x:v>
      </x:c>
      <x:c r="D1322" s="40" t="n">
        <x:v>119.19</x:v>
      </x:c>
      <x:c r="E1322" s="44" t="n">
        <x:f>C1322*D1322</x:f>
        <x:v>2502.99</x:v>
      </x:c>
      <x:c r="F1322" s="40" t="n">
        <x:v>69.06</x:v>
      </x:c>
      <x:c r="G1322" s="44" t="n">
        <x:f>C1322*F1322</x:f>
        <x:v>1450.26</x:v>
      </x:c>
      <x:c r="H1322" s="44" t="n">
        <x:f>E1322-G1322</x:f>
        <x:v>1052.7299999999998</x:v>
      </x:c>
      <x:c r="I1322" s="14" t="str">
        <x:v>Internal Use</x:v>
      </x:c>
      <x:c r="J1322" s="14" t="str">
        <x:v>Southeast</x:v>
      </x:c>
    </x:row>
    <x:row r="1323">
      <x:c r="A1323" s="50" t="n">
        <x:v>45904</x:v>
      </x:c>
      <x:c r="B1323" s="14" t="str">
        <x:v>SKU-0043</x:v>
      </x:c>
      <x:c r="C1323" s="52" t="n">
        <x:v>6</x:v>
      </x:c>
      <x:c r="D1323" s="40" t="n">
        <x:v>380.79</x:v>
      </x:c>
      <x:c r="E1323" s="44" t="n">
        <x:f>C1323*D1323</x:f>
        <x:v>2284.7400000000002</x:v>
      </x:c>
      <x:c r="F1323" s="40" t="n">
        <x:v>224.89</x:v>
      </x:c>
      <x:c r="G1323" s="44" t="n">
        <x:f>C1323*F1323</x:f>
        <x:v>1349.34</x:v>
      </x:c>
      <x:c r="H1323" s="44" t="n">
        <x:f>E1323-G1323</x:f>
        <x:v>935.4000000000003</x:v>
      </x:c>
      <x:c r="I1323" s="14" t="str">
        <x:v>Distributor</x:v>
      </x:c>
      <x:c r="J1323" s="14" t="str">
        <x:v>Midwest</x:v>
      </x:c>
    </x:row>
    <x:row r="1324">
      <x:c r="A1324" s="50" t="n">
        <x:v>46005</x:v>
      </x:c>
      <x:c r="B1324" s="14" t="str">
        <x:v>SKU-0119</x:v>
      </x:c>
      <x:c r="C1324" s="52" t="n">
        <x:v>7</x:v>
      </x:c>
      <x:c r="D1324" s="40" t="n">
        <x:v>98.23</x:v>
      </x:c>
      <x:c r="E1324" s="44" t="n">
        <x:f>C1324*D1324</x:f>
        <x:v>687.61</x:v>
      </x:c>
      <x:c r="F1324" s="40" t="n">
        <x:v>52.57</x:v>
      </x:c>
      <x:c r="G1324" s="44" t="n">
        <x:f>C1324*F1324</x:f>
        <x:v>367.99</x:v>
      </x:c>
      <x:c r="H1324" s="44" t="n">
        <x:f>E1324-G1324</x:f>
        <x:v>319.62</x:v>
      </x:c>
      <x:c r="I1324" s="14" t="str">
        <x:v>SMB</x:v>
      </x:c>
      <x:c r="J1324" s="14" t="str">
        <x:v>Northeast</x:v>
      </x:c>
    </x:row>
    <x:row r="1325">
      <x:c r="A1325" s="50" t="n">
        <x:v>46073</x:v>
      </x:c>
      <x:c r="B1325" s="14" t="str">
        <x:v>SKU-0018</x:v>
      </x:c>
      <x:c r="C1325" s="52" t="n">
        <x:v>4</x:v>
      </x:c>
      <x:c r="D1325" s="40" t="n">
        <x:v>76.14</x:v>
      </x:c>
      <x:c r="E1325" s="44" t="n">
        <x:f>C1325*D1325</x:f>
        <x:v>304.56</x:v>
      </x:c>
      <x:c r="F1325" s="40" t="n">
        <x:v>48.65</x:v>
      </x:c>
      <x:c r="G1325" s="44" t="n">
        <x:f>C1325*F1325</x:f>
        <x:v>194.6</x:v>
      </x:c>
      <x:c r="H1325" s="44" t="n">
        <x:f>E1325-G1325</x:f>
        <x:v>109.96000000000001</x:v>
      </x:c>
      <x:c r="I1325" s="14" t="str">
        <x:v>Internal Use</x:v>
      </x:c>
      <x:c r="J1325" s="14" t="str">
        <x:v>West</x:v>
      </x:c>
    </x:row>
    <x:row r="1326">
      <x:c r="A1326" s="50" t="n">
        <x:v>46157</x:v>
      </x:c>
      <x:c r="B1326" s="14" t="str">
        <x:v>SKU-0141</x:v>
      </x:c>
      <x:c r="C1326" s="52" t="n">
        <x:v>7</x:v>
      </x:c>
      <x:c r="D1326" s="40" t="n">
        <x:v>361.22</x:v>
      </x:c>
      <x:c r="E1326" s="44" t="n">
        <x:f>C1326*D1326</x:f>
        <x:v>2528.54</x:v>
      </x:c>
      <x:c r="F1326" s="40" t="n">
        <x:v>279.99</x:v>
      </x:c>
      <x:c r="G1326" s="44" t="n">
        <x:f>C1326*F1326</x:f>
        <x:v>1959.93</x:v>
      </x:c>
      <x:c r="H1326" s="44" t="n">
        <x:f>E1326-G1326</x:f>
        <x:v>568.6099999999999</x:v>
      </x:c>
      <x:c r="I1326" s="14" t="str">
        <x:v>Internal Use</x:v>
      </x:c>
      <x:c r="J1326" s="14" t="str">
        <x:v>Midwest</x:v>
      </x:c>
    </x:row>
    <x:row r="1327">
      <x:c r="A1327" s="50" t="n">
        <x:v>46088</x:v>
      </x:c>
      <x:c r="B1327" s="14" t="str">
        <x:v>SKU-0135</x:v>
      </x:c>
      <x:c r="C1327" s="52" t="n">
        <x:v>15</x:v>
      </x:c>
      <x:c r="D1327" s="40" t="n">
        <x:v>362.35</x:v>
      </x:c>
      <x:c r="E1327" s="44" t="n">
        <x:f>C1327*D1327</x:f>
        <x:v>5435.25</x:v>
      </x:c>
      <x:c r="F1327" s="40" t="n">
        <x:v>275.11</x:v>
      </x:c>
      <x:c r="G1327" s="44" t="n">
        <x:f>C1327*F1327</x:f>
        <x:v>4126.650000000001</x:v>
      </x:c>
      <x:c r="H1327" s="44" t="n">
        <x:f>E1327-G1327</x:f>
        <x:v>1308.5999999999995</x:v>
      </x:c>
      <x:c r="I1327" s="14" t="str">
        <x:v>Internal Use</x:v>
      </x:c>
      <x:c r="J1327" s="14" t="str">
        <x:v>West</x:v>
      </x:c>
    </x:row>
    <x:row r="1328">
      <x:c r="A1328" s="50" t="n">
        <x:v>46071</x:v>
      </x:c>
      <x:c r="B1328" s="14" t="str">
        <x:v>SKU-0077</x:v>
      </x:c>
      <x:c r="C1328" s="52" t="n">
        <x:v>2</x:v>
      </x:c>
      <x:c r="D1328" s="40" t="n">
        <x:v>16.36</x:v>
      </x:c>
      <x:c r="E1328" s="44" t="n">
        <x:f>C1328*D1328</x:f>
        <x:v>32.72</x:v>
      </x:c>
      <x:c r="F1328" s="40" t="n">
        <x:v>12.68</x:v>
      </x:c>
      <x:c r="G1328" s="44" t="n">
        <x:f>C1328*F1328</x:f>
        <x:v>25.36</x:v>
      </x:c>
      <x:c r="H1328" s="44" t="n">
        <x:f>E1328-G1328</x:f>
        <x:v>7.359999999999999</x:v>
      </x:c>
      <x:c r="I1328" s="14" t="str">
        <x:v>SMB</x:v>
      </x:c>
      <x:c r="J1328" s="14" t="str">
        <x:v>West</x:v>
      </x:c>
    </x:row>
    <x:row r="1329">
      <x:c r="A1329" s="50" t="n">
        <x:v>46110</x:v>
      </x:c>
      <x:c r="B1329" s="14" t="str">
        <x:v>SKU-0038</x:v>
      </x:c>
      <x:c r="C1329" s="52" t="n">
        <x:v>23</x:v>
      </x:c>
      <x:c r="D1329" s="40" t="n">
        <x:v>230.62</x:v>
      </x:c>
      <x:c r="E1329" s="44" t="n">
        <x:f>C1329*D1329</x:f>
        <x:v>5304.26</x:v>
      </x:c>
      <x:c r="F1329" s="40" t="n">
        <x:v>160.43</x:v>
      </x:c>
      <x:c r="G1329" s="44" t="n">
        <x:f>C1329*F1329</x:f>
        <x:v>3689.8900000000003</x:v>
      </x:c>
      <x:c r="H1329" s="44" t="n">
        <x:f>E1329-G1329</x:f>
        <x:v>1614.37</x:v>
      </x:c>
      <x:c r="I1329" s="14" t="str">
        <x:v>SMB</x:v>
      </x:c>
      <x:c r="J1329" s="14" t="str">
        <x:v>Southeast</x:v>
      </x:c>
    </x:row>
    <x:row r="1330">
      <x:c r="A1330" s="50" t="n">
        <x:v>45996</x:v>
      </x:c>
      <x:c r="B1330" s="14" t="str">
        <x:v>SKU-0005</x:v>
      </x:c>
      <x:c r="C1330" s="52" t="n">
        <x:v>18</x:v>
      </x:c>
      <x:c r="D1330" s="40" t="n">
        <x:v>336.94</x:v>
      </x:c>
      <x:c r="E1330" s="44" t="n">
        <x:f>C1330*D1330</x:f>
        <x:v>6064.92</x:v>
      </x:c>
      <x:c r="F1330" s="40" t="n">
        <x:v>176.62</x:v>
      </x:c>
      <x:c r="G1330" s="44" t="n">
        <x:f>C1330*F1330</x:f>
        <x:v>3179.16</x:v>
      </x:c>
      <x:c r="H1330" s="44" t="n">
        <x:f>E1330-G1330</x:f>
        <x:v>2885.76</x:v>
      </x:c>
      <x:c r="I1330" s="14" t="str">
        <x:v>Internal Use</x:v>
      </x:c>
      <x:c r="J1330" s="14" t="str">
        <x:v>Midwest</x:v>
      </x:c>
    </x:row>
    <x:row r="1331">
      <x:c r="A1331" s="50" t="n">
        <x:v>46117</x:v>
      </x:c>
      <x:c r="B1331" s="14" t="str">
        <x:v>SKU-0053</x:v>
      </x:c>
      <x:c r="C1331" s="52" t="n">
        <x:v>5</x:v>
      </x:c>
      <x:c r="D1331" s="40" t="n">
        <x:v>410.26</x:v>
      </x:c>
      <x:c r="E1331" s="44" t="n">
        <x:f>C1331*D1331</x:f>
        <x:v>2051.3</x:v>
      </x:c>
      <x:c r="F1331" s="40" t="n">
        <x:v>235.39</x:v>
      </x:c>
      <x:c r="G1331" s="44" t="n">
        <x:f>C1331*F1331</x:f>
        <x:v>1176.9499999999998</x:v>
      </x:c>
      <x:c r="H1331" s="44" t="n">
        <x:f>E1331-G1331</x:f>
        <x:v>874.3500000000004</x:v>
      </x:c>
      <x:c r="I1331" s="14" t="str">
        <x:v>Enterprise</x:v>
      </x:c>
      <x:c r="J1331" s="14" t="str">
        <x:v>Midwest</x:v>
      </x:c>
    </x:row>
    <x:row r="1332">
      <x:c r="A1332" s="50" t="n">
        <x:v>45907</x:v>
      </x:c>
      <x:c r="B1332" s="14" t="str">
        <x:v>SKU-0096</x:v>
      </x:c>
      <x:c r="C1332" s="52" t="n">
        <x:v>1</x:v>
      </x:c>
      <x:c r="D1332" s="40" t="n">
        <x:v>53.48</x:v>
      </x:c>
      <x:c r="E1332" s="44" t="n">
        <x:f>C1332*D1332</x:f>
        <x:v>53.48</x:v>
      </x:c>
      <x:c r="F1332" s="40" t="n">
        <x:v>29.46</x:v>
      </x:c>
      <x:c r="G1332" s="44" t="n">
        <x:f>C1332*F1332</x:f>
        <x:v>29.46</x:v>
      </x:c>
      <x:c r="H1332" s="44" t="n">
        <x:f>E1332-G1332</x:f>
        <x:v>24.019999999999996</x:v>
      </x:c>
      <x:c r="I1332" s="14" t="str">
        <x:v>Internal Use</x:v>
      </x:c>
      <x:c r="J1332" s="14" t="str">
        <x:v>Northeast</x:v>
      </x:c>
    </x:row>
    <x:row r="1333">
      <x:c r="A1333" s="50" t="n">
        <x:v>46061</x:v>
      </x:c>
      <x:c r="B1333" s="14" t="str">
        <x:v>SKU-0076</x:v>
      </x:c>
      <x:c r="C1333" s="52" t="n">
        <x:v>24</x:v>
      </x:c>
      <x:c r="D1333" s="40" t="n">
        <x:v>183.42</x:v>
      </x:c>
      <x:c r="E1333" s="44" t="n">
        <x:f>C1333*D1333</x:f>
        <x:v>4402.08</x:v>
      </x:c>
      <x:c r="F1333" s="40" t="n">
        <x:v>132.93</x:v>
      </x:c>
      <x:c r="G1333" s="44" t="n">
        <x:f>C1333*F1333</x:f>
        <x:v>3190.32</x:v>
      </x:c>
      <x:c r="H1333" s="44" t="n">
        <x:f>E1333-G1333</x:f>
        <x:v>1211.7599999999998</x:v>
      </x:c>
      <x:c r="I1333" s="14" t="str">
        <x:v>Internal Use</x:v>
      </x:c>
      <x:c r="J1333" s="14" t="str">
        <x:v>Northeast</x:v>
      </x:c>
    </x:row>
    <x:row r="1334">
      <x:c r="A1334" s="50" t="n">
        <x:v>46049</x:v>
      </x:c>
      <x:c r="B1334" s="14" t="str">
        <x:v>SKU-0091</x:v>
      </x:c>
      <x:c r="C1334" s="52" t="n">
        <x:v>1</x:v>
      </x:c>
      <x:c r="D1334" s="40" t="n">
        <x:v>62.47</x:v>
      </x:c>
      <x:c r="E1334" s="44" t="n">
        <x:f>C1334*D1334</x:f>
        <x:v>62.47</x:v>
      </x:c>
      <x:c r="F1334" s="40" t="n">
        <x:v>42.22</x:v>
      </x:c>
      <x:c r="G1334" s="44" t="n">
        <x:f>C1334*F1334</x:f>
        <x:v>42.22</x:v>
      </x:c>
      <x:c r="H1334" s="44" t="n">
        <x:f>E1334-G1334</x:f>
        <x:v>20.25</x:v>
      </x:c>
      <x:c r="I1334" s="14" t="str">
        <x:v>Enterprise</x:v>
      </x:c>
      <x:c r="J1334" s="14" t="str">
        <x:v>Southeast</x:v>
      </x:c>
    </x:row>
    <x:row r="1335">
      <x:c r="A1335" s="50" t="n">
        <x:v>46070</x:v>
      </x:c>
      <x:c r="B1335" s="14" t="str">
        <x:v>SKU-0134</x:v>
      </x:c>
      <x:c r="C1335" s="52" t="n">
        <x:v>3</x:v>
      </x:c>
      <x:c r="D1335" s="40" t="n">
        <x:v>439.34</x:v>
      </x:c>
      <x:c r="E1335" s="44" t="n">
        <x:f>C1335*D1335</x:f>
        <x:v>1318.02</x:v>
      </x:c>
      <x:c r="F1335" s="40" t="n">
        <x:v>254.76</x:v>
      </x:c>
      <x:c r="G1335" s="44" t="n">
        <x:f>C1335*F1335</x:f>
        <x:v>764.28</x:v>
      </x:c>
      <x:c r="H1335" s="44" t="n">
        <x:f>E1335-G1335</x:f>
        <x:v>553.74</x:v>
      </x:c>
      <x:c r="I1335" s="14" t="str">
        <x:v>Internal Use</x:v>
      </x:c>
      <x:c r="J1335" s="14" t="str">
        <x:v>Midwest</x:v>
      </x:c>
    </x:row>
    <x:row r="1336">
      <x:c r="A1336" s="50" t="n">
        <x:v>46025</x:v>
      </x:c>
      <x:c r="B1336" s="14" t="str">
        <x:v>SKU-0084</x:v>
      </x:c>
      <x:c r="C1336" s="52" t="n">
        <x:v>3</x:v>
      </x:c>
      <x:c r="D1336" s="40" t="n">
        <x:v>224.98</x:v>
      </x:c>
      <x:c r="E1336" s="44" t="n">
        <x:f>C1336*D1336</x:f>
        <x:v>674.9399999999999</x:v>
      </x:c>
      <x:c r="F1336" s="40" t="n">
        <x:v>108.77</x:v>
      </x:c>
      <x:c r="G1336" s="44" t="n">
        <x:f>C1336*F1336</x:f>
        <x:v>326.31</x:v>
      </x:c>
      <x:c r="H1336" s="44" t="n">
        <x:f>E1336-G1336</x:f>
        <x:v>348.62999999999994</x:v>
      </x:c>
      <x:c r="I1336" s="14" t="str">
        <x:v>Internal Use</x:v>
      </x:c>
      <x:c r="J1336" s="14" t="str">
        <x:v>West</x:v>
      </x:c>
    </x:row>
    <x:row r="1337">
      <x:c r="A1337" s="50" t="n">
        <x:v>46143</x:v>
      </x:c>
      <x:c r="B1337" s="14" t="str">
        <x:v>SKU-0111</x:v>
      </x:c>
      <x:c r="C1337" s="52" t="n">
        <x:v>18</x:v>
      </x:c>
      <x:c r="D1337" s="40" t="n">
        <x:v>141.51</x:v>
      </x:c>
      <x:c r="E1337" s="44" t="n">
        <x:f>C1337*D1337</x:f>
        <x:v>2547.18</x:v>
      </x:c>
      <x:c r="F1337" s="40" t="n">
        <x:v>120.79</x:v>
      </x:c>
      <x:c r="G1337" s="44" t="n">
        <x:f>C1337*F1337</x:f>
        <x:v>2174.2200000000003</x:v>
      </x:c>
      <x:c r="H1337" s="44" t="n">
        <x:f>E1337-G1337</x:f>
        <x:v>372.9599999999996</x:v>
      </x:c>
      <x:c r="I1337" s="14" t="str">
        <x:v>SMB</x:v>
      </x:c>
      <x:c r="J1337" s="14" t="str">
        <x:v>West</x:v>
      </x:c>
    </x:row>
    <x:row r="1338">
      <x:c r="A1338" s="50" t="n">
        <x:v>46218</x:v>
      </x:c>
      <x:c r="B1338" s="14" t="str">
        <x:v>SKU-0085</x:v>
      </x:c>
      <x:c r="C1338" s="52" t="n">
        <x:v>26</x:v>
      </x:c>
      <x:c r="D1338" s="40" t="n">
        <x:v>395.82</x:v>
      </x:c>
      <x:c r="E1338" s="44" t="n">
        <x:f>C1338*D1338</x:f>
        <x:v>10291.32</x:v>
      </x:c>
      <x:c r="F1338" s="40" t="n">
        <x:v>222.39</x:v>
      </x:c>
      <x:c r="G1338" s="44" t="n">
        <x:f>C1338*F1338</x:f>
        <x:v>5782.139999999999</x:v>
      </x:c>
      <x:c r="H1338" s="44" t="n">
        <x:f>E1338-G1338</x:f>
        <x:v>4509.18</x:v>
      </x:c>
      <x:c r="I1338" s="14" t="str">
        <x:v>SMB</x:v>
      </x:c>
      <x:c r="J1338" s="14" t="str">
        <x:v>Southeast</x:v>
      </x:c>
    </x:row>
    <x:row r="1339">
      <x:c r="A1339" s="50" t="n">
        <x:v>45927</x:v>
      </x:c>
      <x:c r="B1339" s="14" t="str">
        <x:v>SKU-0051</x:v>
      </x:c>
      <x:c r="C1339" s="52" t="n">
        <x:v>11</x:v>
      </x:c>
      <x:c r="D1339" s="40" t="n">
        <x:v>101.13</x:v>
      </x:c>
      <x:c r="E1339" s="44" t="n">
        <x:f>C1339*D1339</x:f>
        <x:v>1112.4299999999998</x:v>
      </x:c>
      <x:c r="F1339" s="40" t="n">
        <x:v>74.69</x:v>
      </x:c>
      <x:c r="G1339" s="44" t="n">
        <x:f>C1339*F1339</x:f>
        <x:v>821.5899999999999</x:v>
      </x:c>
      <x:c r="H1339" s="44" t="n">
        <x:f>E1339-G1339</x:f>
        <x:v>290.8399999999999</x:v>
      </x:c>
      <x:c r="I1339" s="14" t="str">
        <x:v>Enterprise</x:v>
      </x:c>
      <x:c r="J1339" s="14" t="str">
        <x:v>Midwest</x:v>
      </x:c>
    </x:row>
    <x:row r="1340">
      <x:c r="A1340" s="50" t="n">
        <x:v>45948</x:v>
      </x:c>
      <x:c r="B1340" s="14" t="str">
        <x:v>SKU-0004</x:v>
      </x:c>
      <x:c r="C1340" s="52" t="n">
        <x:v>3</x:v>
      </x:c>
      <x:c r="D1340" s="40" t="n">
        <x:v>344.06</x:v>
      </x:c>
      <x:c r="E1340" s="44" t="n">
        <x:f>C1340*D1340</x:f>
        <x:v>1032.18</x:v>
      </x:c>
      <x:c r="F1340" s="40" t="n">
        <x:v>164.72</x:v>
      </x:c>
      <x:c r="G1340" s="44" t="n">
        <x:f>C1340*F1340</x:f>
        <x:v>494.15999999999997</x:v>
      </x:c>
      <x:c r="H1340" s="44" t="n">
        <x:f>E1340-G1340</x:f>
        <x:v>538.0200000000001</x:v>
      </x:c>
      <x:c r="I1340" s="14" t="str">
        <x:v>SMB</x:v>
      </x:c>
      <x:c r="J1340" s="14" t="str">
        <x:v>West</x:v>
      </x:c>
    </x:row>
    <x:row r="1341">
      <x:c r="A1341" s="50" t="n">
        <x:v>46170</x:v>
      </x:c>
      <x:c r="B1341" s="14" t="str">
        <x:v>SKU-0141</x:v>
      </x:c>
      <x:c r="C1341" s="52" t="n">
        <x:v>17</x:v>
      </x:c>
      <x:c r="D1341" s="40" t="n">
        <x:v>359.18</x:v>
      </x:c>
      <x:c r="E1341" s="44" t="n">
        <x:f>C1341*D1341</x:f>
        <x:v>6106.06</x:v>
      </x:c>
      <x:c r="F1341" s="40" t="n">
        <x:v>279.99</x:v>
      </x:c>
      <x:c r="G1341" s="44" t="n">
        <x:f>C1341*F1341</x:f>
        <x:v>4759.83</x:v>
      </x:c>
      <x:c r="H1341" s="44" t="n">
        <x:f>E1341-G1341</x:f>
        <x:v>1346.2300000000005</x:v>
      </x:c>
      <x:c r="I1341" s="14" t="str">
        <x:v>Enterprise</x:v>
      </x:c>
      <x:c r="J1341" s="14" t="str">
        <x:v>Southeast</x:v>
      </x:c>
    </x:row>
    <x:row r="1342">
      <x:c r="A1342" s="50" t="n">
        <x:v>45964</x:v>
      </x:c>
      <x:c r="B1342" s="14" t="str">
        <x:v>SKU-0120</x:v>
      </x:c>
      <x:c r="C1342" s="52" t="n">
        <x:v>28</x:v>
      </x:c>
      <x:c r="D1342" s="40" t="n">
        <x:v>67.38</x:v>
      </x:c>
      <x:c r="E1342" s="44" t="n">
        <x:f>C1342*D1342</x:f>
        <x:v>1886.6399999999999</x:v>
      </x:c>
      <x:c r="F1342" s="40" t="n">
        <x:v>41.87</x:v>
      </x:c>
      <x:c r="G1342" s="44" t="n">
        <x:f>C1342*F1342</x:f>
        <x:v>1172.36</x:v>
      </x:c>
      <x:c r="H1342" s="44" t="n">
        <x:f>E1342-G1342</x:f>
        <x:v>714.28</x:v>
      </x:c>
      <x:c r="I1342" s="14" t="str">
        <x:v>Internal Use</x:v>
      </x:c>
      <x:c r="J1342" s="14" t="str">
        <x:v>Midwest</x:v>
      </x:c>
    </x:row>
    <x:row r="1343">
      <x:c r="A1343" s="50" t="n">
        <x:v>46120</x:v>
      </x:c>
      <x:c r="B1343" s="14" t="str">
        <x:v>SKU-0096</x:v>
      </x:c>
      <x:c r="C1343" s="52" t="n">
        <x:v>20</x:v>
      </x:c>
      <x:c r="D1343" s="40" t="n">
        <x:v>50.93</x:v>
      </x:c>
      <x:c r="E1343" s="44" t="n">
        <x:f>C1343*D1343</x:f>
        <x:v>1018.6</x:v>
      </x:c>
      <x:c r="F1343" s="40" t="n">
        <x:v>29.46</x:v>
      </x:c>
      <x:c r="G1343" s="44" t="n">
        <x:f>C1343*F1343</x:f>
        <x:v>589.2</x:v>
      </x:c>
      <x:c r="H1343" s="44" t="n">
        <x:f>E1343-G1343</x:f>
        <x:v>429.4</x:v>
      </x:c>
      <x:c r="I1343" s="14" t="str">
        <x:v>Distributor</x:v>
      </x:c>
      <x:c r="J1343" s="14" t="str">
        <x:v>Midwest</x:v>
      </x:c>
    </x:row>
    <x:row r="1344">
      <x:c r="A1344" s="50" t="n">
        <x:v>45959</x:v>
      </x:c>
      <x:c r="B1344" s="14" t="str">
        <x:v>SKU-0135</x:v>
      </x:c>
      <x:c r="C1344" s="52" t="n">
        <x:v>36</x:v>
      </x:c>
      <x:c r="D1344" s="40" t="n">
        <x:v>345.85</x:v>
      </x:c>
      <x:c r="E1344" s="44" t="n">
        <x:f>C1344*D1344</x:f>
        <x:v>12450.6</x:v>
      </x:c>
      <x:c r="F1344" s="40" t="n">
        <x:v>275.11</x:v>
      </x:c>
      <x:c r="G1344" s="44" t="n">
        <x:f>C1344*F1344</x:f>
        <x:v>9903.960000000001</x:v>
      </x:c>
      <x:c r="H1344" s="44" t="n">
        <x:f>E1344-G1344</x:f>
        <x:v>2546.6399999999994</x:v>
      </x:c>
      <x:c r="I1344" s="14" t="str">
        <x:v>Distributor</x:v>
      </x:c>
      <x:c r="J1344" s="14" t="str">
        <x:v>Southeast</x:v>
      </x:c>
    </x:row>
    <x:row r="1345">
      <x:c r="A1345" s="50" t="n">
        <x:v>45891</x:v>
      </x:c>
      <x:c r="B1345" s="14" t="str">
        <x:v>SKU-0058</x:v>
      </x:c>
      <x:c r="C1345" s="52" t="n">
        <x:v>7</x:v>
      </x:c>
      <x:c r="D1345" s="40" t="n">
        <x:v>390.38</x:v>
      </x:c>
      <x:c r="E1345" s="44" t="n">
        <x:f>C1345*D1345</x:f>
        <x:v>2732.66</x:v>
      </x:c>
      <x:c r="F1345" s="40" t="n">
        <x:v>226.78</x:v>
      </x:c>
      <x:c r="G1345" s="44" t="n">
        <x:f>C1345*F1345</x:f>
        <x:v>1587.46</x:v>
      </x:c>
      <x:c r="H1345" s="44" t="n">
        <x:f>E1345-G1345</x:f>
        <x:v>1145.1999999999998</x:v>
      </x:c>
      <x:c r="I1345" s="14" t="str">
        <x:v>Distributor</x:v>
      </x:c>
      <x:c r="J1345" s="14" t="str">
        <x:v>West</x:v>
      </x:c>
    </x:row>
    <x:row r="1346">
      <x:c r="A1346" s="50" t="n">
        <x:v>45906</x:v>
      </x:c>
      <x:c r="B1346" s="14" t="str">
        <x:v>SKU-0104</x:v>
      </x:c>
      <x:c r="C1346" s="52" t="n">
        <x:v>21</x:v>
      </x:c>
      <x:c r="D1346" s="40" t="n">
        <x:v>168.71</x:v>
      </x:c>
      <x:c r="E1346" s="44" t="n">
        <x:f>C1346*D1346</x:f>
        <x:v>3542.9100000000003</x:v>
      </x:c>
      <x:c r="F1346" s="40" t="n">
        <x:v>105.32</x:v>
      </x:c>
      <x:c r="G1346" s="44" t="n">
        <x:f>C1346*F1346</x:f>
        <x:v>2211.72</x:v>
      </x:c>
      <x:c r="H1346" s="44" t="n">
        <x:f>E1346-G1346</x:f>
        <x:v>1331.1900000000005</x:v>
      </x:c>
      <x:c r="I1346" s="14" t="str">
        <x:v>Enterprise</x:v>
      </x:c>
      <x:c r="J1346" s="14" t="str">
        <x:v>Southeast</x:v>
      </x:c>
    </x:row>
    <x:row r="1347">
      <x:c r="A1347" s="50" t="n">
        <x:v>45994</x:v>
      </x:c>
      <x:c r="B1347" s="14" t="str">
        <x:v>SKU-0143</x:v>
      </x:c>
      <x:c r="C1347" s="52" t="n">
        <x:v>16</x:v>
      </x:c>
      <x:c r="D1347" s="40" t="n">
        <x:v>197.26</x:v>
      </x:c>
      <x:c r="E1347" s="44" t="n">
        <x:f>C1347*D1347</x:f>
        <x:v>3156.16</x:v>
      </x:c>
      <x:c r="F1347" s="40" t="n">
        <x:v>123.95</x:v>
      </x:c>
      <x:c r="G1347" s="44" t="n">
        <x:f>C1347*F1347</x:f>
        <x:v>1983.2</x:v>
      </x:c>
      <x:c r="H1347" s="44" t="n">
        <x:f>E1347-G1347</x:f>
        <x:v>1172.9599999999998</x:v>
      </x:c>
      <x:c r="I1347" s="14" t="str">
        <x:v>Internal Use</x:v>
      </x:c>
      <x:c r="J1347" s="14" t="str">
        <x:v>Southeast</x:v>
      </x:c>
    </x:row>
    <x:row r="1348">
      <x:c r="A1348" s="50" t="n">
        <x:v>46237</x:v>
      </x:c>
      <x:c r="B1348" s="14" t="str">
        <x:v>SKU-0026</x:v>
      </x:c>
      <x:c r="C1348" s="52" t="n">
        <x:v>9</x:v>
      </x:c>
      <x:c r="D1348" s="40" t="n">
        <x:v>482.26</x:v>
      </x:c>
      <x:c r="E1348" s="44" t="n">
        <x:f>C1348*D1348</x:f>
        <x:v>4340.34</x:v>
      </x:c>
      <x:c r="F1348" s="40" t="n">
        <x:v>249.4</x:v>
      </x:c>
      <x:c r="G1348" s="44" t="n">
        <x:f>C1348*F1348</x:f>
        <x:v>2244.6</x:v>
      </x:c>
      <x:c r="H1348" s="44" t="n">
        <x:f>E1348-G1348</x:f>
        <x:v>2095.7400000000002</x:v>
      </x:c>
      <x:c r="I1348" s="14" t="str">
        <x:v>Internal Use</x:v>
      </x:c>
      <x:c r="J1348" s="14" t="str">
        <x:v>Midwest</x:v>
      </x:c>
    </x:row>
    <x:row r="1349">
      <x:c r="A1349" s="50" t="n">
        <x:v>45921</x:v>
      </x:c>
      <x:c r="B1349" s="14" t="str">
        <x:v>SKU-0077</x:v>
      </x:c>
      <x:c r="C1349" s="52" t="n">
        <x:v>3</x:v>
      </x:c>
      <x:c r="D1349" s="40" t="n">
        <x:v>16.84</x:v>
      </x:c>
      <x:c r="E1349" s="44" t="n">
        <x:f>C1349*D1349</x:f>
        <x:v>50.519999999999996</x:v>
      </x:c>
      <x:c r="F1349" s="40" t="n">
        <x:v>12.68</x:v>
      </x:c>
      <x:c r="G1349" s="44" t="n">
        <x:f>C1349*F1349</x:f>
        <x:v>38.04</x:v>
      </x:c>
      <x:c r="H1349" s="44" t="n">
        <x:f>E1349-G1349</x:f>
        <x:v>12.479999999999997</x:v>
      </x:c>
      <x:c r="I1349" s="14" t="str">
        <x:v>Enterprise</x:v>
      </x:c>
      <x:c r="J1349" s="14" t="str">
        <x:v>Midwest</x:v>
      </x:c>
    </x:row>
    <x:row r="1350">
      <x:c r="A1350" s="50" t="n">
        <x:v>46103</x:v>
      </x:c>
      <x:c r="B1350" s="14" t="str">
        <x:v>SKU-0015</x:v>
      </x:c>
      <x:c r="C1350" s="52" t="n">
        <x:v>7</x:v>
      </x:c>
      <x:c r="D1350" s="40" t="n">
        <x:v>262.94</x:v>
      </x:c>
      <x:c r="E1350" s="44" t="n">
        <x:f>C1350*D1350</x:f>
        <x:v>1840.58</x:v>
      </x:c>
      <x:c r="F1350" s="40" t="n">
        <x:v>185.37</x:v>
      </x:c>
      <x:c r="G1350" s="44" t="n">
        <x:f>C1350*F1350</x:f>
        <x:v>1297.5900000000001</x:v>
      </x:c>
      <x:c r="H1350" s="44" t="n">
        <x:f>E1350-G1350</x:f>
        <x:v>542.9899999999998</x:v>
      </x:c>
      <x:c r="I1350" s="14" t="str">
        <x:v>Enterprise</x:v>
      </x:c>
      <x:c r="J1350" s="14" t="str">
        <x:v>Midwest</x:v>
      </x:c>
    </x:row>
    <x:row r="1351">
      <x:c r="A1351" s="50" t="n">
        <x:v>45940</x:v>
      </x:c>
      <x:c r="B1351" s="14" t="str">
        <x:v>SKU-0095</x:v>
      </x:c>
      <x:c r="C1351" s="52" t="n">
        <x:v>5</x:v>
      </x:c>
      <x:c r="D1351" s="40" t="n">
        <x:v>322.52</x:v>
      </x:c>
      <x:c r="E1351" s="44" t="n">
        <x:f>C1351*D1351</x:f>
        <x:v>1612.6</x:v>
      </x:c>
      <x:c r="F1351" s="40" t="n">
        <x:v>225.04</x:v>
      </x:c>
      <x:c r="G1351" s="44" t="n">
        <x:f>C1351*F1351</x:f>
        <x:v>1125.2</x:v>
      </x:c>
      <x:c r="H1351" s="44" t="n">
        <x:f>E1351-G1351</x:f>
        <x:v>487.39999999999986</x:v>
      </x:c>
      <x:c r="I1351" s="14" t="str">
        <x:v>Internal Use</x:v>
      </x:c>
      <x:c r="J1351" s="14" t="str">
        <x:v>Southeast</x:v>
      </x:c>
    </x:row>
    <x:row r="1352">
      <x:c r="A1352" s="50" t="n">
        <x:v>46100</x:v>
      </x:c>
      <x:c r="B1352" s="14" t="str">
        <x:v>SKU-0104</x:v>
      </x:c>
      <x:c r="C1352" s="52" t="n">
        <x:v>17</x:v>
      </x:c>
      <x:c r="D1352" s="40" t="n">
        <x:v>162.5</x:v>
      </x:c>
      <x:c r="E1352" s="44" t="n">
        <x:f>C1352*D1352</x:f>
        <x:v>2762.5</x:v>
      </x:c>
      <x:c r="F1352" s="40" t="n">
        <x:v>105.32</x:v>
      </x:c>
      <x:c r="G1352" s="44" t="n">
        <x:f>C1352*F1352</x:f>
        <x:v>1790.4399999999998</x:v>
      </x:c>
      <x:c r="H1352" s="44" t="n">
        <x:f>E1352-G1352</x:f>
        <x:v>972.0600000000002</x:v>
      </x:c>
      <x:c r="I1352" s="14" t="str">
        <x:v>SMB</x:v>
      </x:c>
      <x:c r="J1352" s="14" t="str">
        <x:v>Midwest</x:v>
      </x:c>
    </x:row>
    <x:row r="1353">
      <x:c r="A1353" s="50" t="n">
        <x:v>46186</x:v>
      </x:c>
      <x:c r="B1353" s="14" t="str">
        <x:v>SKU-0041</x:v>
      </x:c>
      <x:c r="C1353" s="52" t="n">
        <x:v>6</x:v>
      </x:c>
      <x:c r="D1353" s="40" t="n">
        <x:v>188.74</x:v>
      </x:c>
      <x:c r="E1353" s="44" t="n">
        <x:f>C1353*D1353</x:f>
        <x:v>1132.44</x:v>
      </x:c>
      <x:c r="F1353" s="40" t="n">
        <x:v>117.51</x:v>
      </x:c>
      <x:c r="G1353" s="44" t="n">
        <x:f>C1353*F1353</x:f>
        <x:v>705.0600000000001</x:v>
      </x:c>
      <x:c r="H1353" s="44" t="n">
        <x:f>E1353-G1353</x:f>
        <x:v>427.38</x:v>
      </x:c>
      <x:c r="I1353" s="14" t="str">
        <x:v>Enterprise</x:v>
      </x:c>
      <x:c r="J1353" s="14" t="str">
        <x:v>Northeast</x:v>
      </x:c>
    </x:row>
    <x:row r="1354">
      <x:c r="A1354" s="50" t="n">
        <x:v>45956</x:v>
      </x:c>
      <x:c r="B1354" s="14" t="str">
        <x:v>SKU-0003</x:v>
      </x:c>
      <x:c r="C1354" s="52" t="n">
        <x:v>10</x:v>
      </x:c>
      <x:c r="D1354" s="40" t="n">
        <x:v>276.51</x:v>
      </x:c>
      <x:c r="E1354" s="44" t="n">
        <x:f>C1354*D1354</x:f>
        <x:v>2765.1</x:v>
      </x:c>
      <x:c r="F1354" s="40" t="n">
        <x:v>141.04</x:v>
      </x:c>
      <x:c r="G1354" s="44" t="n">
        <x:f>C1354*F1354</x:f>
        <x:v>1410.3999999999999</x:v>
      </x:c>
      <x:c r="H1354" s="44" t="n">
        <x:f>E1354-G1354</x:f>
        <x:v>1354.7</x:v>
      </x:c>
      <x:c r="I1354" s="14" t="str">
        <x:v>SMB</x:v>
      </x:c>
      <x:c r="J1354" s="14" t="str">
        <x:v>Northeast</x:v>
      </x:c>
    </x:row>
    <x:row r="1355">
      <x:c r="A1355" s="50" t="n">
        <x:v>46121</x:v>
      </x:c>
      <x:c r="B1355" s="14" t="str">
        <x:v>SKU-0001</x:v>
      </x:c>
      <x:c r="C1355" s="52" t="n">
        <x:v>5</x:v>
      </x:c>
      <x:c r="D1355" s="40" t="n">
        <x:v>308.75</x:v>
      </x:c>
      <x:c r="E1355" s="44" t="n">
        <x:f>C1355*D1355</x:f>
        <x:v>1543.75</x:v>
      </x:c>
      <x:c r="F1355" s="40" t="n">
        <x:v>178.71</x:v>
      </x:c>
      <x:c r="G1355" s="44" t="n">
        <x:f>C1355*F1355</x:f>
        <x:v>893.5500000000001</x:v>
      </x:c>
      <x:c r="H1355" s="44" t="n">
        <x:f>E1355-G1355</x:f>
        <x:v>650.1999999999999</x:v>
      </x:c>
      <x:c r="I1355" s="14" t="str">
        <x:v>Distributor</x:v>
      </x:c>
      <x:c r="J1355" s="14" t="str">
        <x:v>Midwest</x:v>
      </x:c>
    </x:row>
    <x:row r="1356">
      <x:c r="A1356" s="50" t="n">
        <x:v>45924</x:v>
      </x:c>
      <x:c r="B1356" s="14" t="str">
        <x:v>SKU-0147</x:v>
      </x:c>
      <x:c r="C1356" s="52" t="n">
        <x:v>7</x:v>
      </x:c>
      <x:c r="D1356" s="40" t="n">
        <x:v>60.55</x:v>
      </x:c>
      <x:c r="E1356" s="44" t="n">
        <x:f>C1356*D1356</x:f>
        <x:v>423.84999999999997</x:v>
      </x:c>
      <x:c r="F1356" s="40" t="n">
        <x:v>27.95</x:v>
      </x:c>
      <x:c r="G1356" s="44" t="n">
        <x:f>C1356*F1356</x:f>
        <x:v>195.65</x:v>
      </x:c>
      <x:c r="H1356" s="44" t="n">
        <x:f>E1356-G1356</x:f>
        <x:v>228.19999999999996</x:v>
      </x:c>
      <x:c r="I1356" s="14" t="str">
        <x:v>Enterprise</x:v>
      </x:c>
      <x:c r="J1356" s="14" t="str">
        <x:v>Northeast</x:v>
      </x:c>
    </x:row>
    <x:row r="1357">
      <x:c r="A1357" s="50" t="n">
        <x:v>45967</x:v>
      </x:c>
      <x:c r="B1357" s="14" t="str">
        <x:v>SKU-0050</x:v>
      </x:c>
      <x:c r="C1357" s="52" t="n">
        <x:v>8</x:v>
      </x:c>
      <x:c r="D1357" s="40" t="n">
        <x:v>311.09</x:v>
      </x:c>
      <x:c r="E1357" s="44" t="n">
        <x:f>C1357*D1357</x:f>
        <x:v>2488.72</x:v>
      </x:c>
      <x:c r="F1357" s="40" t="n">
        <x:v>150.72</x:v>
      </x:c>
      <x:c r="G1357" s="44" t="n">
        <x:f>C1357*F1357</x:f>
        <x:v>1205.76</x:v>
      </x:c>
      <x:c r="H1357" s="44" t="n">
        <x:f>E1357-G1357</x:f>
        <x:v>1282.9599999999998</x:v>
      </x:c>
      <x:c r="I1357" s="14" t="str">
        <x:v>Enterprise</x:v>
      </x:c>
      <x:c r="J1357" s="14" t="str">
        <x:v>Midwest</x:v>
      </x:c>
    </x:row>
    <x:row r="1358">
      <x:c r="A1358" s="50" t="n">
        <x:v>45913</x:v>
      </x:c>
      <x:c r="B1358" s="14" t="str">
        <x:v>SKU-0036</x:v>
      </x:c>
      <x:c r="C1358" s="52" t="n">
        <x:v>6</x:v>
      </x:c>
      <x:c r="D1358" s="40" t="n">
        <x:v>256.23</x:v>
      </x:c>
      <x:c r="E1358" s="44" t="n">
        <x:f>C1358*D1358</x:f>
        <x:v>1537.38</x:v>
      </x:c>
      <x:c r="F1358" s="40" t="n">
        <x:v>122.19</x:v>
      </x:c>
      <x:c r="G1358" s="44" t="n">
        <x:f>C1358*F1358</x:f>
        <x:v>733.14</x:v>
      </x:c>
      <x:c r="H1358" s="44" t="n">
        <x:f>E1358-G1358</x:f>
        <x:v>804.2400000000001</x:v>
      </x:c>
      <x:c r="I1358" s="14" t="str">
        <x:v>Enterprise</x:v>
      </x:c>
      <x:c r="J1358" s="14" t="str">
        <x:v>West</x:v>
      </x:c>
    </x:row>
    <x:row r="1359">
      <x:c r="A1359" s="50" t="n">
        <x:v>46232</x:v>
      </x:c>
      <x:c r="B1359" s="14" t="str">
        <x:v>SKU-0058</x:v>
      </x:c>
      <x:c r="C1359" s="52" t="n">
        <x:v>5</x:v>
      </x:c>
      <x:c r="D1359" s="40" t="n">
        <x:v>356.56</x:v>
      </x:c>
      <x:c r="E1359" s="44" t="n">
        <x:f>C1359*D1359</x:f>
        <x:v>1782.8</x:v>
      </x:c>
      <x:c r="F1359" s="40" t="n">
        <x:v>226.78</x:v>
      </x:c>
      <x:c r="G1359" s="44" t="n">
        <x:f>C1359*F1359</x:f>
        <x:v>1133.9</x:v>
      </x:c>
      <x:c r="H1359" s="44" t="n">
        <x:f>E1359-G1359</x:f>
        <x:v>648.8999999999999</x:v>
      </x:c>
      <x:c r="I1359" s="14" t="str">
        <x:v>SMB</x:v>
      </x:c>
      <x:c r="J1359" s="14" t="str">
        <x:v>West</x:v>
      </x:c>
    </x:row>
    <x:row r="1360">
      <x:c r="A1360" s="50" t="n">
        <x:v>46063</x:v>
      </x:c>
      <x:c r="B1360" s="14" t="str">
        <x:v>SKU-0116</x:v>
      </x:c>
      <x:c r="C1360" s="52" t="n">
        <x:v>22</x:v>
      </x:c>
      <x:c r="D1360" s="40" t="n">
        <x:v>53.56</x:v>
      </x:c>
      <x:c r="E1360" s="44" t="n">
        <x:f>C1360*D1360</x:f>
        <x:v>1178.3200000000002</x:v>
      </x:c>
      <x:c r="F1360" s="40" t="n">
        <x:v>36.42</x:v>
      </x:c>
      <x:c r="G1360" s="44" t="n">
        <x:f>C1360*F1360</x:f>
        <x:v>801.24</x:v>
      </x:c>
      <x:c r="H1360" s="44" t="n">
        <x:f>E1360-G1360</x:f>
        <x:v>377.08000000000015</x:v>
      </x:c>
      <x:c r="I1360" s="14" t="str">
        <x:v>Internal Use</x:v>
      </x:c>
      <x:c r="J1360" s="14" t="str">
        <x:v>West</x:v>
      </x:c>
    </x:row>
    <x:row r="1361">
      <x:c r="A1361" s="50" t="n">
        <x:v>46038</x:v>
      </x:c>
      <x:c r="B1361" s="14" t="str">
        <x:v>SKU-0061</x:v>
      </x:c>
      <x:c r="C1361" s="52" t="n">
        <x:v>12</x:v>
      </x:c>
      <x:c r="D1361" s="40" t="n">
        <x:v>313.96</x:v>
      </x:c>
      <x:c r="E1361" s="44" t="n">
        <x:f>C1361*D1361</x:f>
        <x:v>3767.5199999999995</x:v>
      </x:c>
      <x:c r="F1361" s="40" t="n">
        <x:v>202.32</x:v>
      </x:c>
      <x:c r="G1361" s="44" t="n">
        <x:f>C1361*F1361</x:f>
        <x:v>2427.84</x:v>
      </x:c>
      <x:c r="H1361" s="44" t="n">
        <x:f>E1361-G1361</x:f>
        <x:v>1339.6799999999994</x:v>
      </x:c>
      <x:c r="I1361" s="14" t="str">
        <x:v>SMB</x:v>
      </x:c>
      <x:c r="J1361" s="14" t="str">
        <x:v>Northeast</x:v>
      </x:c>
    </x:row>
    <x:row r="1362">
      <x:c r="A1362" s="50" t="n">
        <x:v>45910</x:v>
      </x:c>
      <x:c r="B1362" s="14" t="str">
        <x:v>SKU-0021</x:v>
      </x:c>
      <x:c r="C1362" s="52" t="n">
        <x:v>10</x:v>
      </x:c>
      <x:c r="D1362" s="40" t="n">
        <x:v>312.9</x:v>
      </x:c>
      <x:c r="E1362" s="44" t="n">
        <x:f>C1362*D1362</x:f>
        <x:v>3129</x:v>
      </x:c>
      <x:c r="F1362" s="40" t="n">
        <x:v>269.12</x:v>
      </x:c>
      <x:c r="G1362" s="44" t="n">
        <x:f>C1362*F1362</x:f>
        <x:v>2691.2</x:v>
      </x:c>
      <x:c r="H1362" s="44" t="n">
        <x:f>E1362-G1362</x:f>
        <x:v>437.8000000000002</x:v>
      </x:c>
      <x:c r="I1362" s="14" t="str">
        <x:v>Internal Use</x:v>
      </x:c>
      <x:c r="J1362" s="14" t="str">
        <x:v>Southeast</x:v>
      </x:c>
    </x:row>
    <x:row r="1363">
      <x:c r="A1363" s="50" t="n">
        <x:v>45917</x:v>
      </x:c>
      <x:c r="B1363" s="14" t="str">
        <x:v>SKU-0039</x:v>
      </x:c>
      <x:c r="C1363" s="52" t="n">
        <x:v>5</x:v>
      </x:c>
      <x:c r="D1363" s="40" t="n">
        <x:v>215.73</x:v>
      </x:c>
      <x:c r="E1363" s="44" t="n">
        <x:f>C1363*D1363</x:f>
        <x:v>1078.6499999999999</x:v>
      </x:c>
      <x:c r="F1363" s="40" t="n">
        <x:v>125.1</x:v>
      </x:c>
      <x:c r="G1363" s="44" t="n">
        <x:f>C1363*F1363</x:f>
        <x:v>625.5</x:v>
      </x:c>
      <x:c r="H1363" s="44" t="n">
        <x:f>E1363-G1363</x:f>
        <x:v>453.14999999999986</x:v>
      </x:c>
      <x:c r="I1363" s="14" t="str">
        <x:v>SMB</x:v>
      </x:c>
      <x:c r="J1363" s="14" t="str">
        <x:v>West</x:v>
      </x:c>
    </x:row>
    <x:row r="1364">
      <x:c r="A1364" s="50" t="n">
        <x:v>46089</x:v>
      </x:c>
      <x:c r="B1364" s="14" t="str">
        <x:v>SKU-0112</x:v>
      </x:c>
      <x:c r="C1364" s="52" t="n">
        <x:v>2</x:v>
      </x:c>
      <x:c r="D1364" s="40" t="n">
        <x:v>312.41</x:v>
      </x:c>
      <x:c r="E1364" s="44" t="n">
        <x:f>C1364*D1364</x:f>
        <x:v>624.82</x:v>
      </x:c>
      <x:c r="F1364" s="40" t="n">
        <x:v>175.75</x:v>
      </x:c>
      <x:c r="G1364" s="44" t="n">
        <x:f>C1364*F1364</x:f>
        <x:v>351.5</x:v>
      </x:c>
      <x:c r="H1364" s="44" t="n">
        <x:f>E1364-G1364</x:f>
        <x:v>273.32000000000005</x:v>
      </x:c>
      <x:c r="I1364" s="14" t="str">
        <x:v>Distributor</x:v>
      </x:c>
      <x:c r="J1364" s="14" t="str">
        <x:v>Southeast</x:v>
      </x:c>
    </x:row>
    <x:row r="1365">
      <x:c r="A1365" s="50" t="n">
        <x:v>46215</x:v>
      </x:c>
      <x:c r="B1365" s="14" t="str">
        <x:v>SKU-0122</x:v>
      </x:c>
      <x:c r="C1365" s="52" t="n">
        <x:v>5</x:v>
      </x:c>
      <x:c r="D1365" s="40" t="n">
        <x:v>38.12</x:v>
      </x:c>
      <x:c r="E1365" s="44" t="n">
        <x:f>C1365*D1365</x:f>
        <x:v>190.6</x:v>
      </x:c>
      <x:c r="F1365" s="40" t="n">
        <x:v>25.14</x:v>
      </x:c>
      <x:c r="G1365" s="44" t="n">
        <x:f>C1365*F1365</x:f>
        <x:v>125.7</x:v>
      </x:c>
      <x:c r="H1365" s="44" t="n">
        <x:f>E1365-G1365</x:f>
        <x:v>64.89999999999999</x:v>
      </x:c>
      <x:c r="I1365" s="14" t="str">
        <x:v>Internal Use</x:v>
      </x:c>
      <x:c r="J1365" s="14" t="str">
        <x:v>Midwest</x:v>
      </x:c>
    </x:row>
    <x:row r="1366">
      <x:c r="A1366" s="50" t="n">
        <x:v>45948</x:v>
      </x:c>
      <x:c r="B1366" s="14" t="str">
        <x:v>SKU-0116</x:v>
      </x:c>
      <x:c r="C1366" s="52" t="n">
        <x:v>49</x:v>
      </x:c>
      <x:c r="D1366" s="40" t="n">
        <x:v>54</x:v>
      </x:c>
      <x:c r="E1366" s="44" t="n">
        <x:f>C1366*D1366</x:f>
        <x:v>2646</x:v>
      </x:c>
      <x:c r="F1366" s="40" t="n">
        <x:v>36.42</x:v>
      </x:c>
      <x:c r="G1366" s="44" t="n">
        <x:f>C1366*F1366</x:f>
        <x:v>1784.5800000000002</x:v>
      </x:c>
      <x:c r="H1366" s="44" t="n">
        <x:f>E1366-G1366</x:f>
        <x:v>861.4199999999998</x:v>
      </x:c>
      <x:c r="I1366" s="14" t="str">
        <x:v>Distributor</x:v>
      </x:c>
      <x:c r="J1366" s="14" t="str">
        <x:v>Southeast</x:v>
      </x:c>
    </x:row>
    <x:row r="1367">
      <x:c r="A1367" s="50" t="n">
        <x:v>45964</x:v>
      </x:c>
      <x:c r="B1367" s="14" t="str">
        <x:v>SKU-0002</x:v>
      </x:c>
      <x:c r="C1367" s="52" t="n">
        <x:v>26</x:v>
      </x:c>
      <x:c r="D1367" s="40" t="n">
        <x:v>79.63</x:v>
      </x:c>
      <x:c r="E1367" s="44" t="n">
        <x:f>C1367*D1367</x:f>
        <x:v>2070.38</x:v>
      </x:c>
      <x:c r="F1367" s="40" t="n">
        <x:v>66.06</x:v>
      </x:c>
      <x:c r="G1367" s="44" t="n">
        <x:f>C1367*F1367</x:f>
        <x:v>1717.56</x:v>
      </x:c>
      <x:c r="H1367" s="44" t="n">
        <x:f>E1367-G1367</x:f>
        <x:v>352.82000000000016</x:v>
      </x:c>
      <x:c r="I1367" s="14" t="str">
        <x:v>Distributor</x:v>
      </x:c>
      <x:c r="J1367" s="14" t="str">
        <x:v>Southeast</x:v>
      </x:c>
    </x:row>
    <x:row r="1368">
      <x:c r="A1368" s="50" t="n">
        <x:v>45951</x:v>
      </x:c>
      <x:c r="B1368" s="14" t="str">
        <x:v>SKU-0011</x:v>
      </x:c>
      <x:c r="C1368" s="52" t="n">
        <x:v>3</x:v>
      </x:c>
      <x:c r="D1368" s="40" t="n">
        <x:v>392.25</x:v>
      </x:c>
      <x:c r="E1368" s="44" t="n">
        <x:f>C1368*D1368</x:f>
        <x:v>1176.75</x:v>
      </x:c>
      <x:c r="F1368" s="40" t="n">
        <x:v>244.6</x:v>
      </x:c>
      <x:c r="G1368" s="44" t="n">
        <x:f>C1368*F1368</x:f>
        <x:v>733.8</x:v>
      </x:c>
      <x:c r="H1368" s="44" t="n">
        <x:f>E1368-G1368</x:f>
        <x:v>442.95000000000005</x:v>
      </x:c>
      <x:c r="I1368" s="14" t="str">
        <x:v>SMB</x:v>
      </x:c>
      <x:c r="J1368" s="14" t="str">
        <x:v>Southeast</x:v>
      </x:c>
    </x:row>
    <x:row r="1369">
      <x:c r="A1369" s="50" t="n">
        <x:v>45899</x:v>
      </x:c>
      <x:c r="B1369" s="14" t="str">
        <x:v>SKU-0107</x:v>
      </x:c>
      <x:c r="C1369" s="52" t="n">
        <x:v>24</x:v>
      </x:c>
      <x:c r="D1369" s="40" t="n">
        <x:v>433.76</x:v>
      </x:c>
      <x:c r="E1369" s="44" t="n">
        <x:f>C1369*D1369</x:f>
        <x:v>10410.24</x:v>
      </x:c>
      <x:c r="F1369" s="40" t="n">
        <x:v>217.39</x:v>
      </x:c>
      <x:c r="G1369" s="44" t="n">
        <x:f>C1369*F1369</x:f>
        <x:v>5217.36</x:v>
      </x:c>
      <x:c r="H1369" s="44" t="n">
        <x:f>E1369-G1369</x:f>
        <x:v>5192.88</x:v>
      </x:c>
      <x:c r="I1369" s="14" t="str">
        <x:v>Distributor</x:v>
      </x:c>
      <x:c r="J1369" s="14" t="str">
        <x:v>Midwest</x:v>
      </x:c>
    </x:row>
    <x:row r="1370">
      <x:c r="A1370" s="50" t="n">
        <x:v>45933</x:v>
      </x:c>
      <x:c r="B1370" s="14" t="str">
        <x:v>SKU-0001</x:v>
      </x:c>
      <x:c r="C1370" s="52" t="n">
        <x:v>7</x:v>
      </x:c>
      <x:c r="D1370" s="40" t="n">
        <x:v>287.41</x:v>
      </x:c>
      <x:c r="E1370" s="44" t="n">
        <x:f>C1370*D1370</x:f>
        <x:v>2011.8700000000001</x:v>
      </x:c>
      <x:c r="F1370" s="40" t="n">
        <x:v>178.71</x:v>
      </x:c>
      <x:c r="G1370" s="44" t="n">
        <x:f>C1370*F1370</x:f>
        <x:v>1250.97</x:v>
      </x:c>
      <x:c r="H1370" s="44" t="n">
        <x:f>E1370-G1370</x:f>
        <x:v>760.9000000000001</x:v>
      </x:c>
      <x:c r="I1370" s="14" t="str">
        <x:v>SMB</x:v>
      </x:c>
      <x:c r="J1370" s="14" t="str">
        <x:v>Southeast</x:v>
      </x:c>
    </x:row>
    <x:row r="1371">
      <x:c r="A1371" s="50" t="n">
        <x:v>46228</x:v>
      </x:c>
      <x:c r="B1371" s="14" t="str">
        <x:v>SKU-0086</x:v>
      </x:c>
      <x:c r="C1371" s="52" t="n">
        <x:v>20</x:v>
      </x:c>
      <x:c r="D1371" s="40" t="n">
        <x:v>227.31</x:v>
      </x:c>
      <x:c r="E1371" s="44" t="n">
        <x:f>C1371*D1371</x:f>
        <x:v>4546.2</x:v>
      </x:c>
      <x:c r="F1371" s="40" t="n">
        <x:v>148.45</x:v>
      </x:c>
      <x:c r="G1371" s="44" t="n">
        <x:f>C1371*F1371</x:f>
        <x:v>2969</x:v>
      </x:c>
      <x:c r="H1371" s="44" t="n">
        <x:f>E1371-G1371</x:f>
        <x:v>1577.1999999999998</x:v>
      </x:c>
      <x:c r="I1371" s="14" t="str">
        <x:v>Internal Use</x:v>
      </x:c>
      <x:c r="J1371" s="14" t="str">
        <x:v>Southeast</x:v>
      </x:c>
    </x:row>
    <x:row r="1372">
      <x:c r="A1372" s="50" t="n">
        <x:v>45900</x:v>
      </x:c>
      <x:c r="B1372" s="14" t="str">
        <x:v>SKU-0112</x:v>
      </x:c>
      <x:c r="C1372" s="52" t="n">
        <x:v>7</x:v>
      </x:c>
      <x:c r="D1372" s="40" t="n">
        <x:v>294.61</x:v>
      </x:c>
      <x:c r="E1372" s="44" t="n">
        <x:f>C1372*D1372</x:f>
        <x:v>2062.27</x:v>
      </x:c>
      <x:c r="F1372" s="40" t="n">
        <x:v>175.75</x:v>
      </x:c>
      <x:c r="G1372" s="44" t="n">
        <x:f>C1372*F1372</x:f>
        <x:v>1230.25</x:v>
      </x:c>
      <x:c r="H1372" s="44" t="n">
        <x:f>E1372-G1372</x:f>
        <x:v>832.02</x:v>
      </x:c>
      <x:c r="I1372" s="14" t="str">
        <x:v>Internal Use</x:v>
      </x:c>
      <x:c r="J1372" s="14" t="str">
        <x:v>Northeast</x:v>
      </x:c>
    </x:row>
    <x:row r="1373">
      <x:c r="A1373" s="50" t="n">
        <x:v>46050</x:v>
      </x:c>
      <x:c r="B1373" s="14" t="str">
        <x:v>SKU-0073</x:v>
      </x:c>
      <x:c r="C1373" s="52" t="n">
        <x:v>19</x:v>
      </x:c>
      <x:c r="D1373" s="40" t="n">
        <x:v>65.9</x:v>
      </x:c>
      <x:c r="E1373" s="44" t="n">
        <x:f>C1373*D1373</x:f>
        <x:v>1252.1000000000001</x:v>
      </x:c>
      <x:c r="F1373" s="40" t="n">
        <x:v>37.01</x:v>
      </x:c>
      <x:c r="G1373" s="44" t="n">
        <x:f>C1373*F1373</x:f>
        <x:v>703.1899999999999</x:v>
      </x:c>
      <x:c r="H1373" s="44" t="n">
        <x:f>E1373-G1373</x:f>
        <x:v>548.9100000000002</x:v>
      </x:c>
      <x:c r="I1373" s="14" t="str">
        <x:v>SMB</x:v>
      </x:c>
      <x:c r="J1373" s="14" t="str">
        <x:v>Midwest</x:v>
      </x:c>
    </x:row>
    <x:row r="1374">
      <x:c r="A1374" s="50" t="n">
        <x:v>46110</x:v>
      </x:c>
      <x:c r="B1374" s="14" t="str">
        <x:v>SKU-0058</x:v>
      </x:c>
      <x:c r="C1374" s="52" t="n">
        <x:v>15</x:v>
      </x:c>
      <x:c r="D1374" s="40" t="n">
        <x:v>359.72</x:v>
      </x:c>
      <x:c r="E1374" s="44" t="n">
        <x:f>C1374*D1374</x:f>
        <x:v>5395.8</x:v>
      </x:c>
      <x:c r="F1374" s="40" t="n">
        <x:v>226.78</x:v>
      </x:c>
      <x:c r="G1374" s="44" t="n">
        <x:f>C1374*F1374</x:f>
        <x:v>3401.7</x:v>
      </x:c>
      <x:c r="H1374" s="44" t="n">
        <x:f>E1374-G1374</x:f>
        <x:v>1994.1000000000004</x:v>
      </x:c>
      <x:c r="I1374" s="14" t="str">
        <x:v>Enterprise</x:v>
      </x:c>
      <x:c r="J1374" s="14" t="str">
        <x:v>Southeast</x:v>
      </x:c>
    </x:row>
    <x:row r="1375">
      <x:c r="A1375" s="50" t="n">
        <x:v>45993</x:v>
      </x:c>
      <x:c r="B1375" s="14" t="str">
        <x:v>SKU-0011</x:v>
      </x:c>
      <x:c r="C1375" s="52" t="n">
        <x:v>27</x:v>
      </x:c>
      <x:c r="D1375" s="40" t="n">
        <x:v>360.67</x:v>
      </x:c>
      <x:c r="E1375" s="44" t="n">
        <x:f>C1375*D1375</x:f>
        <x:v>9738.09</x:v>
      </x:c>
      <x:c r="F1375" s="40" t="n">
        <x:v>244.6</x:v>
      </x:c>
      <x:c r="G1375" s="44" t="n">
        <x:f>C1375*F1375</x:f>
        <x:v>6604.2</x:v>
      </x:c>
      <x:c r="H1375" s="44" t="n">
        <x:f>E1375-G1375</x:f>
        <x:v>3133.8900000000003</x:v>
      </x:c>
      <x:c r="I1375" s="14" t="str">
        <x:v>Internal Use</x:v>
      </x:c>
      <x:c r="J1375" s="14" t="str">
        <x:v>Northeast</x:v>
      </x:c>
    </x:row>
    <x:row r="1376">
      <x:c r="A1376" s="50" t="n">
        <x:v>46020</x:v>
      </x:c>
      <x:c r="B1376" s="14" t="str">
        <x:v>SKU-0020</x:v>
      </x:c>
      <x:c r="C1376" s="52" t="n">
        <x:v>14</x:v>
      </x:c>
      <x:c r="D1376" s="40" t="n">
        <x:v>281.72</x:v>
      </x:c>
      <x:c r="E1376" s="44" t="n">
        <x:f>C1376*D1376</x:f>
        <x:v>3944.0800000000004</x:v>
      </x:c>
      <x:c r="F1376" s="40" t="n">
        <x:v>163.22</x:v>
      </x:c>
      <x:c r="G1376" s="44" t="n">
        <x:f>C1376*F1376</x:f>
        <x:v>2285.08</x:v>
      </x:c>
      <x:c r="H1376" s="44" t="n">
        <x:f>E1376-G1376</x:f>
        <x:v>1659.0000000000005</x:v>
      </x:c>
      <x:c r="I1376" s="14" t="str">
        <x:v>Enterprise</x:v>
      </x:c>
      <x:c r="J1376" s="14" t="str">
        <x:v>Midwest</x:v>
      </x:c>
    </x:row>
    <x:row r="1377">
      <x:c r="A1377" s="50" t="n">
        <x:v>46134</x:v>
      </x:c>
      <x:c r="B1377" s="14" t="str">
        <x:v>SKU-0014</x:v>
      </x:c>
      <x:c r="C1377" s="52" t="n">
        <x:v>12</x:v>
      </x:c>
      <x:c r="D1377" s="40" t="n">
        <x:v>263.01</x:v>
      </x:c>
      <x:c r="E1377" s="44" t="n">
        <x:f>C1377*D1377</x:f>
        <x:v>3156.12</x:v>
      </x:c>
      <x:c r="F1377" s="40" t="n">
        <x:v>152.14</x:v>
      </x:c>
      <x:c r="G1377" s="44" t="n">
        <x:f>C1377*F1377</x:f>
        <x:v>1825.6799999999998</x:v>
      </x:c>
      <x:c r="H1377" s="44" t="n">
        <x:f>E1377-G1377</x:f>
        <x:v>1330.44</x:v>
      </x:c>
      <x:c r="I1377" s="14" t="str">
        <x:v>SMB</x:v>
      </x:c>
      <x:c r="J1377" s="14" t="str">
        <x:v>West</x:v>
      </x:c>
    </x:row>
    <x:row r="1378">
      <x:c r="A1378" s="50" t="n">
        <x:v>46048</x:v>
      </x:c>
      <x:c r="B1378" s="14" t="str">
        <x:v>SKU-0144</x:v>
      </x:c>
      <x:c r="C1378" s="52" t="n">
        <x:v>2</x:v>
      </x:c>
      <x:c r="D1378" s="40" t="n">
        <x:v>143.23</x:v>
      </x:c>
      <x:c r="E1378" s="44" t="n">
        <x:f>C1378*D1378</x:f>
        <x:v>286.46</x:v>
      </x:c>
      <x:c r="F1378" s="40" t="n">
        <x:v>68.87</x:v>
      </x:c>
      <x:c r="G1378" s="44" t="n">
        <x:f>C1378*F1378</x:f>
        <x:v>137.74</x:v>
      </x:c>
      <x:c r="H1378" s="44" t="n">
        <x:f>E1378-G1378</x:f>
        <x:v>148.71999999999997</x:v>
      </x:c>
      <x:c r="I1378" s="14" t="str">
        <x:v>Internal Use</x:v>
      </x:c>
      <x:c r="J1378" s="14" t="str">
        <x:v>Northeast</x:v>
      </x:c>
    </x:row>
    <x:row r="1379">
      <x:c r="A1379" s="50" t="n">
        <x:v>46211</x:v>
      </x:c>
      <x:c r="B1379" s="14" t="str">
        <x:v>SKU-0085</x:v>
      </x:c>
      <x:c r="C1379" s="52" t="n">
        <x:v>4</x:v>
      </x:c>
      <x:c r="D1379" s="40" t="n">
        <x:v>363.86</x:v>
      </x:c>
      <x:c r="E1379" s="44" t="n">
        <x:f>C1379*D1379</x:f>
        <x:v>1455.44</x:v>
      </x:c>
      <x:c r="F1379" s="40" t="n">
        <x:v>222.39</x:v>
      </x:c>
      <x:c r="G1379" s="44" t="n">
        <x:f>C1379*F1379</x:f>
        <x:v>889.56</x:v>
      </x:c>
      <x:c r="H1379" s="44" t="n">
        <x:f>E1379-G1379</x:f>
        <x:v>565.8800000000001</x:v>
      </x:c>
      <x:c r="I1379" s="14" t="str">
        <x:v>Distributor</x:v>
      </x:c>
      <x:c r="J1379" s="14" t="str">
        <x:v>Southeast</x:v>
      </x:c>
    </x:row>
    <x:row r="1380">
      <x:c r="A1380" s="50" t="n">
        <x:v>46223</x:v>
      </x:c>
      <x:c r="B1380" s="14" t="str">
        <x:v>SKU-0075</x:v>
      </x:c>
      <x:c r="C1380" s="52" t="n">
        <x:v>6</x:v>
      </x:c>
      <x:c r="D1380" s="40" t="n">
        <x:v>25.45</x:v>
      </x:c>
      <x:c r="E1380" s="44" t="n">
        <x:f>C1380*D1380</x:f>
        <x:v>152.7</x:v>
      </x:c>
      <x:c r="F1380" s="40" t="n">
        <x:v>13.66</x:v>
      </x:c>
      <x:c r="G1380" s="44" t="n">
        <x:f>C1380*F1380</x:f>
        <x:v>81.96000000000001</x:v>
      </x:c>
      <x:c r="H1380" s="44" t="n">
        <x:f>E1380-G1380</x:f>
        <x:v>70.73999999999998</x:v>
      </x:c>
      <x:c r="I1380" s="14" t="str">
        <x:v>SMB</x:v>
      </x:c>
      <x:c r="J1380" s="14" t="str">
        <x:v>Midwest</x:v>
      </x:c>
    </x:row>
    <x:row r="1381">
      <x:c r="A1381" s="50" t="n">
        <x:v>46027</x:v>
      </x:c>
      <x:c r="B1381" s="14" t="str">
        <x:v>SKU-0025</x:v>
      </x:c>
      <x:c r="C1381" s="52" t="n">
        <x:v>5</x:v>
      </x:c>
      <x:c r="D1381" s="40" t="n">
        <x:v>544.38</x:v>
      </x:c>
      <x:c r="E1381" s="44" t="n">
        <x:f>C1381*D1381</x:f>
        <x:v>2721.9</x:v>
      </x:c>
      <x:c r="F1381" s="40" t="n">
        <x:v>275.52</x:v>
      </x:c>
      <x:c r="G1381" s="44" t="n">
        <x:f>C1381*F1381</x:f>
        <x:v>1377.6</x:v>
      </x:c>
      <x:c r="H1381" s="44" t="n">
        <x:f>E1381-G1381</x:f>
        <x:v>1344.3000000000002</x:v>
      </x:c>
      <x:c r="I1381" s="14" t="str">
        <x:v>Enterprise</x:v>
      </x:c>
      <x:c r="J1381" s="14" t="str">
        <x:v>Northeast</x:v>
      </x:c>
    </x:row>
    <x:row r="1382">
      <x:c r="A1382" s="50" t="n">
        <x:v>45942</x:v>
      </x:c>
      <x:c r="B1382" s="14" t="str">
        <x:v>SKU-0040</x:v>
      </x:c>
      <x:c r="C1382" s="52" t="n">
        <x:v>1</x:v>
      </x:c>
      <x:c r="D1382" s="40" t="n">
        <x:v>450.41</x:v>
      </x:c>
      <x:c r="E1382" s="44" t="n">
        <x:f>C1382*D1382</x:f>
        <x:v>450.41</x:v>
      </x:c>
      <x:c r="F1382" s="40" t="n">
        <x:v>229.61</x:v>
      </x:c>
      <x:c r="G1382" s="44" t="n">
        <x:f>C1382*F1382</x:f>
        <x:v>229.61</x:v>
      </x:c>
      <x:c r="H1382" s="44" t="n">
        <x:f>E1382-G1382</x:f>
        <x:v>220.8</x:v>
      </x:c>
      <x:c r="I1382" s="14" t="str">
        <x:v>Distributor</x:v>
      </x:c>
      <x:c r="J1382" s="14" t="str">
        <x:v>Southeast</x:v>
      </x:c>
    </x:row>
    <x:row r="1383">
      <x:c r="A1383" s="50" t="n">
        <x:v>46111</x:v>
      </x:c>
      <x:c r="B1383" s="14" t="str">
        <x:v>SKU-0030</x:v>
      </x:c>
      <x:c r="C1383" s="52" t="n">
        <x:v>5</x:v>
      </x:c>
      <x:c r="D1383" s="40" t="n">
        <x:v>355.4</x:v>
      </x:c>
      <x:c r="E1383" s="44" t="n">
        <x:f>C1383*D1383</x:f>
        <x:v>1777</x:v>
      </x:c>
      <x:c r="F1383" s="40" t="n">
        <x:v>191.77</x:v>
      </x:c>
      <x:c r="G1383" s="44" t="n">
        <x:f>C1383*F1383</x:f>
        <x:v>958.85</x:v>
      </x:c>
      <x:c r="H1383" s="44" t="n">
        <x:f>E1383-G1383</x:f>
        <x:v>818.15</x:v>
      </x:c>
      <x:c r="I1383" s="14" t="str">
        <x:v>Internal Use</x:v>
      </x:c>
      <x:c r="J1383" s="14" t="str">
        <x:v>Northeast</x:v>
      </x:c>
    </x:row>
    <x:row r="1384">
      <x:c r="A1384" s="50" t="n">
        <x:v>46222</x:v>
      </x:c>
      <x:c r="B1384" s="14" t="str">
        <x:v>SKU-0124</x:v>
      </x:c>
      <x:c r="C1384" s="52" t="n">
        <x:v>18</x:v>
      </x:c>
      <x:c r="D1384" s="40" t="n">
        <x:v>127.8</x:v>
      </x:c>
      <x:c r="E1384" s="44" t="n">
        <x:f>C1384*D1384</x:f>
        <x:v>2300.4</x:v>
      </x:c>
      <x:c r="F1384" s="40" t="n">
        <x:v>59.23</x:v>
      </x:c>
      <x:c r="G1384" s="44" t="n">
        <x:f>C1384*F1384</x:f>
        <x:v>1066.1399999999999</x:v>
      </x:c>
      <x:c r="H1384" s="44" t="n">
        <x:f>E1384-G1384</x:f>
        <x:v>1234.2600000000002</x:v>
      </x:c>
      <x:c r="I1384" s="14" t="str">
        <x:v>Enterprise</x:v>
      </x:c>
      <x:c r="J1384" s="14" t="str">
        <x:v>Midwest</x:v>
      </x:c>
    </x:row>
    <x:row r="1385">
      <x:c r="A1385" s="50" t="n">
        <x:v>46078</x:v>
      </x:c>
      <x:c r="B1385" s="14" t="str">
        <x:v>SKU-0046</x:v>
      </x:c>
      <x:c r="C1385" s="52" t="n">
        <x:v>22</x:v>
      </x:c>
      <x:c r="D1385" s="40" t="n">
        <x:v>115.25</x:v>
      </x:c>
      <x:c r="E1385" s="44" t="n">
        <x:f>C1385*D1385</x:f>
        <x:v>2535.5</x:v>
      </x:c>
      <x:c r="F1385" s="40" t="n">
        <x:v>66.68</x:v>
      </x:c>
      <x:c r="G1385" s="44" t="n">
        <x:f>C1385*F1385</x:f>
        <x:v>1466.96</x:v>
      </x:c>
      <x:c r="H1385" s="44" t="n">
        <x:f>E1385-G1385</x:f>
        <x:v>1068.54</x:v>
      </x:c>
      <x:c r="I1385" s="14" t="str">
        <x:v>Enterprise</x:v>
      </x:c>
      <x:c r="J1385" s="14" t="str">
        <x:v>Northeast</x:v>
      </x:c>
    </x:row>
    <x:row r="1386">
      <x:c r="A1386" s="50" t="n">
        <x:v>45963</x:v>
      </x:c>
      <x:c r="B1386" s="14" t="str">
        <x:v>SKU-0017</x:v>
      </x:c>
      <x:c r="C1386" s="52" t="n">
        <x:v>5</x:v>
      </x:c>
      <x:c r="D1386" s="40" t="n">
        <x:v>162.9</x:v>
      </x:c>
      <x:c r="E1386" s="44" t="n">
        <x:f>C1386*D1386</x:f>
        <x:v>814.5</x:v>
      </x:c>
      <x:c r="F1386" s="40" t="n">
        <x:v>71.82</x:v>
      </x:c>
      <x:c r="G1386" s="44" t="n">
        <x:f>C1386*F1386</x:f>
        <x:v>359.09999999999997</x:v>
      </x:c>
      <x:c r="H1386" s="44" t="n">
        <x:f>E1386-G1386</x:f>
        <x:v>455.40000000000003</x:v>
      </x:c>
      <x:c r="I1386" s="14" t="str">
        <x:v>SMB</x:v>
      </x:c>
      <x:c r="J1386" s="14" t="str">
        <x:v>West</x:v>
      </x:c>
    </x:row>
    <x:row r="1387">
      <x:c r="A1387" s="50" t="n">
        <x:v>45895</x:v>
      </x:c>
      <x:c r="B1387" s="14" t="str">
        <x:v>SKU-0090</x:v>
      </x:c>
      <x:c r="C1387" s="52" t="n">
        <x:v>6</x:v>
      </x:c>
      <x:c r="D1387" s="40" t="n">
        <x:v>216.37</x:v>
      </x:c>
      <x:c r="E1387" s="44" t="n">
        <x:f>C1387*D1387</x:f>
        <x:v>1298.22</x:v>
      </x:c>
      <x:c r="F1387" s="40" t="n">
        <x:v>116.84</x:v>
      </x:c>
      <x:c r="G1387" s="44" t="n">
        <x:f>C1387*F1387</x:f>
        <x:v>701.04</x:v>
      </x:c>
      <x:c r="H1387" s="44" t="n">
        <x:f>E1387-G1387</x:f>
        <x:v>597.1800000000001</x:v>
      </x:c>
      <x:c r="I1387" s="14" t="str">
        <x:v>Enterprise</x:v>
      </x:c>
      <x:c r="J1387" s="14" t="str">
        <x:v>West</x:v>
      </x:c>
    </x:row>
    <x:row r="1388">
      <x:c r="A1388" s="50" t="n">
        <x:v>45965</x:v>
      </x:c>
      <x:c r="B1388" s="14" t="str">
        <x:v>SKU-0055</x:v>
      </x:c>
      <x:c r="C1388" s="52" t="n">
        <x:v>2</x:v>
      </x:c>
      <x:c r="D1388" s="40" t="n">
        <x:v>361.81</x:v>
      </x:c>
      <x:c r="E1388" s="44" t="n">
        <x:f>C1388*D1388</x:f>
        <x:v>723.62</x:v>
      </x:c>
      <x:c r="F1388" s="40" t="n">
        <x:v>263.76</x:v>
      </x:c>
      <x:c r="G1388" s="44" t="n">
        <x:f>C1388*F1388</x:f>
        <x:v>527.52</x:v>
      </x:c>
      <x:c r="H1388" s="44" t="n">
        <x:f>E1388-G1388</x:f>
        <x:v>196.10000000000002</x:v>
      </x:c>
      <x:c r="I1388" s="14" t="str">
        <x:v>Enterprise</x:v>
      </x:c>
      <x:c r="J1388" s="14" t="str">
        <x:v>Southeast</x:v>
      </x:c>
    </x:row>
    <x:row r="1389">
      <x:c r="A1389" s="50" t="n">
        <x:v>46165</x:v>
      </x:c>
      <x:c r="B1389" s="14" t="str">
        <x:v>SKU-0127</x:v>
      </x:c>
      <x:c r="C1389" s="52" t="n">
        <x:v>16</x:v>
      </x:c>
      <x:c r="D1389" s="40" t="n">
        <x:v>264.08</x:v>
      </x:c>
      <x:c r="E1389" s="44" t="n">
        <x:f>C1389*D1389</x:f>
        <x:v>4225.28</x:v>
      </x:c>
      <x:c r="F1389" s="40" t="n">
        <x:v>114.9</x:v>
      </x:c>
      <x:c r="G1389" s="44" t="n">
        <x:f>C1389*F1389</x:f>
        <x:v>1838.4</x:v>
      </x:c>
      <x:c r="H1389" s="44" t="n">
        <x:f>E1389-G1389</x:f>
        <x:v>2386.8799999999997</x:v>
      </x:c>
      <x:c r="I1389" s="14" t="str">
        <x:v>SMB</x:v>
      </x:c>
      <x:c r="J1389" s="14" t="str">
        <x:v>Northeast</x:v>
      </x:c>
    </x:row>
    <x:row r="1390">
      <x:c r="A1390" s="50" t="n">
        <x:v>46111</x:v>
      </x:c>
      <x:c r="B1390" s="14" t="str">
        <x:v>SKU-0010</x:v>
      </x:c>
      <x:c r="C1390" s="52" t="n">
        <x:v>3</x:v>
      </x:c>
      <x:c r="D1390" s="40" t="n">
        <x:v>156.48</x:v>
      </x:c>
      <x:c r="E1390" s="44" t="n">
        <x:f>C1390*D1390</x:f>
        <x:v>469.43999999999994</x:v>
      </x:c>
      <x:c r="F1390" s="40" t="n">
        <x:v>137.36</x:v>
      </x:c>
      <x:c r="G1390" s="44" t="n">
        <x:f>C1390*F1390</x:f>
        <x:v>412.08000000000004</x:v>
      </x:c>
      <x:c r="H1390" s="44" t="n">
        <x:f>E1390-G1390</x:f>
        <x:v>57.3599999999999</x:v>
      </x:c>
      <x:c r="I1390" s="14" t="str">
        <x:v>Distributor</x:v>
      </x:c>
      <x:c r="J1390" s="14" t="str">
        <x:v>Midwest</x:v>
      </x:c>
    </x:row>
    <x:row r="1391">
      <x:c r="A1391" s="50" t="n">
        <x:v>45883</x:v>
      </x:c>
      <x:c r="B1391" s="14" t="str">
        <x:v>SKU-0107</x:v>
      </x:c>
      <x:c r="C1391" s="52" t="n">
        <x:v>12</x:v>
      </x:c>
      <x:c r="D1391" s="40" t="n">
        <x:v>395.31</x:v>
      </x:c>
      <x:c r="E1391" s="44" t="n">
        <x:f>C1391*D1391</x:f>
        <x:v>4743.72</x:v>
      </x:c>
      <x:c r="F1391" s="40" t="n">
        <x:v>217.39</x:v>
      </x:c>
      <x:c r="G1391" s="44" t="n">
        <x:f>C1391*F1391</x:f>
        <x:v>2608.68</x:v>
      </x:c>
      <x:c r="H1391" s="44" t="n">
        <x:f>E1391-G1391</x:f>
        <x:v>2135.0400000000004</x:v>
      </x:c>
      <x:c r="I1391" s="14" t="str">
        <x:v>SMB</x:v>
      </x:c>
      <x:c r="J1391" s="14" t="str">
        <x:v>West</x:v>
      </x:c>
    </x:row>
    <x:row r="1392">
      <x:c r="A1392" s="50" t="n">
        <x:v>46163</x:v>
      </x:c>
      <x:c r="B1392" s="14" t="str">
        <x:v>SKU-0127</x:v>
      </x:c>
      <x:c r="C1392" s="52" t="n">
        <x:v>5</x:v>
      </x:c>
      <x:c r="D1392" s="40" t="n">
        <x:v>239.83</x:v>
      </x:c>
      <x:c r="E1392" s="44" t="n">
        <x:f>C1392*D1392</x:f>
        <x:v>1199.15</x:v>
      </x:c>
      <x:c r="F1392" s="40" t="n">
        <x:v>114.9</x:v>
      </x:c>
      <x:c r="G1392" s="44" t="n">
        <x:f>C1392*F1392</x:f>
        <x:v>574.5</x:v>
      </x:c>
      <x:c r="H1392" s="44" t="n">
        <x:f>E1392-G1392</x:f>
        <x:v>624.6500000000001</x:v>
      </x:c>
      <x:c r="I1392" s="14" t="str">
        <x:v>Distributor</x:v>
      </x:c>
      <x:c r="J1392" s="14" t="str">
        <x:v>Southeast</x:v>
      </x:c>
    </x:row>
    <x:row r="1393">
      <x:c r="A1393" s="50" t="n">
        <x:v>46154</x:v>
      </x:c>
      <x:c r="B1393" s="14" t="str">
        <x:v>SKU-0080</x:v>
      </x:c>
      <x:c r="C1393" s="52" t="n">
        <x:v>16</x:v>
      </x:c>
      <x:c r="D1393" s="40" t="n">
        <x:v>163.05</x:v>
      </x:c>
      <x:c r="E1393" s="44" t="n">
        <x:f>C1393*D1393</x:f>
        <x:v>2608.8</x:v>
      </x:c>
      <x:c r="F1393" s="40" t="n">
        <x:v>115.72</x:v>
      </x:c>
      <x:c r="G1393" s="44" t="n">
        <x:f>C1393*F1393</x:f>
        <x:v>1851.52</x:v>
      </x:c>
      <x:c r="H1393" s="44" t="n">
        <x:f>E1393-G1393</x:f>
        <x:v>757.2800000000002</x:v>
      </x:c>
      <x:c r="I1393" s="14" t="str">
        <x:v>Enterprise</x:v>
      </x:c>
      <x:c r="J1393" s="14" t="str">
        <x:v>Midwest</x:v>
      </x:c>
    </x:row>
    <x:row r="1394">
      <x:c r="A1394" s="50" t="n">
        <x:v>46236</x:v>
      </x:c>
      <x:c r="B1394" s="14" t="str">
        <x:v>SKU-0036</x:v>
      </x:c>
      <x:c r="C1394" s="52" t="n">
        <x:v>5</x:v>
      </x:c>
      <x:c r="D1394" s="40" t="n">
        <x:v>256.05</x:v>
      </x:c>
      <x:c r="E1394" s="44" t="n">
        <x:f>C1394*D1394</x:f>
        <x:v>1280.25</x:v>
      </x:c>
      <x:c r="F1394" s="40" t="n">
        <x:v>122.19</x:v>
      </x:c>
      <x:c r="G1394" s="44" t="n">
        <x:f>C1394*F1394</x:f>
        <x:v>610.95</x:v>
      </x:c>
      <x:c r="H1394" s="44" t="n">
        <x:f>E1394-G1394</x:f>
        <x:v>669.3</x:v>
      </x:c>
      <x:c r="I1394" s="14" t="str">
        <x:v>Distributor</x:v>
      </x:c>
      <x:c r="J1394" s="14" t="str">
        <x:v>West</x:v>
      </x:c>
    </x:row>
    <x:row r="1395">
      <x:c r="A1395" s="50" t="n">
        <x:v>46151</x:v>
      </x:c>
      <x:c r="B1395" s="14" t="str">
        <x:v>SKU-0020</x:v>
      </x:c>
      <x:c r="C1395" s="52" t="n">
        <x:v>6</x:v>
      </x:c>
      <x:c r="D1395" s="40" t="n">
        <x:v>273.55</x:v>
      </x:c>
      <x:c r="E1395" s="44" t="n">
        <x:f>C1395*D1395</x:f>
        <x:v>1641.3000000000002</x:v>
      </x:c>
      <x:c r="F1395" s="40" t="n">
        <x:v>163.22</x:v>
      </x:c>
      <x:c r="G1395" s="44" t="n">
        <x:f>C1395*F1395</x:f>
        <x:v>979.3199999999999</x:v>
      </x:c>
      <x:c r="H1395" s="44" t="n">
        <x:f>E1395-G1395</x:f>
        <x:v>661.9800000000002</x:v>
      </x:c>
      <x:c r="I1395" s="14" t="str">
        <x:v>Internal Use</x:v>
      </x:c>
      <x:c r="J1395" s="14" t="str">
        <x:v>Northeast</x:v>
      </x:c>
    </x:row>
    <x:row r="1396">
      <x:c r="A1396" s="50" t="n">
        <x:v>46025</x:v>
      </x:c>
      <x:c r="B1396" s="14" t="str">
        <x:v>SKU-0007</x:v>
      </x:c>
      <x:c r="C1396" s="52" t="n">
        <x:v>3</x:v>
      </x:c>
      <x:c r="D1396" s="40" t="n">
        <x:v>198.74</x:v>
      </x:c>
      <x:c r="E1396" s="44" t="n">
        <x:f>C1396*D1396</x:f>
        <x:v>596.22</x:v>
      </x:c>
      <x:c r="F1396" s="40" t="n">
        <x:v>123.15</x:v>
      </x:c>
      <x:c r="G1396" s="44" t="n">
        <x:f>C1396*F1396</x:f>
        <x:v>369.45000000000005</x:v>
      </x:c>
      <x:c r="H1396" s="44" t="n">
        <x:f>E1396-G1396</x:f>
        <x:v>226.76999999999998</x:v>
      </x:c>
      <x:c r="I1396" s="14" t="str">
        <x:v>Enterprise</x:v>
      </x:c>
      <x:c r="J1396" s="14" t="str">
        <x:v>Midwest</x:v>
      </x:c>
    </x:row>
    <x:row r="1397">
      <x:c r="A1397" s="50" t="n">
        <x:v>45928</x:v>
      </x:c>
      <x:c r="B1397" s="14" t="str">
        <x:v>SKU-0030</x:v>
      </x:c>
      <x:c r="C1397" s="52" t="n">
        <x:v>6</x:v>
      </x:c>
      <x:c r="D1397" s="40" t="n">
        <x:v>341.95</x:v>
      </x:c>
      <x:c r="E1397" s="44" t="n">
        <x:f>C1397*D1397</x:f>
        <x:v>2051.7</x:v>
      </x:c>
      <x:c r="F1397" s="40" t="n">
        <x:v>191.77</x:v>
      </x:c>
      <x:c r="G1397" s="44" t="n">
        <x:f>C1397*F1397</x:f>
        <x:v>1150.6200000000001</x:v>
      </x:c>
      <x:c r="H1397" s="44" t="n">
        <x:f>E1397-G1397</x:f>
        <x:v>901.0799999999997</x:v>
      </x:c>
      <x:c r="I1397" s="14" t="str">
        <x:v>Enterprise</x:v>
      </x:c>
      <x:c r="J1397" s="14" t="str">
        <x:v>Southeast</x:v>
      </x:c>
    </x:row>
    <x:row r="1398">
      <x:c r="A1398" s="50" t="n">
        <x:v>46021</x:v>
      </x:c>
      <x:c r="B1398" s="14" t="str">
        <x:v>SKU-0013</x:v>
      </x:c>
      <x:c r="C1398" s="52" t="n">
        <x:v>3</x:v>
      </x:c>
      <x:c r="D1398" s="40" t="n">
        <x:v>39.63</x:v>
      </x:c>
      <x:c r="E1398" s="44" t="n">
        <x:f>C1398*D1398</x:f>
        <x:v>118.89000000000001</x:v>
      </x:c>
      <x:c r="F1398" s="40" t="n">
        <x:v>22.2</x:v>
      </x:c>
      <x:c r="G1398" s="44" t="n">
        <x:f>C1398*F1398</x:f>
        <x:v>66.6</x:v>
      </x:c>
      <x:c r="H1398" s="44" t="n">
        <x:f>E1398-G1398</x:f>
        <x:v>52.29000000000002</x:v>
      </x:c>
      <x:c r="I1398" s="14" t="str">
        <x:v>Enterprise</x:v>
      </x:c>
      <x:c r="J1398" s="14" t="str">
        <x:v>Midwest</x:v>
      </x:c>
    </x:row>
    <x:row r="1399">
      <x:c r="A1399" s="50" t="n">
        <x:v>46216</x:v>
      </x:c>
      <x:c r="B1399" s="14" t="str">
        <x:v>SKU-0142</x:v>
      </x:c>
      <x:c r="C1399" s="52" t="n">
        <x:v>24</x:v>
      </x:c>
      <x:c r="D1399" s="40" t="n">
        <x:v>186.61</x:v>
      </x:c>
      <x:c r="E1399" s="44" t="n">
        <x:f>C1399*D1399</x:f>
        <x:v>4478.64</x:v>
      </x:c>
      <x:c r="F1399" s="40" t="n">
        <x:v>95.95</x:v>
      </x:c>
      <x:c r="G1399" s="44" t="n">
        <x:f>C1399*F1399</x:f>
        <x:v>2302.8</x:v>
      </x:c>
      <x:c r="H1399" s="44" t="n">
        <x:f>E1399-G1399</x:f>
        <x:v>2175.84</x:v>
      </x:c>
      <x:c r="I1399" s="14" t="str">
        <x:v>Distributor</x:v>
      </x:c>
      <x:c r="J1399" s="14" t="str">
        <x:v>Northeast</x:v>
      </x:c>
    </x:row>
    <x:row r="1400">
      <x:c r="A1400" s="50" t="n">
        <x:v>45915</x:v>
      </x:c>
      <x:c r="B1400" s="14" t="str">
        <x:v>SKU-0036</x:v>
      </x:c>
      <x:c r="C1400" s="52" t="n">
        <x:v>7</x:v>
      </x:c>
      <x:c r="D1400" s="40" t="n">
        <x:v>256.29</x:v>
      </x:c>
      <x:c r="E1400" s="44" t="n">
        <x:f>C1400*D1400</x:f>
        <x:v>1794.0300000000002</x:v>
      </x:c>
      <x:c r="F1400" s="40" t="n">
        <x:v>122.19</x:v>
      </x:c>
      <x:c r="G1400" s="44" t="n">
        <x:f>C1400*F1400</x:f>
        <x:v>855.3299999999999</x:v>
      </x:c>
      <x:c r="H1400" s="44" t="n">
        <x:f>E1400-G1400</x:f>
        <x:v>938.7000000000003</x:v>
      </x:c>
      <x:c r="I1400" s="14" t="str">
        <x:v>SMB</x:v>
      </x:c>
      <x:c r="J1400" s="14" t="str">
        <x:v>Northeast</x:v>
      </x:c>
    </x:row>
    <x:row r="1401">
      <x:c r="A1401" s="50" t="n">
        <x:v>45966</x:v>
      </x:c>
      <x:c r="B1401" s="14" t="str">
        <x:v>SKU-0086</x:v>
      </x:c>
      <x:c r="C1401" s="52" t="n">
        <x:v>12</x:v>
      </x:c>
      <x:c r="D1401" s="40" t="n">
        <x:v>238.05</x:v>
      </x:c>
      <x:c r="E1401" s="44" t="n">
        <x:f>C1401*D1401</x:f>
        <x:v>2856.6000000000004</x:v>
      </x:c>
      <x:c r="F1401" s="40" t="n">
        <x:v>148.45</x:v>
      </x:c>
      <x:c r="G1401" s="44" t="n">
        <x:f>C1401*F1401</x:f>
        <x:v>1781.3999999999999</x:v>
      </x:c>
      <x:c r="H1401" s="44" t="n">
        <x:f>E1401-G1401</x:f>
        <x:v>1075.2000000000005</x:v>
      </x:c>
      <x:c r="I1401" s="14" t="str">
        <x:v>Internal Use</x:v>
      </x:c>
      <x:c r="J1401" s="14" t="str">
        <x:v>Southeast</x:v>
      </x:c>
    </x:row>
    <x:row r="1402">
      <x:c r="A1402" s="50" t="n">
        <x:v>45966</x:v>
      </x:c>
      <x:c r="B1402" s="14" t="str">
        <x:v>SKU-0033</x:v>
      </x:c>
      <x:c r="C1402" s="52" t="n">
        <x:v>56</x:v>
      </x:c>
      <x:c r="D1402" s="40" t="n">
        <x:v>281.71</x:v>
      </x:c>
      <x:c r="E1402" s="44" t="n">
        <x:f>C1402*D1402</x:f>
        <x:v>15775.759999999998</x:v>
      </x:c>
      <x:c r="F1402" s="40" t="n">
        <x:v>185.66</x:v>
      </x:c>
      <x:c r="G1402" s="44" t="n">
        <x:f>C1402*F1402</x:f>
        <x:v>10396.96</x:v>
      </x:c>
      <x:c r="H1402" s="44" t="n">
        <x:f>E1402-G1402</x:f>
        <x:v>5378.799999999999</x:v>
      </x:c>
      <x:c r="I1402" s="14" t="str">
        <x:v>SMB</x:v>
      </x:c>
      <x:c r="J1402" s="14" t="str">
        <x:v>West</x:v>
      </x:c>
    </x:row>
    <x:row r="1403">
      <x:c r="A1403" s="50" t="n">
        <x:v>46228</x:v>
      </x:c>
      <x:c r="B1403" s="14" t="str">
        <x:v>SKU-0002</x:v>
      </x:c>
      <x:c r="C1403" s="52" t="n">
        <x:v>9</x:v>
      </x:c>
      <x:c r="D1403" s="40" t="n">
        <x:v>83.41</x:v>
      </x:c>
      <x:c r="E1403" s="44" t="n">
        <x:f>C1403*D1403</x:f>
        <x:v>750.6899999999999</x:v>
      </x:c>
      <x:c r="F1403" s="40" t="n">
        <x:v>66.06</x:v>
      </x:c>
      <x:c r="G1403" s="44" t="n">
        <x:f>C1403*F1403</x:f>
        <x:v>594.54</x:v>
      </x:c>
      <x:c r="H1403" s="44" t="n">
        <x:f>E1403-G1403</x:f>
        <x:v>156.14999999999998</x:v>
      </x:c>
      <x:c r="I1403" s="14" t="str">
        <x:v>SMB</x:v>
      </x:c>
      <x:c r="J1403" s="14" t="str">
        <x:v>West</x:v>
      </x:c>
    </x:row>
    <x:row r="1404">
      <x:c r="A1404" s="50" t="n">
        <x:v>46001</x:v>
      </x:c>
      <x:c r="B1404" s="14" t="str">
        <x:v>SKU-0141</x:v>
      </x:c>
      <x:c r="C1404" s="52" t="n">
        <x:v>4</x:v>
      </x:c>
      <x:c r="D1404" s="40" t="n">
        <x:v>369.38</x:v>
      </x:c>
      <x:c r="E1404" s="44" t="n">
        <x:f>C1404*D1404</x:f>
        <x:v>1477.52</x:v>
      </x:c>
      <x:c r="F1404" s="40" t="n">
        <x:v>279.99</x:v>
      </x:c>
      <x:c r="G1404" s="44" t="n">
        <x:f>C1404*F1404</x:f>
        <x:v>1119.96</x:v>
      </x:c>
      <x:c r="H1404" s="44" t="n">
        <x:f>E1404-G1404</x:f>
        <x:v>357.55999999999995</x:v>
      </x:c>
      <x:c r="I1404" s="14" t="str">
        <x:v>SMB</x:v>
      </x:c>
      <x:c r="J1404" s="14" t="str">
        <x:v>Midwest</x:v>
      </x:c>
    </x:row>
    <x:row r="1405">
      <x:c r="A1405" s="50" t="n">
        <x:v>45949</x:v>
      </x:c>
      <x:c r="B1405" s="14" t="str">
        <x:v>SKU-0089</x:v>
      </x:c>
      <x:c r="C1405" s="52" t="n">
        <x:v>6</x:v>
      </x:c>
      <x:c r="D1405" s="40" t="n">
        <x:v>72.05</x:v>
      </x:c>
      <x:c r="E1405" s="44" t="n">
        <x:f>C1405*D1405</x:f>
        <x:v>432.29999999999995</x:v>
      </x:c>
      <x:c r="F1405" s="40" t="n">
        <x:v>48.67</x:v>
      </x:c>
      <x:c r="G1405" s="44" t="n">
        <x:f>C1405*F1405</x:f>
        <x:v>292.02</x:v>
      </x:c>
      <x:c r="H1405" s="44" t="n">
        <x:f>E1405-G1405</x:f>
        <x:v>140.27999999999997</x:v>
      </x:c>
      <x:c r="I1405" s="14" t="str">
        <x:v>Distributor</x:v>
      </x:c>
      <x:c r="J1405" s="14" t="str">
        <x:v>Midwest</x:v>
      </x:c>
    </x:row>
    <x:row r="1406">
      <x:c r="A1406" s="50" t="n">
        <x:v>46195</x:v>
      </x:c>
      <x:c r="B1406" s="14" t="str">
        <x:v>SKU-0064</x:v>
      </x:c>
      <x:c r="C1406" s="52" t="n">
        <x:v>15</x:v>
      </x:c>
      <x:c r="D1406" s="40" t="n">
        <x:v>96.18</x:v>
      </x:c>
      <x:c r="E1406" s="44" t="n">
        <x:f>C1406*D1406</x:f>
        <x:v>1442.7</x:v>
      </x:c>
      <x:c r="F1406" s="40" t="n">
        <x:v>62.55</x:v>
      </x:c>
      <x:c r="G1406" s="44" t="n">
        <x:f>C1406*F1406</x:f>
        <x:v>938.25</x:v>
      </x:c>
      <x:c r="H1406" s="44" t="n">
        <x:f>E1406-G1406</x:f>
        <x:v>504.45000000000005</x:v>
      </x:c>
      <x:c r="I1406" s="14" t="str">
        <x:v>Internal Use</x:v>
      </x:c>
      <x:c r="J1406" s="14" t="str">
        <x:v>Northeast</x:v>
      </x:c>
    </x:row>
    <x:row r="1407">
      <x:c r="A1407" s="50" t="n">
        <x:v>46087</x:v>
      </x:c>
      <x:c r="B1407" s="14" t="str">
        <x:v>SKU-0030</x:v>
      </x:c>
      <x:c r="C1407" s="52" t="n">
        <x:v>14</x:v>
      </x:c>
      <x:c r="D1407" s="40" t="n">
        <x:v>347.92</x:v>
      </x:c>
      <x:c r="E1407" s="44" t="n">
        <x:f>C1407*D1407</x:f>
        <x:v>4870.88</x:v>
      </x:c>
      <x:c r="F1407" s="40" t="n">
        <x:v>191.77</x:v>
      </x:c>
      <x:c r="G1407" s="44" t="n">
        <x:f>C1407*F1407</x:f>
        <x:v>2684.78</x:v>
      </x:c>
      <x:c r="H1407" s="44" t="n">
        <x:f>E1407-G1407</x:f>
        <x:v>2186.1</x:v>
      </x:c>
      <x:c r="I1407" s="14" t="str">
        <x:v>SMB</x:v>
      </x:c>
      <x:c r="J1407" s="14" t="str">
        <x:v>Northeast</x:v>
      </x:c>
    </x:row>
    <x:row r="1408">
      <x:c r="A1408" s="50" t="n">
        <x:v>45947</x:v>
      </x:c>
      <x:c r="B1408" s="14" t="str">
        <x:v>SKU-0064</x:v>
      </x:c>
      <x:c r="C1408" s="52" t="n">
        <x:v>13</x:v>
      </x:c>
      <x:c r="D1408" s="40" t="n">
        <x:v>93.63</x:v>
      </x:c>
      <x:c r="E1408" s="44" t="n">
        <x:f>C1408*D1408</x:f>
        <x:v>1217.19</x:v>
      </x:c>
      <x:c r="F1408" s="40" t="n">
        <x:v>62.55</x:v>
      </x:c>
      <x:c r="G1408" s="44" t="n">
        <x:f>C1408*F1408</x:f>
        <x:v>813.15</x:v>
      </x:c>
      <x:c r="H1408" s="44" t="n">
        <x:f>E1408-G1408</x:f>
        <x:v>404.0400000000001</x:v>
      </x:c>
      <x:c r="I1408" s="14" t="str">
        <x:v>Enterprise</x:v>
      </x:c>
      <x:c r="J1408" s="14" t="str">
        <x:v>Northeast</x:v>
      </x:c>
    </x:row>
    <x:row r="1409">
      <x:c r="A1409" s="50" t="n">
        <x:v>45948</x:v>
      </x:c>
      <x:c r="B1409" s="14" t="str">
        <x:v>SKU-0102</x:v>
      </x:c>
      <x:c r="C1409" s="52" t="n">
        <x:v>21</x:v>
      </x:c>
      <x:c r="D1409" s="40" t="n">
        <x:v>330.55</x:v>
      </x:c>
      <x:c r="E1409" s="44" t="n">
        <x:f>C1409*D1409</x:f>
        <x:v>6941.55</x:v>
      </x:c>
      <x:c r="F1409" s="40" t="n">
        <x:v>278.87</x:v>
      </x:c>
      <x:c r="G1409" s="44" t="n">
        <x:f>C1409*F1409</x:f>
        <x:v>5856.27</x:v>
      </x:c>
      <x:c r="H1409" s="44" t="n">
        <x:f>E1409-G1409</x:f>
        <x:v>1085.2799999999997</x:v>
      </x:c>
      <x:c r="I1409" s="14" t="str">
        <x:v>Enterprise</x:v>
      </x:c>
      <x:c r="J1409" s="14" t="str">
        <x:v>Southeast</x:v>
      </x:c>
    </x:row>
    <x:row r="1410">
      <x:c r="A1410" s="50" t="n">
        <x:v>46236</x:v>
      </x:c>
      <x:c r="B1410" s="14" t="str">
        <x:v>SKU-0029</x:v>
      </x:c>
      <x:c r="C1410" s="52" t="n">
        <x:v>5</x:v>
      </x:c>
      <x:c r="D1410" s="40" t="n">
        <x:v>18.75</x:v>
      </x:c>
      <x:c r="E1410" s="44" t="n">
        <x:f>C1410*D1410</x:f>
        <x:v>93.75</x:v>
      </x:c>
      <x:c r="F1410" s="40" t="n">
        <x:v>12.5</x:v>
      </x:c>
      <x:c r="G1410" s="44" t="n">
        <x:f>C1410*F1410</x:f>
        <x:v>62.5</x:v>
      </x:c>
      <x:c r="H1410" s="44" t="n">
        <x:f>E1410-G1410</x:f>
        <x:v>31.25</x:v>
      </x:c>
      <x:c r="I1410" s="14" t="str">
        <x:v>Enterprise</x:v>
      </x:c>
      <x:c r="J1410" s="14" t="str">
        <x:v>Midwest</x:v>
      </x:c>
    </x:row>
    <x:row r="1411">
      <x:c r="A1411" s="50" t="n">
        <x:v>46090</x:v>
      </x:c>
      <x:c r="B1411" s="14" t="str">
        <x:v>SKU-0084</x:v>
      </x:c>
      <x:c r="C1411" s="52" t="n">
        <x:v>6</x:v>
      </x:c>
      <x:c r="D1411" s="40" t="n">
        <x:v>214.37</x:v>
      </x:c>
      <x:c r="E1411" s="44" t="n">
        <x:f>C1411*D1411</x:f>
        <x:v>1286.22</x:v>
      </x:c>
      <x:c r="F1411" s="40" t="n">
        <x:v>108.77</x:v>
      </x:c>
      <x:c r="G1411" s="44" t="n">
        <x:f>C1411*F1411</x:f>
        <x:v>652.62</x:v>
      </x:c>
      <x:c r="H1411" s="44" t="n">
        <x:f>E1411-G1411</x:f>
        <x:v>633.6</x:v>
      </x:c>
      <x:c r="I1411" s="14" t="str">
        <x:v>SMB</x:v>
      </x:c>
      <x:c r="J1411" s="14" t="str">
        <x:v>Southeast</x:v>
      </x:c>
    </x:row>
    <x:row r="1412">
      <x:c r="A1412" s="50" t="n">
        <x:v>46079</x:v>
      </x:c>
      <x:c r="B1412" s="14" t="str">
        <x:v>SKU-0053</x:v>
      </x:c>
      <x:c r="C1412" s="52" t="n">
        <x:v>1</x:v>
      </x:c>
      <x:c r="D1412" s="40" t="n">
        <x:v>423.74</x:v>
      </x:c>
      <x:c r="E1412" s="44" t="n">
        <x:f>C1412*D1412</x:f>
        <x:v>423.74</x:v>
      </x:c>
      <x:c r="F1412" s="40" t="n">
        <x:v>235.39</x:v>
      </x:c>
      <x:c r="G1412" s="44" t="n">
        <x:f>C1412*F1412</x:f>
        <x:v>235.39</x:v>
      </x:c>
      <x:c r="H1412" s="44" t="n">
        <x:f>E1412-G1412</x:f>
        <x:v>188.35000000000002</x:v>
      </x:c>
      <x:c r="I1412" s="14" t="str">
        <x:v>SMB</x:v>
      </x:c>
      <x:c r="J1412" s="14" t="str">
        <x:v>West</x:v>
      </x:c>
    </x:row>
    <x:row r="1413">
      <x:c r="A1413" s="50" t="n">
        <x:v>46020</x:v>
      </x:c>
      <x:c r="B1413" s="14" t="str">
        <x:v>SKU-0126</x:v>
      </x:c>
      <x:c r="C1413" s="52" t="n">
        <x:v>8</x:v>
      </x:c>
      <x:c r="D1413" s="40" t="n">
        <x:v>16.45</x:v>
      </x:c>
      <x:c r="E1413" s="44" t="n">
        <x:f>C1413*D1413</x:f>
        <x:v>131.6</x:v>
      </x:c>
      <x:c r="F1413" s="40" t="n">
        <x:v>7.7</x:v>
      </x:c>
      <x:c r="G1413" s="44" t="n">
        <x:f>C1413*F1413</x:f>
        <x:v>61.6</x:v>
      </x:c>
      <x:c r="H1413" s="44" t="n">
        <x:f>E1413-G1413</x:f>
        <x:v>70</x:v>
      </x:c>
      <x:c r="I1413" s="14" t="str">
        <x:v>SMB</x:v>
      </x:c>
      <x:c r="J1413" s="14" t="str">
        <x:v>Northeast</x:v>
      </x:c>
    </x:row>
    <x:row r="1414">
      <x:c r="A1414" s="50" t="n">
        <x:v>46114</x:v>
      </x:c>
      <x:c r="B1414" s="14" t="str">
        <x:v>SKU-0016</x:v>
      </x:c>
      <x:c r="C1414" s="52" t="n">
        <x:v>9</x:v>
      </x:c>
      <x:c r="D1414" s="40" t="n">
        <x:v>375.19</x:v>
      </x:c>
      <x:c r="E1414" s="44" t="n">
        <x:f>C1414*D1414</x:f>
        <x:v>3376.71</x:v>
      </x:c>
      <x:c r="F1414" s="40" t="n">
        <x:v>204.58</x:v>
      </x:c>
      <x:c r="G1414" s="44" t="n">
        <x:f>C1414*F1414</x:f>
        <x:v>1841.22</x:v>
      </x:c>
      <x:c r="H1414" s="44" t="n">
        <x:f>E1414-G1414</x:f>
        <x:v>1535.49</x:v>
      </x:c>
      <x:c r="I1414" s="14" t="str">
        <x:v>Distributor</x:v>
      </x:c>
      <x:c r="J1414" s="14" t="str">
        <x:v>Southeast</x:v>
      </x:c>
    </x:row>
    <x:row r="1415">
      <x:c r="A1415" s="50" t="n">
        <x:v>46023</x:v>
      </x:c>
      <x:c r="B1415" s="14" t="str">
        <x:v>SKU-0073</x:v>
      </x:c>
      <x:c r="C1415" s="52" t="n">
        <x:v>1</x:v>
      </x:c>
      <x:c r="D1415" s="40" t="n">
        <x:v>66</x:v>
      </x:c>
      <x:c r="E1415" s="44" t="n">
        <x:f>C1415*D1415</x:f>
        <x:v>66</x:v>
      </x:c>
      <x:c r="F1415" s="40" t="n">
        <x:v>37.01</x:v>
      </x:c>
      <x:c r="G1415" s="44" t="n">
        <x:f>C1415*F1415</x:f>
        <x:v>37.01</x:v>
      </x:c>
      <x:c r="H1415" s="44" t="n">
        <x:f>E1415-G1415</x:f>
        <x:v>28.990000000000002</x:v>
      </x:c>
      <x:c r="I1415" s="14" t="str">
        <x:v>Enterprise</x:v>
      </x:c>
      <x:c r="J1415" s="14" t="str">
        <x:v>West</x:v>
      </x:c>
    </x:row>
    <x:row r="1416">
      <x:c r="A1416" s="50" t="n">
        <x:v>46035</x:v>
      </x:c>
      <x:c r="B1416" s="14" t="str">
        <x:v>SKU-0090</x:v>
      </x:c>
      <x:c r="C1416" s="52" t="n">
        <x:v>12</x:v>
      </x:c>
      <x:c r="D1416" s="40" t="n">
        <x:v>214.19</x:v>
      </x:c>
      <x:c r="E1416" s="44" t="n">
        <x:f>C1416*D1416</x:f>
        <x:v>2570.2799999999997</x:v>
      </x:c>
      <x:c r="F1416" s="40" t="n">
        <x:v>116.84</x:v>
      </x:c>
      <x:c r="G1416" s="44" t="n">
        <x:f>C1416*F1416</x:f>
        <x:v>1402.08</x:v>
      </x:c>
      <x:c r="H1416" s="44" t="n">
        <x:f>E1416-G1416</x:f>
        <x:v>1168.1999999999998</x:v>
      </x:c>
      <x:c r="I1416" s="14" t="str">
        <x:v>Distributor</x:v>
      </x:c>
      <x:c r="J1416" s="14" t="str">
        <x:v>West</x:v>
      </x:c>
    </x:row>
    <x:row r="1417">
      <x:c r="A1417" s="50" t="n">
        <x:v>46018</x:v>
      </x:c>
      <x:c r="B1417" s="14" t="str">
        <x:v>SKU-0100</x:v>
      </x:c>
      <x:c r="C1417" s="52" t="n">
        <x:v>4</x:v>
      </x:c>
      <x:c r="D1417" s="40" t="n">
        <x:v>198.55</x:v>
      </x:c>
      <x:c r="E1417" s="44" t="n">
        <x:f>C1417*D1417</x:f>
        <x:v>794.2</x:v>
      </x:c>
      <x:c r="F1417" s="40" t="n">
        <x:v>108.23</x:v>
      </x:c>
      <x:c r="G1417" s="44" t="n">
        <x:f>C1417*F1417</x:f>
        <x:v>432.92</x:v>
      </x:c>
      <x:c r="H1417" s="44" t="n">
        <x:f>E1417-G1417</x:f>
        <x:v>361.28000000000003</x:v>
      </x:c>
      <x:c r="I1417" s="14" t="str">
        <x:v>Enterprise</x:v>
      </x:c>
      <x:c r="J1417" s="14" t="str">
        <x:v>Southeast</x:v>
      </x:c>
    </x:row>
    <x:row r="1418">
      <x:c r="A1418" s="50" t="n">
        <x:v>46076</x:v>
      </x:c>
      <x:c r="B1418" s="14" t="str">
        <x:v>SKU-0125</x:v>
      </x:c>
      <x:c r="C1418" s="52" t="n">
        <x:v>11</x:v>
      </x:c>
      <x:c r="D1418" s="40" t="n">
        <x:v>57.9</x:v>
      </x:c>
      <x:c r="E1418" s="44" t="n">
        <x:f>C1418*D1418</x:f>
        <x:v>636.9</x:v>
      </x:c>
      <x:c r="F1418" s="40" t="n">
        <x:v>38.35</x:v>
      </x:c>
      <x:c r="G1418" s="44" t="n">
        <x:f>C1418*F1418</x:f>
        <x:v>421.85</x:v>
      </x:c>
      <x:c r="H1418" s="44" t="n">
        <x:f>E1418-G1418</x:f>
        <x:v>215.04999999999995</x:v>
      </x:c>
      <x:c r="I1418" s="14" t="str">
        <x:v>Distributor</x:v>
      </x:c>
      <x:c r="J1418" s="14" t="str">
        <x:v>Midwest</x:v>
      </x:c>
    </x:row>
    <x:row r="1419">
      <x:c r="A1419" s="50" t="n">
        <x:v>46019</x:v>
      </x:c>
      <x:c r="B1419" s="14" t="str">
        <x:v>SKU-0026</x:v>
      </x:c>
      <x:c r="C1419" s="52" t="n">
        <x:v>25</x:v>
      </x:c>
      <x:c r="D1419" s="40" t="n">
        <x:v>451.34</x:v>
      </x:c>
      <x:c r="E1419" s="44" t="n">
        <x:f>C1419*D1419</x:f>
        <x:v>11283.5</x:v>
      </x:c>
      <x:c r="F1419" s="40" t="n">
        <x:v>249.4</x:v>
      </x:c>
      <x:c r="G1419" s="44" t="n">
        <x:f>C1419*F1419</x:f>
        <x:v>6235</x:v>
      </x:c>
      <x:c r="H1419" s="44" t="n">
        <x:f>E1419-G1419</x:f>
        <x:v>5048.5</x:v>
      </x:c>
      <x:c r="I1419" s="14" t="str">
        <x:v>Internal Use</x:v>
      </x:c>
      <x:c r="J1419" s="14" t="str">
        <x:v>Northeast</x:v>
      </x:c>
    </x:row>
    <x:row r="1420">
      <x:c r="A1420" s="50" t="n">
        <x:v>46170</x:v>
      </x:c>
      <x:c r="B1420" s="14" t="str">
        <x:v>SKU-0017</x:v>
      </x:c>
      <x:c r="C1420" s="52" t="n">
        <x:v>18</x:v>
      </x:c>
      <x:c r="D1420" s="40" t="n">
        <x:v>149.25</x:v>
      </x:c>
      <x:c r="E1420" s="44" t="n">
        <x:f>C1420*D1420</x:f>
        <x:v>2686.5</x:v>
      </x:c>
      <x:c r="F1420" s="40" t="n">
        <x:v>71.82</x:v>
      </x:c>
      <x:c r="G1420" s="44" t="n">
        <x:f>C1420*F1420</x:f>
        <x:v>1292.7599999999998</x:v>
      </x:c>
      <x:c r="H1420" s="44" t="n">
        <x:f>E1420-G1420</x:f>
        <x:v>1393.7400000000002</x:v>
      </x:c>
      <x:c r="I1420" s="14" t="str">
        <x:v>SMB</x:v>
      </x:c>
      <x:c r="J1420" s="14" t="str">
        <x:v>West</x:v>
      </x:c>
    </x:row>
    <x:row r="1421">
      <x:c r="A1421" s="50" t="n">
        <x:v>45881</x:v>
      </x:c>
      <x:c r="B1421" s="14" t="str">
        <x:v>SKU-0136</x:v>
      </x:c>
      <x:c r="C1421" s="52" t="n">
        <x:v>44</x:v>
      </x:c>
      <x:c r="D1421" s="40" t="n">
        <x:v>144.37</x:v>
      </x:c>
      <x:c r="E1421" s="44" t="n">
        <x:f>C1421*D1421</x:f>
        <x:v>6352.280000000001</x:v>
      </x:c>
      <x:c r="F1421" s="40" t="n">
        <x:v>105.97</x:v>
      </x:c>
      <x:c r="G1421" s="44" t="n">
        <x:f>C1421*F1421</x:f>
        <x:v>4662.68</x:v>
      </x:c>
      <x:c r="H1421" s="44" t="n">
        <x:f>E1421-G1421</x:f>
        <x:v>1689.6000000000004</x:v>
      </x:c>
      <x:c r="I1421" s="14" t="str">
        <x:v>Distributor</x:v>
      </x:c>
      <x:c r="J1421" s="14" t="str">
        <x:v>Northeast</x:v>
      </x:c>
    </x:row>
    <x:row r="1422">
      <x:c r="A1422" s="50" t="n">
        <x:v>45979</x:v>
      </x:c>
      <x:c r="B1422" s="14" t="str">
        <x:v>SKU-0124</x:v>
      </x:c>
      <x:c r="C1422" s="52" t="n">
        <x:v>1</x:v>
      </x:c>
      <x:c r="D1422" s="40" t="n">
        <x:v>135.13</x:v>
      </x:c>
      <x:c r="E1422" s="44" t="n">
        <x:f>C1422*D1422</x:f>
        <x:v>135.13</x:v>
      </x:c>
      <x:c r="F1422" s="40" t="n">
        <x:v>59.23</x:v>
      </x:c>
      <x:c r="G1422" s="44" t="n">
        <x:f>C1422*F1422</x:f>
        <x:v>59.23</x:v>
      </x:c>
      <x:c r="H1422" s="44" t="n">
        <x:f>E1422-G1422</x:f>
        <x:v>75.9</x:v>
      </x:c>
      <x:c r="I1422" s="14" t="str">
        <x:v>Internal Use</x:v>
      </x:c>
      <x:c r="J1422" s="14" t="str">
        <x:v>Midwest</x:v>
      </x:c>
    </x:row>
    <x:row r="1423">
      <x:c r="A1423" s="50" t="n">
        <x:v>46180</x:v>
      </x:c>
      <x:c r="B1423" s="14" t="str">
        <x:v>SKU-0070</x:v>
      </x:c>
      <x:c r="C1423" s="52" t="n">
        <x:v>4</x:v>
      </x:c>
      <x:c r="D1423" s="40" t="n">
        <x:v>118.28</x:v>
      </x:c>
      <x:c r="E1423" s="44" t="n">
        <x:f>C1423*D1423</x:f>
        <x:v>473.12</x:v>
      </x:c>
      <x:c r="F1423" s="40" t="n">
        <x:v>69.06</x:v>
      </x:c>
      <x:c r="G1423" s="44" t="n">
        <x:f>C1423*F1423</x:f>
        <x:v>276.24</x:v>
      </x:c>
      <x:c r="H1423" s="44" t="n">
        <x:f>E1423-G1423</x:f>
        <x:v>196.88</x:v>
      </x:c>
      <x:c r="I1423" s="14" t="str">
        <x:v>Distributor</x:v>
      </x:c>
      <x:c r="J1423" s="14" t="str">
        <x:v>Northeast</x:v>
      </x:c>
    </x:row>
    <x:row r="1424">
      <x:c r="A1424" s="50" t="n">
        <x:v>46121</x:v>
      </x:c>
      <x:c r="B1424" s="14" t="str">
        <x:v>SKU-0098</x:v>
      </x:c>
      <x:c r="C1424" s="52" t="n">
        <x:v>42</x:v>
      </x:c>
      <x:c r="D1424" s="40" t="n">
        <x:v>366.2</x:v>
      </x:c>
      <x:c r="E1424" s="44" t="n">
        <x:f>C1424*D1424</x:f>
        <x:v>15380.4</x:v>
      </x:c>
      <x:c r="F1424" s="40" t="n">
        <x:v>270.95</x:v>
      </x:c>
      <x:c r="G1424" s="44" t="n">
        <x:f>C1424*F1424</x:f>
        <x:v>11379.9</x:v>
      </x:c>
      <x:c r="H1424" s="44" t="n">
        <x:f>E1424-G1424</x:f>
        <x:v>4000.5</x:v>
      </x:c>
      <x:c r="I1424" s="14" t="str">
        <x:v>Distributor</x:v>
      </x:c>
      <x:c r="J1424" s="14" t="str">
        <x:v>Midwest</x:v>
      </x:c>
    </x:row>
    <x:row r="1425">
      <x:c r="A1425" s="50" t="n">
        <x:v>46003</x:v>
      </x:c>
      <x:c r="B1425" s="14" t="str">
        <x:v>SKU-0121</x:v>
      </x:c>
      <x:c r="C1425" s="52" t="n">
        <x:v>9</x:v>
      </x:c>
      <x:c r="D1425" s="40" t="n">
        <x:v>124.35</x:v>
      </x:c>
      <x:c r="E1425" s="44" t="n">
        <x:f>C1425*D1425</x:f>
        <x:v>1119.1499999999999</x:v>
      </x:c>
      <x:c r="F1425" s="40" t="n">
        <x:v>88.98</x:v>
      </x:c>
      <x:c r="G1425" s="44" t="n">
        <x:f>C1425*F1425</x:f>
        <x:v>800.82</x:v>
      </x:c>
      <x:c r="H1425" s="44" t="n">
        <x:f>E1425-G1425</x:f>
        <x:v>318.3299999999998</x:v>
      </x:c>
      <x:c r="I1425" s="14" t="str">
        <x:v>Enterprise</x:v>
      </x:c>
      <x:c r="J1425" s="14" t="str">
        <x:v>Northeast</x:v>
      </x:c>
    </x:row>
    <x:row r="1426">
      <x:c r="A1426" s="50" t="n">
        <x:v>46169</x:v>
      </x:c>
      <x:c r="B1426" s="14" t="str">
        <x:v>SKU-0027</x:v>
      </x:c>
      <x:c r="C1426" s="52" t="n">
        <x:v>18</x:v>
      </x:c>
      <x:c r="D1426" s="40" t="n">
        <x:v>310.59</x:v>
      </x:c>
      <x:c r="E1426" s="44" t="n">
        <x:f>C1426*D1426</x:f>
        <x:v>5590.62</x:v>
      </x:c>
      <x:c r="F1426" s="40" t="n">
        <x:v>138.07</x:v>
      </x:c>
      <x:c r="G1426" s="44" t="n">
        <x:f>C1426*F1426</x:f>
        <x:v>2485.2599999999998</x:v>
      </x:c>
      <x:c r="H1426" s="44" t="n">
        <x:f>E1426-G1426</x:f>
        <x:v>3105.36</x:v>
      </x:c>
      <x:c r="I1426" s="14" t="str">
        <x:v>SMB</x:v>
      </x:c>
      <x:c r="J1426" s="14" t="str">
        <x:v>West</x:v>
      </x:c>
    </x:row>
    <x:row r="1427">
      <x:c r="A1427" s="50" t="n">
        <x:v>46153</x:v>
      </x:c>
      <x:c r="B1427" s="14" t="str">
        <x:v>SKU-0106</x:v>
      </x:c>
      <x:c r="C1427" s="52" t="n">
        <x:v>8</x:v>
      </x:c>
      <x:c r="D1427" s="40" t="n">
        <x:v>308.9</x:v>
      </x:c>
      <x:c r="E1427" s="44" t="n">
        <x:f>C1427*D1427</x:f>
        <x:v>2471.2</x:v>
      </x:c>
      <x:c r="F1427" s="40" t="n">
        <x:v>220.84</x:v>
      </x:c>
      <x:c r="G1427" s="44" t="n">
        <x:f>C1427*F1427</x:f>
        <x:v>1766.72</x:v>
      </x:c>
      <x:c r="H1427" s="44" t="n">
        <x:f>E1427-G1427</x:f>
        <x:v>704.4799999999998</x:v>
      </x:c>
      <x:c r="I1427" s="14" t="str">
        <x:v>SMB</x:v>
      </x:c>
      <x:c r="J1427" s="14" t="str">
        <x:v>Midwest</x:v>
      </x:c>
    </x:row>
    <x:row r="1428">
      <x:c r="A1428" s="50" t="n">
        <x:v>45898</x:v>
      </x:c>
      <x:c r="B1428" s="14" t="str">
        <x:v>SKU-0025</x:v>
      </x:c>
      <x:c r="C1428" s="52" t="n">
        <x:v>53</x:v>
      </x:c>
      <x:c r="D1428" s="40" t="n">
        <x:v>573.01</x:v>
      </x:c>
      <x:c r="E1428" s="44" t="n">
        <x:f>C1428*D1428</x:f>
        <x:v>30369.53</x:v>
      </x:c>
      <x:c r="F1428" s="40" t="n">
        <x:v>275.52</x:v>
      </x:c>
      <x:c r="G1428" s="44" t="n">
        <x:f>C1428*F1428</x:f>
        <x:v>14602.56</x:v>
      </x:c>
      <x:c r="H1428" s="44" t="n">
        <x:f>E1428-G1428</x:f>
        <x:v>15766.97</x:v>
      </x:c>
      <x:c r="I1428" s="14" t="str">
        <x:v>Enterprise</x:v>
      </x:c>
      <x:c r="J1428" s="14" t="str">
        <x:v>Midwest</x:v>
      </x:c>
    </x:row>
    <x:row r="1429">
      <x:c r="A1429" s="50" t="n">
        <x:v>46193</x:v>
      </x:c>
      <x:c r="B1429" s="14" t="str">
        <x:v>SKU-0061</x:v>
      </x:c>
      <x:c r="C1429" s="52" t="n">
        <x:v>21</x:v>
      </x:c>
      <x:c r="D1429" s="40" t="n">
        <x:v>322.11</x:v>
      </x:c>
      <x:c r="E1429" s="44" t="n">
        <x:f>C1429*D1429</x:f>
        <x:v>6764.31</x:v>
      </x:c>
      <x:c r="F1429" s="40" t="n">
        <x:v>202.32</x:v>
      </x:c>
      <x:c r="G1429" s="44" t="n">
        <x:f>C1429*F1429</x:f>
        <x:v>4248.72</x:v>
      </x:c>
      <x:c r="H1429" s="44" t="n">
        <x:f>E1429-G1429</x:f>
        <x:v>2515.59</x:v>
      </x:c>
      <x:c r="I1429" s="14" t="str">
        <x:v>SMB</x:v>
      </x:c>
      <x:c r="J1429" s="14" t="str">
        <x:v>Northeast</x:v>
      </x:c>
    </x:row>
    <x:row r="1430">
      <x:c r="A1430" s="50" t="n">
        <x:v>46232</x:v>
      </x:c>
      <x:c r="B1430" s="14" t="str">
        <x:v>SKU-0122</x:v>
      </x:c>
      <x:c r="C1430" s="52" t="n">
        <x:v>6</x:v>
      </x:c>
      <x:c r="D1430" s="40" t="n">
        <x:v>39.64</x:v>
      </x:c>
      <x:c r="E1430" s="44" t="n">
        <x:f>C1430*D1430</x:f>
        <x:v>237.84</x:v>
      </x:c>
      <x:c r="F1430" s="40" t="n">
        <x:v>25.14</x:v>
      </x:c>
      <x:c r="G1430" s="44" t="n">
        <x:f>C1430*F1430</x:f>
        <x:v>150.84</x:v>
      </x:c>
      <x:c r="H1430" s="44" t="n">
        <x:f>E1430-G1430</x:f>
        <x:v>87</x:v>
      </x:c>
      <x:c r="I1430" s="14" t="str">
        <x:v>Enterprise</x:v>
      </x:c>
      <x:c r="J1430" s="14" t="str">
        <x:v>West</x:v>
      </x:c>
    </x:row>
    <x:row r="1431">
      <x:c r="A1431" s="50" t="n">
        <x:v>46090</x:v>
      </x:c>
      <x:c r="B1431" s="14" t="str">
        <x:v>SKU-0056</x:v>
      </x:c>
      <x:c r="C1431" s="52" t="n">
        <x:v>9</x:v>
      </x:c>
      <x:c r="D1431" s="40" t="n">
        <x:v>318.13</x:v>
      </x:c>
      <x:c r="E1431" s="44" t="n">
        <x:f>C1431*D1431</x:f>
        <x:v>2863.17</x:v>
      </x:c>
      <x:c r="F1431" s="40" t="n">
        <x:v>219.68</x:v>
      </x:c>
      <x:c r="G1431" s="44" t="n">
        <x:f>C1431*F1431</x:f>
        <x:v>1977.1200000000001</x:v>
      </x:c>
      <x:c r="H1431" s="44" t="n">
        <x:f>E1431-G1431</x:f>
        <x:v>886.05</x:v>
      </x:c>
      <x:c r="I1431" s="14" t="str">
        <x:v>Enterprise</x:v>
      </x:c>
      <x:c r="J1431" s="14" t="str">
        <x:v>West</x:v>
      </x:c>
    </x:row>
    <x:row r="1432">
      <x:c r="A1432" s="50" t="n">
        <x:v>46062</x:v>
      </x:c>
      <x:c r="B1432" s="14" t="str">
        <x:v>SKU-0090</x:v>
      </x:c>
      <x:c r="C1432" s="52" t="n">
        <x:v>19</x:v>
      </x:c>
      <x:c r="D1432" s="40" t="n">
        <x:v>197.4</x:v>
      </x:c>
      <x:c r="E1432" s="44" t="n">
        <x:f>C1432*D1432</x:f>
        <x:v>3750.6</x:v>
      </x:c>
      <x:c r="F1432" s="40" t="n">
        <x:v>116.84</x:v>
      </x:c>
      <x:c r="G1432" s="44" t="n">
        <x:f>C1432*F1432</x:f>
        <x:v>2219.96</x:v>
      </x:c>
      <x:c r="H1432" s="44" t="n">
        <x:f>E1432-G1432</x:f>
        <x:v>1530.6399999999999</x:v>
      </x:c>
      <x:c r="I1432" s="14" t="str">
        <x:v>Enterprise</x:v>
      </x:c>
      <x:c r="J1432" s="14" t="str">
        <x:v>Northeast</x:v>
      </x:c>
    </x:row>
    <x:row r="1433">
      <x:c r="A1433" s="50" t="n">
        <x:v>45978</x:v>
      </x:c>
      <x:c r="B1433" s="14" t="str">
        <x:v>SKU-0071</x:v>
      </x:c>
      <x:c r="C1433" s="52" t="n">
        <x:v>5</x:v>
      </x:c>
      <x:c r="D1433" s="40" t="n">
        <x:v>372.66</x:v>
      </x:c>
      <x:c r="E1433" s="44" t="n">
        <x:f>C1433*D1433</x:f>
        <x:v>1863.3000000000002</x:v>
      </x:c>
      <x:c r="F1433" s="40" t="n">
        <x:v>198.68</x:v>
      </x:c>
      <x:c r="G1433" s="44" t="n">
        <x:f>C1433*F1433</x:f>
        <x:v>993.4000000000001</x:v>
      </x:c>
      <x:c r="H1433" s="44" t="n">
        <x:f>E1433-G1433</x:f>
        <x:v>869.9000000000001</x:v>
      </x:c>
      <x:c r="I1433" s="14" t="str">
        <x:v>SMB</x:v>
      </x:c>
      <x:c r="J1433" s="14" t="str">
        <x:v>Southeast</x:v>
      </x:c>
    </x:row>
    <x:row r="1434">
      <x:c r="A1434" s="50" t="n">
        <x:v>45981</x:v>
      </x:c>
      <x:c r="B1434" s="14" t="str">
        <x:v>SKU-0054</x:v>
      </x:c>
      <x:c r="C1434" s="52" t="n">
        <x:v>3</x:v>
      </x:c>
      <x:c r="D1434" s="40" t="n">
        <x:v>84.95</x:v>
      </x:c>
      <x:c r="E1434" s="44" t="n">
        <x:f>C1434*D1434</x:f>
        <x:v>254.85000000000002</x:v>
      </x:c>
      <x:c r="F1434" s="40" t="n">
        <x:v>49.06</x:v>
      </x:c>
      <x:c r="G1434" s="44" t="n">
        <x:f>C1434*F1434</x:f>
        <x:v>147.18</x:v>
      </x:c>
      <x:c r="H1434" s="44" t="n">
        <x:f>E1434-G1434</x:f>
        <x:v>107.67000000000002</x:v>
      </x:c>
      <x:c r="I1434" s="14" t="str">
        <x:v>SMB</x:v>
      </x:c>
      <x:c r="J1434" s="14" t="str">
        <x:v>Southeast</x:v>
      </x:c>
    </x:row>
    <x:row r="1435">
      <x:c r="A1435" s="50" t="n">
        <x:v>45940</x:v>
      </x:c>
      <x:c r="B1435" s="14" t="str">
        <x:v>SKU-0009</x:v>
      </x:c>
      <x:c r="C1435" s="52" t="n">
        <x:v>27</x:v>
      </x:c>
      <x:c r="D1435" s="40" t="n">
        <x:v>16.83</x:v>
      </x:c>
      <x:c r="E1435" s="44" t="n">
        <x:f>C1435*D1435</x:f>
        <x:v>454.40999999999997</x:v>
      </x:c>
      <x:c r="F1435" s="40" t="n">
        <x:v>7.9</x:v>
      </x:c>
      <x:c r="G1435" s="44" t="n">
        <x:f>C1435*F1435</x:f>
        <x:v>213.3</x:v>
      </x:c>
      <x:c r="H1435" s="44" t="n">
        <x:f>E1435-G1435</x:f>
        <x:v>241.10999999999996</x:v>
      </x:c>
      <x:c r="I1435" s="14" t="str">
        <x:v>Distributor</x:v>
      </x:c>
      <x:c r="J1435" s="14" t="str">
        <x:v>West</x:v>
      </x:c>
    </x:row>
    <x:row r="1436">
      <x:c r="A1436" s="50" t="n">
        <x:v>46232</x:v>
      </x:c>
      <x:c r="B1436" s="14" t="str">
        <x:v>SKU-0040</x:v>
      </x:c>
      <x:c r="C1436" s="52" t="n">
        <x:v>8</x:v>
      </x:c>
      <x:c r="D1436" s="40" t="n">
        <x:v>422.57</x:v>
      </x:c>
      <x:c r="E1436" s="44" t="n">
        <x:f>C1436*D1436</x:f>
        <x:v>3380.56</x:v>
      </x:c>
      <x:c r="F1436" s="40" t="n">
        <x:v>229.61</x:v>
      </x:c>
      <x:c r="G1436" s="44" t="n">
        <x:f>C1436*F1436</x:f>
        <x:v>1836.88</x:v>
      </x:c>
      <x:c r="H1436" s="44" t="n">
        <x:f>E1436-G1436</x:f>
        <x:v>1543.6799999999998</x:v>
      </x:c>
      <x:c r="I1436" s="14" t="str">
        <x:v>SMB</x:v>
      </x:c>
      <x:c r="J1436" s="14" t="str">
        <x:v>West</x:v>
      </x:c>
    </x:row>
    <x:row r="1437">
      <x:c r="A1437" s="50" t="n">
        <x:v>45923</x:v>
      </x:c>
      <x:c r="B1437" s="14" t="str">
        <x:v>SKU-0028</x:v>
      </x:c>
      <x:c r="C1437" s="52" t="n">
        <x:v>14</x:v>
      </x:c>
      <x:c r="D1437" s="40" t="n">
        <x:v>335.3</x:v>
      </x:c>
      <x:c r="E1437" s="44" t="n">
        <x:f>C1437*D1437</x:f>
        <x:v>4694.2</x:v>
      </x:c>
      <x:c r="F1437" s="40" t="n">
        <x:v>274.39</x:v>
      </x:c>
      <x:c r="G1437" s="44" t="n">
        <x:f>C1437*F1437</x:f>
        <x:v>3841.46</x:v>
      </x:c>
      <x:c r="H1437" s="44" t="n">
        <x:f>E1437-G1437</x:f>
        <x:v>852.7399999999998</x:v>
      </x:c>
      <x:c r="I1437" s="14" t="str">
        <x:v>Enterprise</x:v>
      </x:c>
      <x:c r="J1437" s="14" t="str">
        <x:v>West</x:v>
      </x:c>
    </x:row>
    <x:row r="1438">
      <x:c r="A1438" s="50" t="n">
        <x:v>46238</x:v>
      </x:c>
      <x:c r="B1438" s="14" t="str">
        <x:v>SKU-0059</x:v>
      </x:c>
      <x:c r="C1438" s="52" t="n">
        <x:v>16</x:v>
      </x:c>
      <x:c r="D1438" s="40" t="n">
        <x:v>334.59</x:v>
      </x:c>
      <x:c r="E1438" s="44" t="n">
        <x:f>C1438*D1438</x:f>
        <x:v>5353.44</x:v>
      </x:c>
      <x:c r="F1438" s="40" t="n">
        <x:v>247.15</x:v>
      </x:c>
      <x:c r="G1438" s="44" t="n">
        <x:f>C1438*F1438</x:f>
        <x:v>3954.4</x:v>
      </x:c>
      <x:c r="H1438" s="44" t="n">
        <x:f>E1438-G1438</x:f>
        <x:v>1399.0399999999995</x:v>
      </x:c>
      <x:c r="I1438" s="14" t="str">
        <x:v>Distributor</x:v>
      </x:c>
      <x:c r="J1438" s="14" t="str">
        <x:v>West</x:v>
      </x:c>
    </x:row>
    <x:row r="1439">
      <x:c r="A1439" s="50" t="n">
        <x:v>46184</x:v>
      </x:c>
      <x:c r="B1439" s="14" t="str">
        <x:v>SKU-0041</x:v>
      </x:c>
      <x:c r="C1439" s="52" t="n">
        <x:v>10</x:v>
      </x:c>
      <x:c r="D1439" s="40" t="n">
        <x:v>215.75</x:v>
      </x:c>
      <x:c r="E1439" s="44" t="n">
        <x:f>C1439*D1439</x:f>
        <x:v>2157.5</x:v>
      </x:c>
      <x:c r="F1439" s="40" t="n">
        <x:v>117.51</x:v>
      </x:c>
      <x:c r="G1439" s="44" t="n">
        <x:f>C1439*F1439</x:f>
        <x:v>1175.1000000000001</x:v>
      </x:c>
      <x:c r="H1439" s="44" t="n">
        <x:f>E1439-G1439</x:f>
        <x:v>982.3999999999999</x:v>
      </x:c>
      <x:c r="I1439" s="14" t="str">
        <x:v>Internal Use</x:v>
      </x:c>
      <x:c r="J1439" s="14" t="str">
        <x:v>Southeast</x:v>
      </x:c>
    </x:row>
    <x:row r="1440">
      <x:c r="A1440" s="50" t="n">
        <x:v>46022</x:v>
      </x:c>
      <x:c r="B1440" s="14" t="str">
        <x:v>SKU-0114</x:v>
      </x:c>
      <x:c r="C1440" s="52" t="n">
        <x:v>4</x:v>
      </x:c>
      <x:c r="D1440" s="40" t="n">
        <x:v>365.09</x:v>
      </x:c>
      <x:c r="E1440" s="44" t="n">
        <x:f>C1440*D1440</x:f>
        <x:v>1460.36</x:v>
      </x:c>
      <x:c r="F1440" s="40" t="n">
        <x:v>232.11</x:v>
      </x:c>
      <x:c r="G1440" s="44" t="n">
        <x:f>C1440*F1440</x:f>
        <x:v>928.44</x:v>
      </x:c>
      <x:c r="H1440" s="44" t="n">
        <x:f>E1440-G1440</x:f>
        <x:v>531.9199999999998</x:v>
      </x:c>
      <x:c r="I1440" s="14" t="str">
        <x:v>Enterprise</x:v>
      </x:c>
      <x:c r="J1440" s="14" t="str">
        <x:v>Southeast</x:v>
      </x:c>
    </x:row>
    <x:row r="1441">
      <x:c r="A1441" s="50" t="n">
        <x:v>46031</x:v>
      </x:c>
      <x:c r="B1441" s="14" t="str">
        <x:v>SKU-0104</x:v>
      </x:c>
      <x:c r="C1441" s="52" t="n">
        <x:v>6</x:v>
      </x:c>
      <x:c r="D1441" s="40" t="n">
        <x:v>170.29</x:v>
      </x:c>
      <x:c r="E1441" s="44" t="n">
        <x:f>C1441*D1441</x:f>
        <x:v>1021.74</x:v>
      </x:c>
      <x:c r="F1441" s="40" t="n">
        <x:v>105.32</x:v>
      </x:c>
      <x:c r="G1441" s="44" t="n">
        <x:f>C1441*F1441</x:f>
        <x:v>631.92</x:v>
      </x:c>
      <x:c r="H1441" s="44" t="n">
        <x:f>E1441-G1441</x:f>
        <x:v>389.82000000000005</x:v>
      </x:c>
      <x:c r="I1441" s="14" t="str">
        <x:v>Enterprise</x:v>
      </x:c>
      <x:c r="J1441" s="14" t="str">
        <x:v>Southeast</x:v>
      </x:c>
    </x:row>
    <x:row r="1442">
      <x:c r="A1442" s="50" t="n">
        <x:v>45997</x:v>
      </x:c>
      <x:c r="B1442" s="14" t="str">
        <x:v>SKU-0014</x:v>
      </x:c>
      <x:c r="C1442" s="52" t="n">
        <x:v>18</x:v>
      </x:c>
      <x:c r="D1442" s="40" t="n">
        <x:v>294.89</x:v>
      </x:c>
      <x:c r="E1442" s="44" t="n">
        <x:f>C1442*D1442</x:f>
        <x:v>5308.0199999999995</x:v>
      </x:c>
      <x:c r="F1442" s="40" t="n">
        <x:v>152.14</x:v>
      </x:c>
      <x:c r="G1442" s="44" t="n">
        <x:f>C1442*F1442</x:f>
        <x:v>2738.5199999999995</x:v>
      </x:c>
      <x:c r="H1442" s="44" t="n">
        <x:f>E1442-G1442</x:f>
        <x:v>2569.5</x:v>
      </x:c>
      <x:c r="I1442" s="14" t="str">
        <x:v>Internal Use</x:v>
      </x:c>
      <x:c r="J1442" s="14" t="str">
        <x:v>West</x:v>
      </x:c>
    </x:row>
    <x:row r="1443">
      <x:c r="A1443" s="50" t="n">
        <x:v>46244</x:v>
      </x:c>
      <x:c r="B1443" s="14" t="str">
        <x:v>SKU-0149</x:v>
      </x:c>
      <x:c r="C1443" s="52" t="n">
        <x:v>13</x:v>
      </x:c>
      <x:c r="D1443" s="40" t="n">
        <x:v>398.32</x:v>
      </x:c>
      <x:c r="E1443" s="44" t="n">
        <x:f>C1443*D1443</x:f>
        <x:v>5178.16</x:v>
      </x:c>
      <x:c r="F1443" s="40" t="n">
        <x:v>257.08</x:v>
      </x:c>
      <x:c r="G1443" s="44" t="n">
        <x:f>C1443*F1443</x:f>
        <x:v>3342.04</x:v>
      </x:c>
      <x:c r="H1443" s="44" t="n">
        <x:f>E1443-G1443</x:f>
        <x:v>1836.12</x:v>
      </x:c>
      <x:c r="I1443" s="14" t="str">
        <x:v>SMB</x:v>
      </x:c>
      <x:c r="J1443" s="14" t="str">
        <x:v>Southeast</x:v>
      </x:c>
    </x:row>
    <x:row r="1444">
      <x:c r="A1444" s="50" t="n">
        <x:v>45905</x:v>
      </x:c>
      <x:c r="B1444" s="14" t="str">
        <x:v>SKU-0062</x:v>
      </x:c>
      <x:c r="C1444" s="52" t="n">
        <x:v>9</x:v>
      </x:c>
      <x:c r="D1444" s="40" t="n">
        <x:v>121.63</x:v>
      </x:c>
      <x:c r="E1444" s="44" t="n">
        <x:f>C1444*D1444</x:f>
        <x:v>1094.67</x:v>
      </x:c>
      <x:c r="F1444" s="40" t="n">
        <x:v>63.99</x:v>
      </x:c>
      <x:c r="G1444" s="44" t="n">
        <x:f>C1444*F1444</x:f>
        <x:v>575.91</x:v>
      </x:c>
      <x:c r="H1444" s="44" t="n">
        <x:f>E1444-G1444</x:f>
        <x:v>518.7600000000001</x:v>
      </x:c>
      <x:c r="I1444" s="14" t="str">
        <x:v>SMB</x:v>
      </x:c>
      <x:c r="J1444" s="14" t="str">
        <x:v>Northeast</x:v>
      </x:c>
    </x:row>
    <x:row r="1445">
      <x:c r="A1445" s="50" t="n">
        <x:v>46148</x:v>
      </x:c>
      <x:c r="B1445" s="14" t="str">
        <x:v>SKU-0087</x:v>
      </x:c>
      <x:c r="C1445" s="52" t="n">
        <x:v>9</x:v>
      </x:c>
      <x:c r="D1445" s="40" t="n">
        <x:v>330.24</x:v>
      </x:c>
      <x:c r="E1445" s="44" t="n">
        <x:f>C1445*D1445</x:f>
        <x:v>2972.16</x:v>
      </x:c>
      <x:c r="F1445" s="40" t="n">
        <x:v>194.73</x:v>
      </x:c>
      <x:c r="G1445" s="44" t="n">
        <x:f>C1445*F1445</x:f>
        <x:v>1752.57</x:v>
      </x:c>
      <x:c r="H1445" s="44" t="n">
        <x:f>E1445-G1445</x:f>
        <x:v>1219.59</x:v>
      </x:c>
      <x:c r="I1445" s="14" t="str">
        <x:v>SMB</x:v>
      </x:c>
      <x:c r="J1445" s="14" t="str">
        <x:v>Southeast</x:v>
      </x:c>
    </x:row>
    <x:row r="1446">
      <x:c r="A1446" s="50" t="n">
        <x:v>46098</x:v>
      </x:c>
      <x:c r="B1446" s="14" t="str">
        <x:v>SKU-0012</x:v>
      </x:c>
      <x:c r="C1446" s="52" t="n">
        <x:v>8</x:v>
      </x:c>
      <x:c r="D1446" s="40" t="n">
        <x:v>363.17</x:v>
      </x:c>
      <x:c r="E1446" s="44" t="n">
        <x:f>C1446*D1446</x:f>
        <x:v>2905.36</x:v>
      </x:c>
      <x:c r="F1446" s="40" t="n">
        <x:v>252.14</x:v>
      </x:c>
      <x:c r="G1446" s="44" t="n">
        <x:f>C1446*F1446</x:f>
        <x:v>2017.12</x:v>
      </x:c>
      <x:c r="H1446" s="44" t="n">
        <x:f>E1446-G1446</x:f>
        <x:v>888.2400000000002</x:v>
      </x:c>
      <x:c r="I1446" s="14" t="str">
        <x:v>SMB</x:v>
      </x:c>
      <x:c r="J1446" s="14" t="str">
        <x:v>Northeast</x:v>
      </x:c>
    </x:row>
    <x:row r="1447">
      <x:c r="A1447" s="50" t="n">
        <x:v>45955</x:v>
      </x:c>
      <x:c r="B1447" s="14" t="str">
        <x:v>SKU-0133</x:v>
      </x:c>
      <x:c r="C1447" s="52" t="n">
        <x:v>10</x:v>
      </x:c>
      <x:c r="D1447" s="40" t="n">
        <x:v>297.99</x:v>
      </x:c>
      <x:c r="E1447" s="44" t="n">
        <x:f>C1447*D1447</x:f>
        <x:v>2979.9</x:v>
      </x:c>
      <x:c r="F1447" s="40" t="n">
        <x:v>233.3</x:v>
      </x:c>
      <x:c r="G1447" s="44" t="n">
        <x:f>C1447*F1447</x:f>
        <x:v>2333</x:v>
      </x:c>
      <x:c r="H1447" s="44" t="n">
        <x:f>E1447-G1447</x:f>
        <x:v>646.9000000000001</x:v>
      </x:c>
      <x:c r="I1447" s="14" t="str">
        <x:v>Enterprise</x:v>
      </x:c>
      <x:c r="J1447" s="14" t="str">
        <x:v>Midwest</x:v>
      </x:c>
    </x:row>
    <x:row r="1448">
      <x:c r="A1448" s="50" t="n">
        <x:v>45964</x:v>
      </x:c>
      <x:c r="B1448" s="14" t="str">
        <x:v>SKU-0118</x:v>
      </x:c>
      <x:c r="C1448" s="52" t="n">
        <x:v>7</x:v>
      </x:c>
      <x:c r="D1448" s="40" t="n">
        <x:v>496.85</x:v>
      </x:c>
      <x:c r="E1448" s="44" t="n">
        <x:f>C1448*D1448</x:f>
        <x:v>3477.9500000000003</x:v>
      </x:c>
      <x:c r="F1448" s="40" t="n">
        <x:v>237.03</x:v>
      </x:c>
      <x:c r="G1448" s="44" t="n">
        <x:f>C1448*F1448</x:f>
        <x:v>1659.21</x:v>
      </x:c>
      <x:c r="H1448" s="44" t="n">
        <x:f>E1448-G1448</x:f>
        <x:v>1818.7400000000002</x:v>
      </x:c>
      <x:c r="I1448" s="14" t="str">
        <x:v>Enterprise</x:v>
      </x:c>
      <x:c r="J1448" s="14" t="str">
        <x:v>Northeast</x:v>
      </x:c>
    </x:row>
    <x:row r="1449">
      <x:c r="A1449" s="50" t="n">
        <x:v>45922</x:v>
      </x:c>
      <x:c r="B1449" s="14" t="str">
        <x:v>SKU-0008</x:v>
      </x:c>
      <x:c r="C1449" s="52" t="n">
        <x:v>3</x:v>
      </x:c>
      <x:c r="D1449" s="40" t="n">
        <x:v>197.74</x:v>
      </x:c>
      <x:c r="E1449" s="44" t="n">
        <x:f>C1449*D1449</x:f>
        <x:v>593.22</x:v>
      </x:c>
      <x:c r="F1449" s="40" t="n">
        <x:v>143.38</x:v>
      </x:c>
      <x:c r="G1449" s="44" t="n">
        <x:f>C1449*F1449</x:f>
        <x:v>430.14</x:v>
      </x:c>
      <x:c r="H1449" s="44" t="n">
        <x:f>E1449-G1449</x:f>
        <x:v>163.08000000000004</x:v>
      </x:c>
      <x:c r="I1449" s="14" t="str">
        <x:v>Enterprise</x:v>
      </x:c>
      <x:c r="J1449" s="14" t="str">
        <x:v>Northeast</x:v>
      </x:c>
    </x:row>
    <x:row r="1450">
      <x:c r="A1450" s="50" t="n">
        <x:v>46126</x:v>
      </x:c>
      <x:c r="B1450" s="14" t="str">
        <x:v>SKU-0049</x:v>
      </x:c>
      <x:c r="C1450" s="52" t="n">
        <x:v>20</x:v>
      </x:c>
      <x:c r="D1450" s="40" t="n">
        <x:v>93.83</x:v>
      </x:c>
      <x:c r="E1450" s="44" t="n">
        <x:f>C1450*D1450</x:f>
        <x:v>1876.6</x:v>
      </x:c>
      <x:c r="F1450" s="40" t="n">
        <x:v>63.39</x:v>
      </x:c>
      <x:c r="G1450" s="44" t="n">
        <x:f>C1450*F1450</x:f>
        <x:v>1267.8</x:v>
      </x:c>
      <x:c r="H1450" s="44" t="n">
        <x:f>E1450-G1450</x:f>
        <x:v>608.8</x:v>
      </x:c>
      <x:c r="I1450" s="14" t="str">
        <x:v>Enterprise</x:v>
      </x:c>
      <x:c r="J1450" s="14" t="str">
        <x:v>Southeast</x:v>
      </x:c>
    </x:row>
    <x:row r="1451">
      <x:c r="A1451" s="50" t="n">
        <x:v>46040</x:v>
      </x:c>
      <x:c r="B1451" s="14" t="str">
        <x:v>SKU-0091</x:v>
      </x:c>
      <x:c r="C1451" s="52" t="n">
        <x:v>7</x:v>
      </x:c>
      <x:c r="D1451" s="40" t="n">
        <x:v>68.9</x:v>
      </x:c>
      <x:c r="E1451" s="44" t="n">
        <x:f>C1451*D1451</x:f>
        <x:v>482.30000000000007</x:v>
      </x:c>
      <x:c r="F1451" s="40" t="n">
        <x:v>42.22</x:v>
      </x:c>
      <x:c r="G1451" s="44" t="n">
        <x:f>C1451*F1451</x:f>
        <x:v>295.53999999999996</x:v>
      </x:c>
      <x:c r="H1451" s="44" t="n">
        <x:f>E1451-G1451</x:f>
        <x:v>186.7600000000001</x:v>
      </x:c>
      <x:c r="I1451" s="14" t="str">
        <x:v>Distributor</x:v>
      </x:c>
      <x:c r="J1451" s="14" t="str">
        <x:v>Midwest</x:v>
      </x:c>
    </x:row>
    <x:row r="1452">
      <x:c r="A1452" s="50" t="n">
        <x:v>45961</x:v>
      </x:c>
      <x:c r="B1452" s="14" t="str">
        <x:v>SKU-0067</x:v>
      </x:c>
      <x:c r="C1452" s="52" t="n">
        <x:v>12</x:v>
      </x:c>
      <x:c r="D1452" s="40" t="n">
        <x:v>139.76</x:v>
      </x:c>
      <x:c r="E1452" s="44" t="n">
        <x:f>C1452*D1452</x:f>
        <x:v>1677.12</x:v>
      </x:c>
      <x:c r="F1452" s="40" t="n">
        <x:v>113.7</x:v>
      </x:c>
      <x:c r="G1452" s="44" t="n">
        <x:f>C1452*F1452</x:f>
        <x:v>1364.4</x:v>
      </x:c>
      <x:c r="H1452" s="44" t="n">
        <x:f>E1452-G1452</x:f>
        <x:v>312.7199999999998</x:v>
      </x:c>
      <x:c r="I1452" s="14" t="str">
        <x:v>Internal Use</x:v>
      </x:c>
      <x:c r="J1452" s="14" t="str">
        <x:v>Northeast</x:v>
      </x:c>
    </x:row>
    <x:row r="1453">
      <x:c r="A1453" s="50" t="n">
        <x:v>45969</x:v>
      </x:c>
      <x:c r="B1453" s="14" t="str">
        <x:v>SKU-0039</x:v>
      </x:c>
      <x:c r="C1453" s="52" t="n">
        <x:v>16</x:v>
      </x:c>
      <x:c r="D1453" s="40" t="n">
        <x:v>226.02</x:v>
      </x:c>
      <x:c r="E1453" s="44" t="n">
        <x:f>C1453*D1453</x:f>
        <x:v>3616.32</x:v>
      </x:c>
      <x:c r="F1453" s="40" t="n">
        <x:v>125.1</x:v>
      </x:c>
      <x:c r="G1453" s="44" t="n">
        <x:f>C1453*F1453</x:f>
        <x:v>2001.6</x:v>
      </x:c>
      <x:c r="H1453" s="44" t="n">
        <x:f>E1453-G1453</x:f>
        <x:v>1614.7200000000003</x:v>
      </x:c>
      <x:c r="I1453" s="14" t="str">
        <x:v>Enterprise</x:v>
      </x:c>
      <x:c r="J1453" s="14" t="str">
        <x:v>Midwest</x:v>
      </x:c>
    </x:row>
    <x:row r="1454">
      <x:c r="A1454" s="50" t="n">
        <x:v>46120</x:v>
      </x:c>
      <x:c r="B1454" s="14" t="str">
        <x:v>SKU-0098</x:v>
      </x:c>
      <x:c r="C1454" s="52" t="n">
        <x:v>2</x:v>
      </x:c>
      <x:c r="D1454" s="40" t="n">
        <x:v>348.92</x:v>
      </x:c>
      <x:c r="E1454" s="44" t="n">
        <x:f>C1454*D1454</x:f>
        <x:v>697.84</x:v>
      </x:c>
      <x:c r="F1454" s="40" t="n">
        <x:v>270.95</x:v>
      </x:c>
      <x:c r="G1454" s="44" t="n">
        <x:f>C1454*F1454</x:f>
        <x:v>541.9</x:v>
      </x:c>
      <x:c r="H1454" s="44" t="n">
        <x:f>E1454-G1454</x:f>
        <x:v>155.94000000000005</x:v>
      </x:c>
      <x:c r="I1454" s="14" t="str">
        <x:v>Enterprise</x:v>
      </x:c>
      <x:c r="J1454" s="14" t="str">
        <x:v>Northeast</x:v>
      </x:c>
    </x:row>
    <x:row r="1455">
      <x:c r="A1455" s="50" t="n">
        <x:v>46005</x:v>
      </x:c>
      <x:c r="B1455" s="14" t="str">
        <x:v>SKU-0067</x:v>
      </x:c>
      <x:c r="C1455" s="52" t="n">
        <x:v>5</x:v>
      </x:c>
      <x:c r="D1455" s="40" t="n">
        <x:v>131.39</x:v>
      </x:c>
      <x:c r="E1455" s="44" t="n">
        <x:f>C1455*D1455</x:f>
        <x:v>656.9499999999999</x:v>
      </x:c>
      <x:c r="F1455" s="40" t="n">
        <x:v>113.7</x:v>
      </x:c>
      <x:c r="G1455" s="44" t="n">
        <x:f>C1455*F1455</x:f>
        <x:v>568.5</x:v>
      </x:c>
      <x:c r="H1455" s="44" t="n">
        <x:f>E1455-G1455</x:f>
        <x:v>88.44999999999993</x:v>
      </x:c>
      <x:c r="I1455" s="14" t="str">
        <x:v>Distributor</x:v>
      </x:c>
      <x:c r="J1455" s="14" t="str">
        <x:v>Southeast</x:v>
      </x:c>
    </x:row>
    <x:row r="1456">
      <x:c r="A1456" s="50" t="n">
        <x:v>46073</x:v>
      </x:c>
      <x:c r="B1456" s="14" t="str">
        <x:v>SKU-0104</x:v>
      </x:c>
      <x:c r="C1456" s="52" t="n">
        <x:v>10</x:v>
      </x:c>
      <x:c r="D1456" s="40" t="n">
        <x:v>151.16</x:v>
      </x:c>
      <x:c r="E1456" s="44" t="n">
        <x:f>C1456*D1456</x:f>
        <x:v>1511.6</x:v>
      </x:c>
      <x:c r="F1456" s="40" t="n">
        <x:v>105.32</x:v>
      </x:c>
      <x:c r="G1456" s="44" t="n">
        <x:f>C1456*F1456</x:f>
        <x:v>1053.1999999999998</x:v>
      </x:c>
      <x:c r="H1456" s="44" t="n">
        <x:f>E1456-G1456</x:f>
        <x:v>458.4000000000001</x:v>
      </x:c>
      <x:c r="I1456" s="14" t="str">
        <x:v>Distributor</x:v>
      </x:c>
      <x:c r="J1456" s="14" t="str">
        <x:v>Southeast</x:v>
      </x:c>
    </x:row>
    <x:row r="1457">
      <x:c r="A1457" s="50" t="n">
        <x:v>46069</x:v>
      </x:c>
      <x:c r="B1457" s="14" t="str">
        <x:v>SKU-0083</x:v>
      </x:c>
      <x:c r="C1457" s="52" t="n">
        <x:v>12</x:v>
      </x:c>
      <x:c r="D1457" s="40" t="n">
        <x:v>206.55</x:v>
      </x:c>
      <x:c r="E1457" s="44" t="n">
        <x:f>C1457*D1457</x:f>
        <x:v>2478.6000000000004</x:v>
      </x:c>
      <x:c r="F1457" s="40" t="n">
        <x:v>126.42</x:v>
      </x:c>
      <x:c r="G1457" s="44" t="n">
        <x:f>C1457*F1457</x:f>
        <x:v>1517.04</x:v>
      </x:c>
      <x:c r="H1457" s="44" t="n">
        <x:f>E1457-G1457</x:f>
        <x:v>961.5600000000004</x:v>
      </x:c>
      <x:c r="I1457" s="14" t="str">
        <x:v>Internal Use</x:v>
      </x:c>
      <x:c r="J1457" s="14" t="str">
        <x:v>Northeast</x:v>
      </x:c>
    </x:row>
    <x:row r="1458">
      <x:c r="A1458" s="50" t="n">
        <x:v>46245</x:v>
      </x:c>
      <x:c r="B1458" s="14" t="str">
        <x:v>SKU-0142</x:v>
      </x:c>
      <x:c r="C1458" s="52" t="n">
        <x:v>2</x:v>
      </x:c>
      <x:c r="D1458" s="40" t="n">
        <x:v>179.57</x:v>
      </x:c>
      <x:c r="E1458" s="44" t="n">
        <x:f>C1458*D1458</x:f>
        <x:v>359.14</x:v>
      </x:c>
      <x:c r="F1458" s="40" t="n">
        <x:v>95.95</x:v>
      </x:c>
      <x:c r="G1458" s="44" t="n">
        <x:f>C1458*F1458</x:f>
        <x:v>191.9</x:v>
      </x:c>
      <x:c r="H1458" s="44" t="n">
        <x:f>E1458-G1458</x:f>
        <x:v>167.23999999999998</x:v>
      </x:c>
      <x:c r="I1458" s="14" t="str">
        <x:v>SMB</x:v>
      </x:c>
      <x:c r="J1458" s="14" t="str">
        <x:v>West</x:v>
      </x:c>
    </x:row>
    <x:row r="1459">
      <x:c r="A1459" s="50" t="n">
        <x:v>46115</x:v>
      </x:c>
      <x:c r="B1459" s="14" t="str">
        <x:v>SKU-0143</x:v>
      </x:c>
      <x:c r="C1459" s="52" t="n">
        <x:v>19</x:v>
      </x:c>
      <x:c r="D1459" s="40" t="n">
        <x:v>170.63</x:v>
      </x:c>
      <x:c r="E1459" s="44" t="n">
        <x:f>C1459*D1459</x:f>
        <x:v>3241.97</x:v>
      </x:c>
      <x:c r="F1459" s="40" t="n">
        <x:v>123.95</x:v>
      </x:c>
      <x:c r="G1459" s="44" t="n">
        <x:f>C1459*F1459</x:f>
        <x:v>2355.05</x:v>
      </x:c>
      <x:c r="H1459" s="44" t="n">
        <x:f>E1459-G1459</x:f>
        <x:v>886.9199999999996</x:v>
      </x:c>
      <x:c r="I1459" s="14" t="str">
        <x:v>SMB</x:v>
      </x:c>
      <x:c r="J1459" s="14" t="str">
        <x:v>Southeast</x:v>
      </x:c>
    </x:row>
    <x:row r="1460">
      <x:c r="A1460" s="50" t="n">
        <x:v>45911</x:v>
      </x:c>
      <x:c r="B1460" s="14" t="str">
        <x:v>SKU-0017</x:v>
      </x:c>
      <x:c r="C1460" s="52" t="n">
        <x:v>6</x:v>
      </x:c>
      <x:c r="D1460" s="40" t="n">
        <x:v>146.34</x:v>
      </x:c>
      <x:c r="E1460" s="44" t="n">
        <x:f>C1460*D1460</x:f>
        <x:v>878.04</x:v>
      </x:c>
      <x:c r="F1460" s="40" t="n">
        <x:v>71.82</x:v>
      </x:c>
      <x:c r="G1460" s="44" t="n">
        <x:f>C1460*F1460</x:f>
        <x:v>430.91999999999996</x:v>
      </x:c>
      <x:c r="H1460" s="44" t="n">
        <x:f>E1460-G1460</x:f>
        <x:v>447.12</x:v>
      </x:c>
      <x:c r="I1460" s="14" t="str">
        <x:v>Internal Use</x:v>
      </x:c>
      <x:c r="J1460" s="14" t="str">
        <x:v>Midwest</x:v>
      </x:c>
    </x:row>
    <x:row r="1461">
      <x:c r="A1461" s="50" t="n">
        <x:v>45943</x:v>
      </x:c>
      <x:c r="B1461" s="14" t="str">
        <x:v>SKU-0136</x:v>
      </x:c>
      <x:c r="C1461" s="52" t="n">
        <x:v>14</x:v>
      </x:c>
      <x:c r="D1461" s="40" t="n">
        <x:v>151.42</x:v>
      </x:c>
      <x:c r="E1461" s="44" t="n">
        <x:f>C1461*D1461</x:f>
        <x:v>2119.8799999999997</x:v>
      </x:c>
      <x:c r="F1461" s="40" t="n">
        <x:v>105.97</x:v>
      </x:c>
      <x:c r="G1461" s="44" t="n">
        <x:f>C1461*F1461</x:f>
        <x:v>1483.58</x:v>
      </x:c>
      <x:c r="H1461" s="44" t="n">
        <x:f>E1461-G1461</x:f>
        <x:v>636.2999999999997</x:v>
      </x:c>
      <x:c r="I1461" s="14" t="str">
        <x:v>SMB</x:v>
      </x:c>
      <x:c r="J1461" s="14" t="str">
        <x:v>West</x:v>
      </x:c>
    </x:row>
    <x:row r="1462">
      <x:c r="A1462" s="50" t="n">
        <x:v>46007</x:v>
      </x:c>
      <x:c r="B1462" s="14" t="str">
        <x:v>SKU-0128</x:v>
      </x:c>
      <x:c r="C1462" s="52" t="n">
        <x:v>9</x:v>
      </x:c>
      <x:c r="D1462" s="40" t="n">
        <x:v>121.55</x:v>
      </x:c>
      <x:c r="E1462" s="44" t="n">
        <x:f>C1462*D1462</x:f>
        <x:v>1093.95</x:v>
      </x:c>
      <x:c r="F1462" s="40" t="n">
        <x:v>70.02</x:v>
      </x:c>
      <x:c r="G1462" s="44" t="n">
        <x:f>C1462*F1462</x:f>
        <x:v>630.18</x:v>
      </x:c>
      <x:c r="H1462" s="44" t="n">
        <x:f>E1462-G1462</x:f>
        <x:v>463.7700000000001</x:v>
      </x:c>
      <x:c r="I1462" s="14" t="str">
        <x:v>Enterprise</x:v>
      </x:c>
      <x:c r="J1462" s="14" t="str">
        <x:v>West</x:v>
      </x:c>
    </x:row>
    <x:row r="1463">
      <x:c r="A1463" s="50" t="n">
        <x:v>46004</x:v>
      </x:c>
      <x:c r="B1463" s="14" t="str">
        <x:v>SKU-0069</x:v>
      </x:c>
      <x:c r="C1463" s="52" t="n">
        <x:v>18</x:v>
      </x:c>
      <x:c r="D1463" s="40" t="n">
        <x:v>375.12</x:v>
      </x:c>
      <x:c r="E1463" s="44" t="n">
        <x:f>C1463*D1463</x:f>
        <x:v>6752.16</x:v>
      </x:c>
      <x:c r="F1463" s="40" t="n">
        <x:v>277.23</x:v>
      </x:c>
      <x:c r="G1463" s="44" t="n">
        <x:f>C1463*F1463</x:f>
        <x:v>4990.14</x:v>
      </x:c>
      <x:c r="H1463" s="44" t="n">
        <x:f>E1463-G1463</x:f>
        <x:v>1762.0199999999995</x:v>
      </x:c>
      <x:c r="I1463" s="14" t="str">
        <x:v>SMB</x:v>
      </x:c>
      <x:c r="J1463" s="14" t="str">
        <x:v>Midwest</x:v>
      </x:c>
    </x:row>
    <x:row r="1464">
      <x:c r="A1464" s="50" t="n">
        <x:v>46032</x:v>
      </x:c>
      <x:c r="B1464" s="14" t="str">
        <x:v>SKU-0105</x:v>
      </x:c>
      <x:c r="C1464" s="52" t="n">
        <x:v>4</x:v>
      </x:c>
      <x:c r="D1464" s="40" t="n">
        <x:v>146.22</x:v>
      </x:c>
      <x:c r="E1464" s="44" t="n">
        <x:f>C1464*D1464</x:f>
        <x:v>584.88</x:v>
      </x:c>
      <x:c r="F1464" s="40" t="n">
        <x:v>112.98</x:v>
      </x:c>
      <x:c r="G1464" s="44" t="n">
        <x:f>C1464*F1464</x:f>
        <x:v>451.92</x:v>
      </x:c>
      <x:c r="H1464" s="44" t="n">
        <x:f>E1464-G1464</x:f>
        <x:v>132.95999999999998</x:v>
      </x:c>
      <x:c r="I1464" s="14" t="str">
        <x:v>SMB</x:v>
      </x:c>
      <x:c r="J1464" s="14" t="str">
        <x:v>Midwest</x:v>
      </x:c>
    </x:row>
    <x:row r="1465">
      <x:c r="A1465" s="50" t="n">
        <x:v>46100</x:v>
      </x:c>
      <x:c r="B1465" s="14" t="str">
        <x:v>SKU-0136</x:v>
      </x:c>
      <x:c r="C1465" s="52" t="n">
        <x:v>5</x:v>
      </x:c>
      <x:c r="D1465" s="40" t="n">
        <x:v>152.43</x:v>
      </x:c>
      <x:c r="E1465" s="44" t="n">
        <x:f>C1465*D1465</x:f>
        <x:v>762.1500000000001</x:v>
      </x:c>
      <x:c r="F1465" s="40" t="n">
        <x:v>105.97</x:v>
      </x:c>
      <x:c r="G1465" s="44" t="n">
        <x:f>C1465*F1465</x:f>
        <x:v>529.85</x:v>
      </x:c>
      <x:c r="H1465" s="44" t="n">
        <x:f>E1465-G1465</x:f>
        <x:v>232.30000000000007</x:v>
      </x:c>
      <x:c r="I1465" s="14" t="str">
        <x:v>Enterprise</x:v>
      </x:c>
      <x:c r="J1465" s="14" t="str">
        <x:v>West</x:v>
      </x:c>
    </x:row>
    <x:row r="1466">
      <x:c r="A1466" s="50" t="n">
        <x:v>46079</x:v>
      </x:c>
      <x:c r="B1466" s="14" t="str">
        <x:v>SKU-0011</x:v>
      </x:c>
      <x:c r="C1466" s="52" t="n">
        <x:v>7</x:v>
      </x:c>
      <x:c r="D1466" s="40" t="n">
        <x:v>380.6</x:v>
      </x:c>
      <x:c r="E1466" s="44" t="n">
        <x:f>C1466*D1466</x:f>
        <x:v>2664.2000000000003</x:v>
      </x:c>
      <x:c r="F1466" s="40" t="n">
        <x:v>244.6</x:v>
      </x:c>
      <x:c r="G1466" s="44" t="n">
        <x:f>C1466*F1466</x:f>
        <x:v>1712.2</x:v>
      </x:c>
      <x:c r="H1466" s="44" t="n">
        <x:f>E1466-G1466</x:f>
        <x:v>952.0000000000002</x:v>
      </x:c>
      <x:c r="I1466" s="14" t="str">
        <x:v>Distributor</x:v>
      </x:c>
      <x:c r="J1466" s="14" t="str">
        <x:v>Northeast</x:v>
      </x:c>
    </x:row>
    <x:row r="1467">
      <x:c r="A1467" s="50" t="n">
        <x:v>46086</x:v>
      </x:c>
      <x:c r="B1467" s="14" t="str">
        <x:v>SKU-0048</x:v>
      </x:c>
      <x:c r="C1467" s="52" t="n">
        <x:v>37</x:v>
      </x:c>
      <x:c r="D1467" s="40" t="n">
        <x:v>422.34</x:v>
      </x:c>
      <x:c r="E1467" s="44" t="n">
        <x:f>C1467*D1467</x:f>
        <x:v>15626.58</x:v>
      </x:c>
      <x:c r="F1467" s="40" t="n">
        <x:v>211.59</x:v>
      </x:c>
      <x:c r="G1467" s="44" t="n">
        <x:f>C1467*F1467</x:f>
        <x:v>7828.83</x:v>
      </x:c>
      <x:c r="H1467" s="44" t="n">
        <x:f>E1467-G1467</x:f>
        <x:v>7797.75</x:v>
      </x:c>
      <x:c r="I1467" s="14" t="str">
        <x:v>SMB</x:v>
      </x:c>
      <x:c r="J1467" s="14" t="str">
        <x:v>Midwest</x:v>
      </x:c>
    </x:row>
    <x:row r="1468">
      <x:c r="A1468" s="50" t="n">
        <x:v>45891</x:v>
      </x:c>
      <x:c r="B1468" s="14" t="str">
        <x:v>SKU-0050</x:v>
      </x:c>
      <x:c r="C1468" s="52" t="n">
        <x:v>13</x:v>
      </x:c>
      <x:c r="D1468" s="40" t="n">
        <x:v>311.89</x:v>
      </x:c>
      <x:c r="E1468" s="44" t="n">
        <x:f>C1468*D1468</x:f>
        <x:v>4054.5699999999997</x:v>
      </x:c>
      <x:c r="F1468" s="40" t="n">
        <x:v>150.72</x:v>
      </x:c>
      <x:c r="G1468" s="44" t="n">
        <x:f>C1468*F1468</x:f>
        <x:v>1959.36</x:v>
      </x:c>
      <x:c r="H1468" s="44" t="n">
        <x:f>E1468-G1468</x:f>
        <x:v>2095.21</x:v>
      </x:c>
      <x:c r="I1468" s="14" t="str">
        <x:v>Distributor</x:v>
      </x:c>
      <x:c r="J1468" s="14" t="str">
        <x:v>Midwest</x:v>
      </x:c>
    </x:row>
    <x:row r="1469">
      <x:c r="A1469" s="50" t="n">
        <x:v>46174</x:v>
      </x:c>
      <x:c r="B1469" s="14" t="str">
        <x:v>SKU-0132</x:v>
      </x:c>
      <x:c r="C1469" s="52" t="n">
        <x:v>34</x:v>
      </x:c>
      <x:c r="D1469" s="40" t="n">
        <x:v>367.65</x:v>
      </x:c>
      <x:c r="E1469" s="44" t="n">
        <x:f>C1469*D1469</x:f>
        <x:v>12500.099999999999</x:v>
      </x:c>
      <x:c r="F1469" s="40" t="n">
        <x:v>177.71</x:v>
      </x:c>
      <x:c r="G1469" s="44" t="n">
        <x:f>C1469*F1469</x:f>
        <x:v>6042.14</x:v>
      </x:c>
      <x:c r="H1469" s="44" t="n">
        <x:f>E1469-G1469</x:f>
        <x:v>6457.959999999998</x:v>
      </x:c>
      <x:c r="I1469" s="14" t="str">
        <x:v>Enterprise</x:v>
      </x:c>
      <x:c r="J1469" s="14" t="str">
        <x:v>Southeast</x:v>
      </x:c>
    </x:row>
    <x:row r="1470">
      <x:c r="A1470" s="50" t="n">
        <x:v>46068</x:v>
      </x:c>
      <x:c r="B1470" s="14" t="str">
        <x:v>SKU-0028</x:v>
      </x:c>
      <x:c r="C1470" s="52" t="n">
        <x:v>2</x:v>
      </x:c>
      <x:c r="D1470" s="40" t="n">
        <x:v>355.19</x:v>
      </x:c>
      <x:c r="E1470" s="44" t="n">
        <x:f>C1470*D1470</x:f>
        <x:v>710.38</x:v>
      </x:c>
      <x:c r="F1470" s="40" t="n">
        <x:v>274.39</x:v>
      </x:c>
      <x:c r="G1470" s="44" t="n">
        <x:f>C1470*F1470</x:f>
        <x:v>548.78</x:v>
      </x:c>
      <x:c r="H1470" s="44" t="n">
        <x:f>E1470-G1470</x:f>
        <x:v>161.60000000000002</x:v>
      </x:c>
      <x:c r="I1470" s="14" t="str">
        <x:v>Distributor</x:v>
      </x:c>
      <x:c r="J1470" s="14" t="str">
        <x:v>Midwest</x:v>
      </x:c>
    </x:row>
    <x:row r="1471">
      <x:c r="A1471" s="50" t="n">
        <x:v>46118</x:v>
      </x:c>
      <x:c r="B1471" s="14" t="str">
        <x:v>SKU-0035</x:v>
      </x:c>
      <x:c r="C1471" s="52" t="n">
        <x:v>14</x:v>
      </x:c>
      <x:c r="D1471" s="40" t="n">
        <x:v>277.69</x:v>
      </x:c>
      <x:c r="E1471" s="44" t="n">
        <x:f>C1471*D1471</x:f>
        <x:v>3887.66</x:v>
      </x:c>
      <x:c r="F1471" s="40" t="n">
        <x:v>170.72</x:v>
      </x:c>
      <x:c r="G1471" s="44" t="n">
        <x:f>C1471*F1471</x:f>
        <x:v>2390.08</x:v>
      </x:c>
      <x:c r="H1471" s="44" t="n">
        <x:f>E1471-G1471</x:f>
        <x:v>1497.58</x:v>
      </x:c>
      <x:c r="I1471" s="14" t="str">
        <x:v>Distributor</x:v>
      </x:c>
      <x:c r="J1471" s="14" t="str">
        <x:v>Northeast</x:v>
      </x:c>
    </x:row>
    <x:row r="1472">
      <x:c r="A1472" s="50" t="n">
        <x:v>46231</x:v>
      </x:c>
      <x:c r="B1472" s="14" t="str">
        <x:v>SKU-0075</x:v>
      </x:c>
      <x:c r="C1472" s="52" t="n">
        <x:v>6</x:v>
      </x:c>
      <x:c r="D1472" s="40" t="n">
        <x:v>24.62</x:v>
      </x:c>
      <x:c r="E1472" s="44" t="n">
        <x:f>C1472*D1472</x:f>
        <x:v>147.72</x:v>
      </x:c>
      <x:c r="F1472" s="40" t="n">
        <x:v>13.66</x:v>
      </x:c>
      <x:c r="G1472" s="44" t="n">
        <x:f>C1472*F1472</x:f>
        <x:v>81.96000000000001</x:v>
      </x:c>
      <x:c r="H1472" s="44" t="n">
        <x:f>E1472-G1472</x:f>
        <x:v>65.75999999999999</x:v>
      </x:c>
      <x:c r="I1472" s="14" t="str">
        <x:v>Distributor</x:v>
      </x:c>
      <x:c r="J1472" s="14" t="str">
        <x:v>Southeast</x:v>
      </x:c>
    </x:row>
    <x:row r="1473">
      <x:c r="A1473" s="50" t="n">
        <x:v>46011</x:v>
      </x:c>
      <x:c r="B1473" s="14" t="str">
        <x:v>SKU-0135</x:v>
      </x:c>
      <x:c r="C1473" s="52" t="n">
        <x:v>25</x:v>
      </x:c>
      <x:c r="D1473" s="40" t="n">
        <x:v>321.31</x:v>
      </x:c>
      <x:c r="E1473" s="44" t="n">
        <x:f>C1473*D1473</x:f>
        <x:v>8032.75</x:v>
      </x:c>
      <x:c r="F1473" s="40" t="n">
        <x:v>275.11</x:v>
      </x:c>
      <x:c r="G1473" s="44" t="n">
        <x:f>C1473*F1473</x:f>
        <x:v>6877.75</x:v>
      </x:c>
      <x:c r="H1473" s="44" t="n">
        <x:f>E1473-G1473</x:f>
        <x:v>1155</x:v>
      </x:c>
      <x:c r="I1473" s="14" t="str">
        <x:v>SMB</x:v>
      </x:c>
      <x:c r="J1473" s="14" t="str">
        <x:v>Southeast</x:v>
      </x:c>
    </x:row>
    <x:row r="1474">
      <x:c r="A1474" s="50" t="n">
        <x:v>45926</x:v>
      </x:c>
      <x:c r="B1474" s="14" t="str">
        <x:v>SKU-0027</x:v>
      </x:c>
      <x:c r="C1474" s="52" t="n">
        <x:v>2</x:v>
      </x:c>
      <x:c r="D1474" s="40" t="n">
        <x:v>295.2</x:v>
      </x:c>
      <x:c r="E1474" s="44" t="n">
        <x:f>C1474*D1474</x:f>
        <x:v>590.4</x:v>
      </x:c>
      <x:c r="F1474" s="40" t="n">
        <x:v>138.07</x:v>
      </x:c>
      <x:c r="G1474" s="44" t="n">
        <x:f>C1474*F1474</x:f>
        <x:v>276.14</x:v>
      </x:c>
      <x:c r="H1474" s="44" t="n">
        <x:f>E1474-G1474</x:f>
        <x:v>314.26</x:v>
      </x:c>
      <x:c r="I1474" s="14" t="str">
        <x:v>Enterprise</x:v>
      </x:c>
      <x:c r="J1474" s="14" t="str">
        <x:v>Northeast</x:v>
      </x:c>
    </x:row>
    <x:row r="1475">
      <x:c r="A1475" s="50" t="n">
        <x:v>46003</x:v>
      </x:c>
      <x:c r="B1475" s="14" t="str">
        <x:v>SKU-0051</x:v>
      </x:c>
      <x:c r="C1475" s="52" t="n">
        <x:v>12</x:v>
      </x:c>
      <x:c r="D1475" s="40" t="n">
        <x:v>100.77</x:v>
      </x:c>
      <x:c r="E1475" s="44" t="n">
        <x:f>C1475*D1475</x:f>
        <x:v>1209.24</x:v>
      </x:c>
      <x:c r="F1475" s="40" t="n">
        <x:v>74.69</x:v>
      </x:c>
      <x:c r="G1475" s="44" t="n">
        <x:f>C1475*F1475</x:f>
        <x:v>896.28</x:v>
      </x:c>
      <x:c r="H1475" s="44" t="n">
        <x:f>E1475-G1475</x:f>
        <x:v>312.96000000000004</x:v>
      </x:c>
      <x:c r="I1475" s="14" t="str">
        <x:v>SMB</x:v>
      </x:c>
      <x:c r="J1475" s="14" t="str">
        <x:v>Southeast</x:v>
      </x:c>
    </x:row>
    <x:row r="1476">
      <x:c r="A1476" s="50" t="n">
        <x:v>46209</x:v>
      </x:c>
      <x:c r="B1476" s="14" t="str">
        <x:v>SKU-0104</x:v>
      </x:c>
      <x:c r="C1476" s="52" t="n">
        <x:v>6</x:v>
      </x:c>
      <x:c r="D1476" s="40" t="n">
        <x:v>169.18</x:v>
      </x:c>
      <x:c r="E1476" s="44" t="n">
        <x:f>C1476*D1476</x:f>
        <x:v>1015.08</x:v>
      </x:c>
      <x:c r="F1476" s="40" t="n">
        <x:v>105.32</x:v>
      </x:c>
      <x:c r="G1476" s="44" t="n">
        <x:f>C1476*F1476</x:f>
        <x:v>631.92</x:v>
      </x:c>
      <x:c r="H1476" s="44" t="n">
        <x:f>E1476-G1476</x:f>
        <x:v>383.1600000000001</x:v>
      </x:c>
      <x:c r="I1476" s="14" t="str">
        <x:v>Enterprise</x:v>
      </x:c>
      <x:c r="J1476" s="14" t="str">
        <x:v>Northeast</x:v>
      </x:c>
    </x:row>
    <x:row r="1477">
      <x:c r="A1477" s="50" t="n">
        <x:v>46193</x:v>
      </x:c>
      <x:c r="B1477" s="14" t="str">
        <x:v>SKU-0022</x:v>
      </x:c>
      <x:c r="C1477" s="52" t="n">
        <x:v>18</x:v>
      </x:c>
      <x:c r="D1477" s="40" t="n">
        <x:v>305.62</x:v>
      </x:c>
      <x:c r="E1477" s="44" t="n">
        <x:f>C1477*D1477</x:f>
        <x:v>5501.16</x:v>
      </x:c>
      <x:c r="F1477" s="40" t="n">
        <x:v>167.48</x:v>
      </x:c>
      <x:c r="G1477" s="44" t="n">
        <x:f>C1477*F1477</x:f>
        <x:v>3014.64</x:v>
      </x:c>
      <x:c r="H1477" s="44" t="n">
        <x:f>E1477-G1477</x:f>
        <x:v>2486.52</x:v>
      </x:c>
      <x:c r="I1477" s="14" t="str">
        <x:v>Internal Use</x:v>
      </x:c>
      <x:c r="J1477" s="14" t="str">
        <x:v>Northeast</x:v>
      </x:c>
    </x:row>
    <x:row r="1478">
      <x:c r="A1478" s="50" t="n">
        <x:v>46136</x:v>
      </x:c>
      <x:c r="B1478" s="14" t="str">
        <x:v>SKU-0119</x:v>
      </x:c>
      <x:c r="C1478" s="52" t="n">
        <x:v>17</x:v>
      </x:c>
      <x:c r="D1478" s="40" t="n">
        <x:v>87.92</x:v>
      </x:c>
      <x:c r="E1478" s="44" t="n">
        <x:f>C1478*D1478</x:f>
        <x:v>1494.64</x:v>
      </x:c>
      <x:c r="F1478" s="40" t="n">
        <x:v>52.57</x:v>
      </x:c>
      <x:c r="G1478" s="44" t="n">
        <x:f>C1478*F1478</x:f>
        <x:v>893.69</x:v>
      </x:c>
      <x:c r="H1478" s="44" t="n">
        <x:f>E1478-G1478</x:f>
        <x:v>600.95</x:v>
      </x:c>
      <x:c r="I1478" s="14" t="str">
        <x:v>SMB</x:v>
      </x:c>
      <x:c r="J1478" s="14" t="str">
        <x:v>Southeast</x:v>
      </x:c>
    </x:row>
    <x:row r="1479">
      <x:c r="A1479" s="50" t="n">
        <x:v>45895</x:v>
      </x:c>
      <x:c r="B1479" s="14" t="str">
        <x:v>SKU-0007</x:v>
      </x:c>
      <x:c r="C1479" s="52" t="n">
        <x:v>10</x:v>
      </x:c>
      <x:c r="D1479" s="40" t="n">
        <x:v>185.59</x:v>
      </x:c>
      <x:c r="E1479" s="44" t="n">
        <x:f>C1479*D1479</x:f>
        <x:v>1855.9</x:v>
      </x:c>
      <x:c r="F1479" s="40" t="n">
        <x:v>123.15</x:v>
      </x:c>
      <x:c r="G1479" s="44" t="n">
        <x:f>C1479*F1479</x:f>
        <x:v>1231.5</x:v>
      </x:c>
      <x:c r="H1479" s="44" t="n">
        <x:f>E1479-G1479</x:f>
        <x:v>624.4000000000001</x:v>
      </x:c>
      <x:c r="I1479" s="14" t="str">
        <x:v>SMB</x:v>
      </x:c>
      <x:c r="J1479" s="14" t="str">
        <x:v>Northeast</x:v>
      </x:c>
    </x:row>
    <x:row r="1480">
      <x:c r="A1480" s="50" t="n">
        <x:v>46232</x:v>
      </x:c>
      <x:c r="B1480" s="14" t="str">
        <x:v>SKU-0063</x:v>
      </x:c>
      <x:c r="C1480" s="52" t="n">
        <x:v>6</x:v>
      </x:c>
      <x:c r="D1480" s="40" t="n">
        <x:v>279.1</x:v>
      </x:c>
      <x:c r="E1480" s="44" t="n">
        <x:f>C1480*D1480</x:f>
        <x:v>1674.6000000000001</x:v>
      </x:c>
      <x:c r="F1480" s="40" t="n">
        <x:v>197.54</x:v>
      </x:c>
      <x:c r="G1480" s="44" t="n">
        <x:f>C1480*F1480</x:f>
        <x:v>1185.24</x:v>
      </x:c>
      <x:c r="H1480" s="44" t="n">
        <x:f>E1480-G1480</x:f>
        <x:v>489.3600000000001</x:v>
      </x:c>
      <x:c r="I1480" s="14" t="str">
        <x:v>Distributor</x:v>
      </x:c>
      <x:c r="J1480" s="14" t="str">
        <x:v>Midwest</x:v>
      </x:c>
    </x:row>
    <x:row r="1481">
      <x:c r="A1481" s="50" t="n">
        <x:v>46092</x:v>
      </x:c>
      <x:c r="B1481" s="14" t="str">
        <x:v>SKU-0031</x:v>
      </x:c>
      <x:c r="C1481" s="52" t="n">
        <x:v>13</x:v>
      </x:c>
      <x:c r="D1481" s="40" t="n">
        <x:v>302.42</x:v>
      </x:c>
      <x:c r="E1481" s="44" t="n">
        <x:f>C1481*D1481</x:f>
        <x:v>3931.46</x:v>
      </x:c>
      <x:c r="F1481" s="40" t="n">
        <x:v>247.09</x:v>
      </x:c>
      <x:c r="G1481" s="44" t="n">
        <x:f>C1481*F1481</x:f>
        <x:v>3212.17</x:v>
      </x:c>
      <x:c r="H1481" s="44" t="n">
        <x:f>E1481-G1481</x:f>
        <x:v>719.29</x:v>
      </x:c>
      <x:c r="I1481" s="14" t="str">
        <x:v>Distributor</x:v>
      </x:c>
      <x:c r="J1481" s="14" t="str">
        <x:v>Southeast</x:v>
      </x:c>
    </x:row>
    <x:row r="1482">
      <x:c r="A1482" s="50" t="n">
        <x:v>45919</x:v>
      </x:c>
      <x:c r="B1482" s="14" t="str">
        <x:v>SKU-0015</x:v>
      </x:c>
      <x:c r="C1482" s="52" t="n">
        <x:v>6</x:v>
      </x:c>
      <x:c r="D1482" s="40" t="n">
        <x:v>251.01</x:v>
      </x:c>
      <x:c r="E1482" s="44" t="n">
        <x:f>C1482*D1482</x:f>
        <x:v>1506.06</x:v>
      </x:c>
      <x:c r="F1482" s="40" t="n">
        <x:v>185.37</x:v>
      </x:c>
      <x:c r="G1482" s="44" t="n">
        <x:f>C1482*F1482</x:f>
        <x:v>1112.22</x:v>
      </x:c>
      <x:c r="H1482" s="44" t="n">
        <x:f>E1482-G1482</x:f>
        <x:v>393.8399999999999</x:v>
      </x:c>
      <x:c r="I1482" s="14" t="str">
        <x:v>Distributor</x:v>
      </x:c>
      <x:c r="J1482" s="14" t="str">
        <x:v>Northeast</x:v>
      </x:c>
    </x:row>
    <x:row r="1483">
      <x:c r="A1483" s="50" t="n">
        <x:v>46029</x:v>
      </x:c>
      <x:c r="B1483" s="14" t="str">
        <x:v>SKU-0139</x:v>
      </x:c>
      <x:c r="C1483" s="52" t="n">
        <x:v>4</x:v>
      </x:c>
      <x:c r="D1483" s="40" t="n">
        <x:v>272.17</x:v>
      </x:c>
      <x:c r="E1483" s="44" t="n">
        <x:f>C1483*D1483</x:f>
        <x:v>1088.68</x:v>
      </x:c>
      <x:c r="F1483" s="40" t="n">
        <x:v>157.6</x:v>
      </x:c>
      <x:c r="G1483" s="44" t="n">
        <x:f>C1483*F1483</x:f>
        <x:v>630.4</x:v>
      </x:c>
      <x:c r="H1483" s="44" t="n">
        <x:f>E1483-G1483</x:f>
        <x:v>458.2800000000001</x:v>
      </x:c>
      <x:c r="I1483" s="14" t="str">
        <x:v>Enterprise</x:v>
      </x:c>
      <x:c r="J1483" s="14" t="str">
        <x:v>Southeast</x:v>
      </x:c>
    </x:row>
    <x:row r="1484">
      <x:c r="A1484" s="50" t="n">
        <x:v>45979</x:v>
      </x:c>
      <x:c r="B1484" s="14" t="str">
        <x:v>SKU-0105</x:v>
      </x:c>
      <x:c r="C1484" s="52" t="n">
        <x:v>1</x:v>
      </x:c>
      <x:c r="D1484" s="40" t="n">
        <x:v>158.1</x:v>
      </x:c>
      <x:c r="E1484" s="44" t="n">
        <x:f>C1484*D1484</x:f>
        <x:v>158.1</x:v>
      </x:c>
      <x:c r="F1484" s="40" t="n">
        <x:v>112.98</x:v>
      </x:c>
      <x:c r="G1484" s="44" t="n">
        <x:f>C1484*F1484</x:f>
        <x:v>112.98</x:v>
      </x:c>
      <x:c r="H1484" s="44" t="n">
        <x:f>E1484-G1484</x:f>
        <x:v>45.11999999999999</x:v>
      </x:c>
      <x:c r="I1484" s="14" t="str">
        <x:v>SMB</x:v>
      </x:c>
      <x:c r="J1484" s="14" t="str">
        <x:v>Northeast</x:v>
      </x:c>
    </x:row>
    <x:row r="1485">
      <x:c r="A1485" s="50" t="n">
        <x:v>46111</x:v>
      </x:c>
      <x:c r="B1485" s="14" t="str">
        <x:v>SKU-0062</x:v>
      </x:c>
      <x:c r="C1485" s="52" t="n">
        <x:v>5</x:v>
      </x:c>
      <x:c r="D1485" s="40" t="n">
        <x:v>107.36</x:v>
      </x:c>
      <x:c r="E1485" s="44" t="n">
        <x:f>C1485*D1485</x:f>
        <x:v>536.8</x:v>
      </x:c>
      <x:c r="F1485" s="40" t="n">
        <x:v>63.99</x:v>
      </x:c>
      <x:c r="G1485" s="44" t="n">
        <x:f>C1485*F1485</x:f>
        <x:v>319.95</x:v>
      </x:c>
      <x:c r="H1485" s="44" t="n">
        <x:f>E1485-G1485</x:f>
        <x:v>216.84999999999997</x:v>
      </x:c>
      <x:c r="I1485" s="14" t="str">
        <x:v>Distributor</x:v>
      </x:c>
      <x:c r="J1485" s="14" t="str">
        <x:v>Northeast</x:v>
      </x:c>
    </x:row>
    <x:row r="1486">
      <x:c r="A1486" s="50" t="n">
        <x:v>45946</x:v>
      </x:c>
      <x:c r="B1486" s="14" t="str">
        <x:v>SKU-0076</x:v>
      </x:c>
      <x:c r="C1486" s="52" t="n">
        <x:v>9</x:v>
      </x:c>
      <x:c r="D1486" s="40" t="n">
        <x:v>204.87</x:v>
      </x:c>
      <x:c r="E1486" s="44" t="n">
        <x:f>C1486*D1486</x:f>
        <x:v>1843.83</x:v>
      </x:c>
      <x:c r="F1486" s="40" t="n">
        <x:v>132.93</x:v>
      </x:c>
      <x:c r="G1486" s="44" t="n">
        <x:f>C1486*F1486</x:f>
        <x:v>1196.3700000000001</x:v>
      </x:c>
      <x:c r="H1486" s="44" t="n">
        <x:f>E1486-G1486</x:f>
        <x:v>647.4599999999998</x:v>
      </x:c>
      <x:c r="I1486" s="14" t="str">
        <x:v>Distributor</x:v>
      </x:c>
      <x:c r="J1486" s="14" t="str">
        <x:v>Northeast</x:v>
      </x:c>
    </x:row>
    <x:row r="1487">
      <x:c r="A1487" s="50" t="n">
        <x:v>46001</x:v>
      </x:c>
      <x:c r="B1487" s="14" t="str">
        <x:v>SKU-0087</x:v>
      </x:c>
      <x:c r="C1487" s="52" t="n">
        <x:v>8</x:v>
      </x:c>
      <x:c r="D1487" s="40" t="n">
        <x:v>335.63</x:v>
      </x:c>
      <x:c r="E1487" s="44" t="n">
        <x:f>C1487*D1487</x:f>
        <x:v>2685.04</x:v>
      </x:c>
      <x:c r="F1487" s="40" t="n">
        <x:v>194.73</x:v>
      </x:c>
      <x:c r="G1487" s="44" t="n">
        <x:f>C1487*F1487</x:f>
        <x:v>1557.84</x:v>
      </x:c>
      <x:c r="H1487" s="44" t="n">
        <x:f>E1487-G1487</x:f>
        <x:v>1127.2</x:v>
      </x:c>
      <x:c r="I1487" s="14" t="str">
        <x:v>Enterprise</x:v>
      </x:c>
      <x:c r="J1487" s="14" t="str">
        <x:v>Northeast</x:v>
      </x:c>
    </x:row>
    <x:row r="1488">
      <x:c r="A1488" s="50" t="n">
        <x:v>45945</x:v>
      </x:c>
      <x:c r="B1488" s="14" t="str">
        <x:v>SKU-0030</x:v>
      </x:c>
      <x:c r="C1488" s="52" t="n">
        <x:v>4</x:v>
      </x:c>
      <x:c r="D1488" s="40" t="n">
        <x:v>360.79</x:v>
      </x:c>
      <x:c r="E1488" s="44" t="n">
        <x:f>C1488*D1488</x:f>
        <x:v>1443.16</x:v>
      </x:c>
      <x:c r="F1488" s="40" t="n">
        <x:v>191.77</x:v>
      </x:c>
      <x:c r="G1488" s="44" t="n">
        <x:f>C1488*F1488</x:f>
        <x:v>767.08</x:v>
      </x:c>
      <x:c r="H1488" s="44" t="n">
        <x:f>E1488-G1488</x:f>
        <x:v>676.08</x:v>
      </x:c>
      <x:c r="I1488" s="14" t="str">
        <x:v>SMB</x:v>
      </x:c>
      <x:c r="J1488" s="14" t="str">
        <x:v>Northeast</x:v>
      </x:c>
    </x:row>
    <x:row r="1489">
      <x:c r="A1489" s="50" t="n">
        <x:v>45984</x:v>
      </x:c>
      <x:c r="B1489" s="14" t="str">
        <x:v>SKU-0134</x:v>
      </x:c>
      <x:c r="C1489" s="52" t="n">
        <x:v>6</x:v>
      </x:c>
      <x:c r="D1489" s="40" t="n">
        <x:v>426.99</x:v>
      </x:c>
      <x:c r="E1489" s="44" t="n">
        <x:f>C1489*D1489</x:f>
        <x:v>2561.94</x:v>
      </x:c>
      <x:c r="F1489" s="40" t="n">
        <x:v>254.76</x:v>
      </x:c>
      <x:c r="G1489" s="44" t="n">
        <x:f>C1489*F1489</x:f>
        <x:v>1528.56</x:v>
      </x:c>
      <x:c r="H1489" s="44" t="n">
        <x:f>E1489-G1489</x:f>
        <x:v>1033.38</x:v>
      </x:c>
      <x:c r="I1489" s="14" t="str">
        <x:v>Enterprise</x:v>
      </x:c>
      <x:c r="J1489" s="14" t="str">
        <x:v>West</x:v>
      </x:c>
    </x:row>
    <x:row r="1490">
      <x:c r="A1490" s="50" t="n">
        <x:v>46230</x:v>
      </x:c>
      <x:c r="B1490" s="14" t="str">
        <x:v>SKU-0040</x:v>
      </x:c>
      <x:c r="C1490" s="52" t="n">
        <x:v>8</x:v>
      </x:c>
      <x:c r="D1490" s="40" t="n">
        <x:v>447.14</x:v>
      </x:c>
      <x:c r="E1490" s="44" t="n">
        <x:f>C1490*D1490</x:f>
        <x:v>3577.12</x:v>
      </x:c>
      <x:c r="F1490" s="40" t="n">
        <x:v>229.61</x:v>
      </x:c>
      <x:c r="G1490" s="44" t="n">
        <x:f>C1490*F1490</x:f>
        <x:v>1836.88</x:v>
      </x:c>
      <x:c r="H1490" s="44" t="n">
        <x:f>E1490-G1490</x:f>
        <x:v>1740.2399999999998</x:v>
      </x:c>
      <x:c r="I1490" s="14" t="str">
        <x:v>Enterprise</x:v>
      </x:c>
      <x:c r="J1490" s="14" t="str">
        <x:v>Southeast</x:v>
      </x:c>
    </x:row>
    <x:row r="1491">
      <x:c r="A1491" s="50" t="n">
        <x:v>46010</x:v>
      </x:c>
      <x:c r="B1491" s="14" t="str">
        <x:v>SKU-0056</x:v>
      </x:c>
      <x:c r="C1491" s="52" t="n">
        <x:v>21</x:v>
      </x:c>
      <x:c r="D1491" s="40" t="n">
        <x:v>329.82</x:v>
      </x:c>
      <x:c r="E1491" s="44" t="n">
        <x:f>C1491*D1491</x:f>
        <x:v>6926.22</x:v>
      </x:c>
      <x:c r="F1491" s="40" t="n">
        <x:v>219.68</x:v>
      </x:c>
      <x:c r="G1491" s="44" t="n">
        <x:f>C1491*F1491</x:f>
        <x:v>4613.28</x:v>
      </x:c>
      <x:c r="H1491" s="44" t="n">
        <x:f>E1491-G1491</x:f>
        <x:v>2312.9400000000005</x:v>
      </x:c>
      <x:c r="I1491" s="14" t="str">
        <x:v>SMB</x:v>
      </x:c>
      <x:c r="J1491" s="14" t="str">
        <x:v>West</x:v>
      </x:c>
    </x:row>
    <x:row r="1492">
      <x:c r="A1492" s="50" t="n">
        <x:v>45935</x:v>
      </x:c>
      <x:c r="B1492" s="14" t="str">
        <x:v>SKU-0147</x:v>
      </x:c>
      <x:c r="C1492" s="52" t="n">
        <x:v>7</x:v>
      </x:c>
      <x:c r="D1492" s="40" t="n">
        <x:v>59.09</x:v>
      </x:c>
      <x:c r="E1492" s="44" t="n">
        <x:f>C1492*D1492</x:f>
        <x:v>413.63</x:v>
      </x:c>
      <x:c r="F1492" s="40" t="n">
        <x:v>27.95</x:v>
      </x:c>
      <x:c r="G1492" s="44" t="n">
        <x:f>C1492*F1492</x:f>
        <x:v>195.65</x:v>
      </x:c>
      <x:c r="H1492" s="44" t="n">
        <x:f>E1492-G1492</x:f>
        <x:v>217.98</x:v>
      </x:c>
      <x:c r="I1492" s="14" t="str">
        <x:v>SMB</x:v>
      </x:c>
      <x:c r="J1492" s="14" t="str">
        <x:v>Southeast</x:v>
      </x:c>
    </x:row>
    <x:row r="1493">
      <x:c r="A1493" s="50" t="n">
        <x:v>46015</x:v>
      </x:c>
      <x:c r="B1493" s="14" t="str">
        <x:v>SKU-0135</x:v>
      </x:c>
      <x:c r="C1493" s="52" t="n">
        <x:v>4</x:v>
      </x:c>
      <x:c r="D1493" s="40" t="n">
        <x:v>344</x:v>
      </x:c>
      <x:c r="E1493" s="44" t="n">
        <x:f>C1493*D1493</x:f>
        <x:v>1376</x:v>
      </x:c>
      <x:c r="F1493" s="40" t="n">
        <x:v>275.11</x:v>
      </x:c>
      <x:c r="G1493" s="44" t="n">
        <x:f>C1493*F1493</x:f>
        <x:v>1100.44</x:v>
      </x:c>
      <x:c r="H1493" s="44" t="n">
        <x:f>E1493-G1493</x:f>
        <x:v>275.55999999999995</x:v>
      </x:c>
      <x:c r="I1493" s="14" t="str">
        <x:v>Internal Use</x:v>
      </x:c>
      <x:c r="J1493" s="14" t="str">
        <x:v>Southeast</x:v>
      </x:c>
    </x:row>
    <x:row r="1494">
      <x:c r="A1494" s="50" t="n">
        <x:v>46032</x:v>
      </x:c>
      <x:c r="B1494" s="14" t="str">
        <x:v>SKU-0088</x:v>
      </x:c>
      <x:c r="C1494" s="52" t="n">
        <x:v>9</x:v>
      </x:c>
      <x:c r="D1494" s="40" t="n">
        <x:v>35.29</x:v>
      </x:c>
      <x:c r="E1494" s="44" t="n">
        <x:f>C1494*D1494</x:f>
        <x:v>317.61</x:v>
      </x:c>
      <x:c r="F1494" s="40" t="n">
        <x:v>21.49</x:v>
      </x:c>
      <x:c r="G1494" s="44" t="n">
        <x:f>C1494*F1494</x:f>
        <x:v>193.41</x:v>
      </x:c>
      <x:c r="H1494" s="44" t="n">
        <x:f>E1494-G1494</x:f>
        <x:v>124.20000000000002</x:v>
      </x:c>
      <x:c r="I1494" s="14" t="str">
        <x:v>Distributor</x:v>
      </x:c>
      <x:c r="J1494" s="14" t="str">
        <x:v>Northeast</x:v>
      </x:c>
    </x:row>
    <x:row r="1495">
      <x:c r="A1495" s="50" t="n">
        <x:v>45932</x:v>
      </x:c>
      <x:c r="B1495" s="14" t="str">
        <x:v>SKU-0014</x:v>
      </x:c>
      <x:c r="C1495" s="52" t="n">
        <x:v>13</x:v>
      </x:c>
      <x:c r="D1495" s="40" t="n">
        <x:v>287.87</x:v>
      </x:c>
      <x:c r="E1495" s="44" t="n">
        <x:f>C1495*D1495</x:f>
        <x:v>3742.31</x:v>
      </x:c>
      <x:c r="F1495" s="40" t="n">
        <x:v>152.14</x:v>
      </x:c>
      <x:c r="G1495" s="44" t="n">
        <x:f>C1495*F1495</x:f>
        <x:v>1977.8199999999997</x:v>
      </x:c>
      <x:c r="H1495" s="44" t="n">
        <x:f>E1495-G1495</x:f>
        <x:v>1764.4900000000002</x:v>
      </x:c>
      <x:c r="I1495" s="14" t="str">
        <x:v>Enterprise</x:v>
      </x:c>
      <x:c r="J1495" s="14" t="str">
        <x:v>Midwest</x:v>
      </x:c>
    </x:row>
    <x:row r="1496">
      <x:c r="A1496" s="50" t="n">
        <x:v>46177</x:v>
      </x:c>
      <x:c r="B1496" s="14" t="str">
        <x:v>SKU-0145</x:v>
      </x:c>
      <x:c r="C1496" s="52" t="n">
        <x:v>38</x:v>
      </x:c>
      <x:c r="D1496" s="40" t="n">
        <x:v>205.26</x:v>
      </x:c>
      <x:c r="E1496" s="44" t="n">
        <x:f>C1496*D1496</x:f>
        <x:v>7799.879999999999</x:v>
      </x:c>
      <x:c r="F1496" s="40" t="n">
        <x:v>142.06</x:v>
      </x:c>
      <x:c r="G1496" s="44" t="n">
        <x:f>C1496*F1496</x:f>
        <x:v>5398.28</x:v>
      </x:c>
      <x:c r="H1496" s="44" t="n">
        <x:f>E1496-G1496</x:f>
        <x:v>2401.5999999999995</x:v>
      </x:c>
      <x:c r="I1496" s="14" t="str">
        <x:v>SMB</x:v>
      </x:c>
      <x:c r="J1496" s="14" t="str">
        <x:v>Northeast</x:v>
      </x:c>
    </x:row>
    <x:row r="1497">
      <x:c r="A1497" s="50" t="n">
        <x:v>46010</x:v>
      </x:c>
      <x:c r="B1497" s="14" t="str">
        <x:v>SKU-0116</x:v>
      </x:c>
      <x:c r="C1497" s="52" t="n">
        <x:v>10</x:v>
      </x:c>
      <x:c r="D1497" s="40" t="n">
        <x:v>54.39</x:v>
      </x:c>
      <x:c r="E1497" s="44" t="n">
        <x:f>C1497*D1497</x:f>
        <x:v>543.9</x:v>
      </x:c>
      <x:c r="F1497" s="40" t="n">
        <x:v>36.42</x:v>
      </x:c>
      <x:c r="G1497" s="44" t="n">
        <x:f>C1497*F1497</x:f>
        <x:v>364.20000000000005</x:v>
      </x:c>
      <x:c r="H1497" s="44" t="n">
        <x:f>E1497-G1497</x:f>
        <x:v>179.69999999999993</x:v>
      </x:c>
      <x:c r="I1497" s="14" t="str">
        <x:v>Internal Use</x:v>
      </x:c>
      <x:c r="J1497" s="14" t="str">
        <x:v>West</x:v>
      </x:c>
    </x:row>
    <x:row r="1498">
      <x:c r="A1498" s="50" t="n">
        <x:v>46162</x:v>
      </x:c>
      <x:c r="B1498" s="14" t="str">
        <x:v>SKU-0076</x:v>
      </x:c>
      <x:c r="C1498" s="52" t="n">
        <x:v>20</x:v>
      </x:c>
      <x:c r="D1498" s="40" t="n">
        <x:v>204.84</x:v>
      </x:c>
      <x:c r="E1498" s="44" t="n">
        <x:f>C1498*D1498</x:f>
        <x:v>4096.8</x:v>
      </x:c>
      <x:c r="F1498" s="40" t="n">
        <x:v>132.93</x:v>
      </x:c>
      <x:c r="G1498" s="44" t="n">
        <x:f>C1498*F1498</x:f>
        <x:v>2658.6000000000004</x:v>
      </x:c>
      <x:c r="H1498" s="44" t="n">
        <x:f>E1498-G1498</x:f>
        <x:v>1438.1999999999998</x:v>
      </x:c>
      <x:c r="I1498" s="14" t="str">
        <x:v>Internal Use</x:v>
      </x:c>
      <x:c r="J1498" s="14" t="str">
        <x:v>Northeast</x:v>
      </x:c>
    </x:row>
    <x:row r="1499">
      <x:c r="A1499" s="50" t="n">
        <x:v>46031</x:v>
      </x:c>
      <x:c r="B1499" s="14" t="str">
        <x:v>SKU-0134</x:v>
      </x:c>
      <x:c r="C1499" s="52" t="n">
        <x:v>12</x:v>
      </x:c>
      <x:c r="D1499" s="40" t="n">
        <x:v>424.49</x:v>
      </x:c>
      <x:c r="E1499" s="44" t="n">
        <x:f>C1499*D1499</x:f>
        <x:v>5093.88</x:v>
      </x:c>
      <x:c r="F1499" s="40" t="n">
        <x:v>254.76</x:v>
      </x:c>
      <x:c r="G1499" s="44" t="n">
        <x:f>C1499*F1499</x:f>
        <x:v>3057.12</x:v>
      </x:c>
      <x:c r="H1499" s="44" t="n">
        <x:f>E1499-G1499</x:f>
        <x:v>2036.7600000000002</x:v>
      </x:c>
      <x:c r="I1499" s="14" t="str">
        <x:v>SMB</x:v>
      </x:c>
      <x:c r="J1499" s="14" t="str">
        <x:v>Midwest</x:v>
      </x:c>
    </x:row>
    <x:row r="1500">
      <x:c r="A1500" s="50" t="n">
        <x:v>45932</x:v>
      </x:c>
      <x:c r="B1500" s="14" t="str">
        <x:v>SKU-0145</x:v>
      </x:c>
      <x:c r="C1500" s="52" t="n">
        <x:v>2</x:v>
      </x:c>
      <x:c r="D1500" s="40" t="n">
        <x:v>224.91</x:v>
      </x:c>
      <x:c r="E1500" s="44" t="n">
        <x:f>C1500*D1500</x:f>
        <x:v>449.82</x:v>
      </x:c>
      <x:c r="F1500" s="40" t="n">
        <x:v>142.06</x:v>
      </x:c>
      <x:c r="G1500" s="44" t="n">
        <x:f>C1500*F1500</x:f>
        <x:v>284.12</x:v>
      </x:c>
      <x:c r="H1500" s="44" t="n">
        <x:f>E1500-G1500</x:f>
        <x:v>165.7</x:v>
      </x:c>
      <x:c r="I1500" s="14" t="str">
        <x:v>SMB</x:v>
      </x:c>
      <x:c r="J1500" s="14" t="str">
        <x:v>Southeast</x:v>
      </x:c>
    </x:row>
    <x:row r="1501">
      <x:c r="A1501" s="50" t="n">
        <x:v>45935</x:v>
      </x:c>
      <x:c r="B1501" s="14" t="str">
        <x:v>SKU-0049</x:v>
      </x:c>
      <x:c r="C1501" s="52" t="n">
        <x:v>1</x:v>
      </x:c>
      <x:c r="D1501" s="40" t="n">
        <x:v>100.43</x:v>
      </x:c>
      <x:c r="E1501" s="44" t="n">
        <x:f>C1501*D1501</x:f>
        <x:v>100.43</x:v>
      </x:c>
      <x:c r="F1501" s="40" t="n">
        <x:v>63.39</x:v>
      </x:c>
      <x:c r="G1501" s="44" t="n">
        <x:f>C1501*F1501</x:f>
        <x:v>63.39</x:v>
      </x:c>
      <x:c r="H1501" s="44" t="n">
        <x:f>E1501-G1501</x:f>
        <x:v>37.040000000000006</x:v>
      </x:c>
      <x:c r="I1501" s="14" t="str">
        <x:v>Distributor</x:v>
      </x:c>
      <x:c r="J1501" s="14" t="str">
        <x:v>Southeast</x:v>
      </x:c>
    </x:row>
    <x:row r="1502">
      <x:c r="A1502" s="50" t="n">
        <x:v>46086</x:v>
      </x:c>
      <x:c r="B1502" s="14" t="str">
        <x:v>SKU-0111</x:v>
      </x:c>
      <x:c r="C1502" s="52" t="n">
        <x:v>83</x:v>
      </x:c>
      <x:c r="D1502" s="40" t="n">
        <x:v>141.22</x:v>
      </x:c>
      <x:c r="E1502" s="44" t="n">
        <x:f>C1502*D1502</x:f>
        <x:v>11721.26</x:v>
      </x:c>
      <x:c r="F1502" s="40" t="n">
        <x:v>120.79</x:v>
      </x:c>
      <x:c r="G1502" s="44" t="n">
        <x:f>C1502*F1502</x:f>
        <x:v>10025.57</x:v>
      </x:c>
      <x:c r="H1502" s="44" t="n">
        <x:f>E1502-G1502</x:f>
        <x:v>1695.6900000000005</x:v>
      </x:c>
      <x:c r="I1502" s="14" t="str">
        <x:v>Enterprise</x:v>
      </x:c>
      <x:c r="J1502" s="14" t="str">
        <x:v>West</x:v>
      </x:c>
    </x:row>
    <x:row r="1503">
      <x:c r="A1503" s="50" t="n">
        <x:v>46083</x:v>
      </x:c>
      <x:c r="B1503" s="14" t="str">
        <x:v>SKU-0040</x:v>
      </x:c>
      <x:c r="C1503" s="52" t="n">
        <x:v>12</x:v>
      </x:c>
      <x:c r="D1503" s="40" t="n">
        <x:v>425.44</x:v>
      </x:c>
      <x:c r="E1503" s="44" t="n">
        <x:f>C1503*D1503</x:f>
        <x:v>5105.28</x:v>
      </x:c>
      <x:c r="F1503" s="40" t="n">
        <x:v>229.61</x:v>
      </x:c>
      <x:c r="G1503" s="44" t="n">
        <x:f>C1503*F1503</x:f>
        <x:v>2755.32</x:v>
      </x:c>
      <x:c r="H1503" s="44" t="n">
        <x:f>E1503-G1503</x:f>
        <x:v>2349.9599999999996</x:v>
      </x:c>
      <x:c r="I1503" s="14" t="str">
        <x:v>Enterprise</x:v>
      </x:c>
      <x:c r="J1503" s="14" t="str">
        <x:v>West</x:v>
      </x:c>
    </x:row>
    <x:row r="1504">
      <x:c r="A1504" s="50" t="n">
        <x:v>45990</x:v>
      </x:c>
      <x:c r="B1504" s="14" t="str">
        <x:v>SKU-0045</x:v>
      </x:c>
      <x:c r="C1504" s="52" t="n">
        <x:v>17</x:v>
      </x:c>
      <x:c r="D1504" s="40" t="n">
        <x:v>99.8</x:v>
      </x:c>
      <x:c r="E1504" s="44" t="n">
        <x:f>C1504*D1504</x:f>
        <x:v>1696.6</x:v>
      </x:c>
      <x:c r="F1504" s="40" t="n">
        <x:v>68.89</x:v>
      </x:c>
      <x:c r="G1504" s="44" t="n">
        <x:f>C1504*F1504</x:f>
        <x:v>1171.13</x:v>
      </x:c>
      <x:c r="H1504" s="44" t="n">
        <x:f>E1504-G1504</x:f>
        <x:v>525.4699999999998</x:v>
      </x:c>
      <x:c r="I1504" s="14" t="str">
        <x:v>Distributor</x:v>
      </x:c>
      <x:c r="J1504" s="14" t="str">
        <x:v>Southeast</x:v>
      </x:c>
    </x:row>
    <x:row r="1505">
      <x:c r="A1505" s="50" t="n">
        <x:v>45950</x:v>
      </x:c>
      <x:c r="B1505" s="14" t="str">
        <x:v>SKU-0134</x:v>
      </x:c>
      <x:c r="C1505" s="52" t="n">
        <x:v>14</x:v>
      </x:c>
      <x:c r="D1505" s="40" t="n">
        <x:v>388.87</x:v>
      </x:c>
      <x:c r="E1505" s="44" t="n">
        <x:f>C1505*D1505</x:f>
        <x:v>5444.18</x:v>
      </x:c>
      <x:c r="F1505" s="40" t="n">
        <x:v>254.76</x:v>
      </x:c>
      <x:c r="G1505" s="44" t="n">
        <x:f>C1505*F1505</x:f>
        <x:v>3566.64</x:v>
      </x:c>
      <x:c r="H1505" s="44" t="n">
        <x:f>E1505-G1505</x:f>
        <x:v>1877.5400000000004</x:v>
      </x:c>
      <x:c r="I1505" s="14" t="str">
        <x:v>Distributor</x:v>
      </x:c>
      <x:c r="J1505" s="14" t="str">
        <x:v>Northeast</x:v>
      </x:c>
    </x:row>
    <x:row r="1506">
      <x:c r="A1506" s="50" t="n">
        <x:v>46088</x:v>
      </x:c>
      <x:c r="B1506" s="14" t="str">
        <x:v>SKU-0089</x:v>
      </x:c>
      <x:c r="C1506" s="52" t="n">
        <x:v>1</x:v>
      </x:c>
      <x:c r="D1506" s="40" t="n">
        <x:v>68.92</x:v>
      </x:c>
      <x:c r="E1506" s="44" t="n">
        <x:f>C1506*D1506</x:f>
        <x:v>68.92</x:v>
      </x:c>
      <x:c r="F1506" s="40" t="n">
        <x:v>48.67</x:v>
      </x:c>
      <x:c r="G1506" s="44" t="n">
        <x:f>C1506*F1506</x:f>
        <x:v>48.67</x:v>
      </x:c>
      <x:c r="H1506" s="44" t="n">
        <x:f>E1506-G1506</x:f>
        <x:v>20.25</x:v>
      </x:c>
      <x:c r="I1506" s="14" t="str">
        <x:v>Distributor</x:v>
      </x:c>
      <x:c r="J1506" s="14" t="str">
        <x:v>Northeast</x:v>
      </x:c>
    </x:row>
    <x:row r="1507">
      <x:c r="A1507" s="50" t="n">
        <x:v>45955</x:v>
      </x:c>
      <x:c r="B1507" s="14" t="str">
        <x:v>SKU-0141</x:v>
      </x:c>
      <x:c r="C1507" s="52" t="n">
        <x:v>5</x:v>
      </x:c>
      <x:c r="D1507" s="40" t="n">
        <x:v>362.6</x:v>
      </x:c>
      <x:c r="E1507" s="44" t="n">
        <x:f>C1507*D1507</x:f>
        <x:v>1813</x:v>
      </x:c>
      <x:c r="F1507" s="40" t="n">
        <x:v>279.99</x:v>
      </x:c>
      <x:c r="G1507" s="44" t="n">
        <x:f>C1507*F1507</x:f>
        <x:v>1399.95</x:v>
      </x:c>
      <x:c r="H1507" s="44" t="n">
        <x:f>E1507-G1507</x:f>
        <x:v>413.04999999999995</x:v>
      </x:c>
      <x:c r="I1507" s="14" t="str">
        <x:v>SMB</x:v>
      </x:c>
      <x:c r="J1507" s="14" t="str">
        <x:v>West</x:v>
      </x:c>
    </x:row>
    <x:row r="1508">
      <x:c r="A1508" s="50" t="n">
        <x:v>45927</x:v>
      </x:c>
      <x:c r="B1508" s="14" t="str">
        <x:v>SKU-0069</x:v>
      </x:c>
      <x:c r="C1508" s="52" t="n">
        <x:v>16</x:v>
      </x:c>
      <x:c r="D1508" s="40" t="n">
        <x:v>380.08</x:v>
      </x:c>
      <x:c r="E1508" s="44" t="n">
        <x:f>C1508*D1508</x:f>
        <x:v>6081.28</x:v>
      </x:c>
      <x:c r="F1508" s="40" t="n">
        <x:v>277.23</x:v>
      </x:c>
      <x:c r="G1508" s="44" t="n">
        <x:f>C1508*F1508</x:f>
        <x:v>4435.68</x:v>
      </x:c>
      <x:c r="H1508" s="44" t="n">
        <x:f>E1508-G1508</x:f>
        <x:v>1645.5999999999995</x:v>
      </x:c>
      <x:c r="I1508" s="14" t="str">
        <x:v>Internal Use</x:v>
      </x:c>
      <x:c r="J1508" s="14" t="str">
        <x:v>Northeast</x:v>
      </x:c>
    </x:row>
    <x:row r="1509">
      <x:c r="A1509" s="50" t="n">
        <x:v>45887</x:v>
      </x:c>
      <x:c r="B1509" s="14" t="str">
        <x:v>SKU-0056</x:v>
      </x:c>
      <x:c r="C1509" s="52" t="n">
        <x:v>14</x:v>
      </x:c>
      <x:c r="D1509" s="40" t="n">
        <x:v>295.03</x:v>
      </x:c>
      <x:c r="E1509" s="44" t="n">
        <x:f>C1509*D1509</x:f>
        <x:v>4130.42</x:v>
      </x:c>
      <x:c r="F1509" s="40" t="n">
        <x:v>219.68</x:v>
      </x:c>
      <x:c r="G1509" s="44" t="n">
        <x:f>C1509*F1509</x:f>
        <x:v>3075.52</x:v>
      </x:c>
      <x:c r="H1509" s="44" t="n">
        <x:f>E1509-G1509</x:f>
        <x:v>1054.9</x:v>
      </x:c>
      <x:c r="I1509" s="14" t="str">
        <x:v>SMB</x:v>
      </x:c>
      <x:c r="J1509" s="14" t="str">
        <x:v>Southeast</x:v>
      </x:c>
    </x:row>
    <x:row r="1510">
      <x:c r="A1510" s="50" t="n">
        <x:v>46040</x:v>
      </x:c>
      <x:c r="B1510" s="14" t="str">
        <x:v>SKU-0136</x:v>
      </x:c>
      <x:c r="C1510" s="52" t="n">
        <x:v>14</x:v>
      </x:c>
      <x:c r="D1510" s="40" t="n">
        <x:v>139.25</x:v>
      </x:c>
      <x:c r="E1510" s="44" t="n">
        <x:f>C1510*D1510</x:f>
        <x:v>1949.5</x:v>
      </x:c>
      <x:c r="F1510" s="40" t="n">
        <x:v>105.97</x:v>
      </x:c>
      <x:c r="G1510" s="44" t="n">
        <x:f>C1510*F1510</x:f>
        <x:v>1483.58</x:v>
      </x:c>
      <x:c r="H1510" s="44" t="n">
        <x:f>E1510-G1510</x:f>
        <x:v>465.9200000000001</x:v>
      </x:c>
      <x:c r="I1510" s="14" t="str">
        <x:v>Distributor</x:v>
      </x:c>
      <x:c r="J1510" s="14" t="str">
        <x:v>West</x:v>
      </x:c>
    </x:row>
    <x:row r="1511">
      <x:c r="A1511" s="50" t="n">
        <x:v>45956</x:v>
      </x:c>
      <x:c r="B1511" s="14" t="str">
        <x:v>SKU-0139</x:v>
      </x:c>
      <x:c r="C1511" s="52" t="n">
        <x:v>1</x:v>
      </x:c>
      <x:c r="D1511" s="40" t="n">
        <x:v>265.17</x:v>
      </x:c>
      <x:c r="E1511" s="44" t="n">
        <x:f>C1511*D1511</x:f>
        <x:v>265.17</x:v>
      </x:c>
      <x:c r="F1511" s="40" t="n">
        <x:v>157.6</x:v>
      </x:c>
      <x:c r="G1511" s="44" t="n">
        <x:f>C1511*F1511</x:f>
        <x:v>157.6</x:v>
      </x:c>
      <x:c r="H1511" s="44" t="n">
        <x:f>E1511-G1511</x:f>
        <x:v>107.57000000000002</x:v>
      </x:c>
      <x:c r="I1511" s="14" t="str">
        <x:v>Distributor</x:v>
      </x:c>
      <x:c r="J1511" s="14" t="str">
        <x:v>Northeast</x:v>
      </x:c>
    </x:row>
    <x:row r="1512">
      <x:c r="A1512" s="50" t="n">
        <x:v>45964</x:v>
      </x:c>
      <x:c r="B1512" s="14" t="str">
        <x:v>SKU-0008</x:v>
      </x:c>
      <x:c r="C1512" s="52" t="n">
        <x:v>8</x:v>
      </x:c>
      <x:c r="D1512" s="40" t="n">
        <x:v>174.47</x:v>
      </x:c>
      <x:c r="E1512" s="44" t="n">
        <x:f>C1512*D1512</x:f>
        <x:v>1395.76</x:v>
      </x:c>
      <x:c r="F1512" s="40" t="n">
        <x:v>143.38</x:v>
      </x:c>
      <x:c r="G1512" s="44" t="n">
        <x:f>C1512*F1512</x:f>
        <x:v>1147.04</x:v>
      </x:c>
      <x:c r="H1512" s="44" t="n">
        <x:f>E1512-G1512</x:f>
        <x:v>248.72000000000003</x:v>
      </x:c>
      <x:c r="I1512" s="14" t="str">
        <x:v>Internal Use</x:v>
      </x:c>
      <x:c r="J1512" s="14" t="str">
        <x:v>West</x:v>
      </x:c>
    </x:row>
    <x:row r="1513">
      <x:c r="A1513" s="50" t="n">
        <x:v>45912</x:v>
      </x:c>
      <x:c r="B1513" s="14" t="str">
        <x:v>SKU-0100</x:v>
      </x:c>
      <x:c r="C1513" s="52" t="n">
        <x:v>26</x:v>
      </x:c>
      <x:c r="D1513" s="40" t="n">
        <x:v>178.34</x:v>
      </x:c>
      <x:c r="E1513" s="44" t="n">
        <x:f>C1513*D1513</x:f>
        <x:v>4636.84</x:v>
      </x:c>
      <x:c r="F1513" s="40" t="n">
        <x:v>108.23</x:v>
      </x:c>
      <x:c r="G1513" s="44" t="n">
        <x:f>C1513*F1513</x:f>
        <x:v>2813.98</x:v>
      </x:c>
      <x:c r="H1513" s="44" t="n">
        <x:f>E1513-G1513</x:f>
        <x:v>1822.8600000000001</x:v>
      </x:c>
      <x:c r="I1513" s="14" t="str">
        <x:v>Enterprise</x:v>
      </x:c>
      <x:c r="J1513" s="14" t="str">
        <x:v>Southeast</x:v>
      </x:c>
    </x:row>
    <x:row r="1514">
      <x:c r="A1514" s="50" t="n">
        <x:v>45893</x:v>
      </x:c>
      <x:c r="B1514" s="14" t="str">
        <x:v>SKU-0086</x:v>
      </x:c>
      <x:c r="C1514" s="52" t="n">
        <x:v>9</x:v>
      </x:c>
      <x:c r="D1514" s="40" t="n">
        <x:v>219.42</x:v>
      </x:c>
      <x:c r="E1514" s="44" t="n">
        <x:f>C1514*D1514</x:f>
        <x:v>1974.78</x:v>
      </x:c>
      <x:c r="F1514" s="40" t="n">
        <x:v>148.45</x:v>
      </x:c>
      <x:c r="G1514" s="44" t="n">
        <x:f>C1514*F1514</x:f>
        <x:v>1336.05</x:v>
      </x:c>
      <x:c r="H1514" s="44" t="n">
        <x:f>E1514-G1514</x:f>
        <x:v>638.73</x:v>
      </x:c>
      <x:c r="I1514" s="14" t="str">
        <x:v>Distributor</x:v>
      </x:c>
      <x:c r="J1514" s="14" t="str">
        <x:v>Northeast</x:v>
      </x:c>
    </x:row>
    <x:row r="1515">
      <x:c r="A1515" s="50" t="n">
        <x:v>45907</x:v>
      </x:c>
      <x:c r="B1515" s="14" t="str">
        <x:v>SKU-0083</x:v>
      </x:c>
      <x:c r="C1515" s="52" t="n">
        <x:v>6</x:v>
      </x:c>
      <x:c r="D1515" s="40" t="n">
        <x:v>207.8</x:v>
      </x:c>
      <x:c r="E1515" s="44" t="n">
        <x:f>C1515*D1515</x:f>
        <x:v>1246.8000000000002</x:v>
      </x:c>
      <x:c r="F1515" s="40" t="n">
        <x:v>126.42</x:v>
      </x:c>
      <x:c r="G1515" s="44" t="n">
        <x:f>C1515*F1515</x:f>
        <x:v>758.52</x:v>
      </x:c>
      <x:c r="H1515" s="44" t="n">
        <x:f>E1515-G1515</x:f>
        <x:v>488.2800000000002</x:v>
      </x:c>
      <x:c r="I1515" s="14" t="str">
        <x:v>SMB</x:v>
      </x:c>
      <x:c r="J1515" s="14" t="str">
        <x:v>West</x:v>
      </x:c>
    </x:row>
    <x:row r="1516">
      <x:c r="A1516" s="50" t="n">
        <x:v>46201</x:v>
      </x:c>
      <x:c r="B1516" s="14" t="str">
        <x:v>SKU-0106</x:v>
      </x:c>
      <x:c r="C1516" s="52" t="n">
        <x:v>1</x:v>
      </x:c>
      <x:c r="D1516" s="40" t="n">
        <x:v>285.18</x:v>
      </x:c>
      <x:c r="E1516" s="44" t="n">
        <x:f>C1516*D1516</x:f>
        <x:v>285.18</x:v>
      </x:c>
      <x:c r="F1516" s="40" t="n">
        <x:v>220.84</x:v>
      </x:c>
      <x:c r="G1516" s="44" t="n">
        <x:f>C1516*F1516</x:f>
        <x:v>220.84</x:v>
      </x:c>
      <x:c r="H1516" s="44" t="n">
        <x:f>E1516-G1516</x:f>
        <x:v>64.34</x:v>
      </x:c>
      <x:c r="I1516" s="14" t="str">
        <x:v>Distributor</x:v>
      </x:c>
      <x:c r="J1516" s="14" t="str">
        <x:v>Midwest</x:v>
      </x:c>
    </x:row>
    <x:row r="1517">
      <x:c r="A1517" s="50" t="n">
        <x:v>46133</x:v>
      </x:c>
      <x:c r="B1517" s="14" t="str">
        <x:v>SKU-0005</x:v>
      </x:c>
      <x:c r="C1517" s="52" t="n">
        <x:v>7</x:v>
      </x:c>
      <x:c r="D1517" s="40" t="n">
        <x:v>336.49</x:v>
      </x:c>
      <x:c r="E1517" s="44" t="n">
        <x:f>C1517*D1517</x:f>
        <x:v>2355.4300000000003</x:v>
      </x:c>
      <x:c r="F1517" s="40" t="n">
        <x:v>176.62</x:v>
      </x:c>
      <x:c r="G1517" s="44" t="n">
        <x:f>C1517*F1517</x:f>
        <x:v>1236.3400000000001</x:v>
      </x:c>
      <x:c r="H1517" s="44" t="n">
        <x:f>E1517-G1517</x:f>
        <x:v>1119.0900000000001</x:v>
      </x:c>
      <x:c r="I1517" s="14" t="str">
        <x:v>Enterprise</x:v>
      </x:c>
      <x:c r="J1517" s="14" t="str">
        <x:v>West</x:v>
      </x:c>
    </x:row>
    <x:row r="1518">
      <x:c r="A1518" s="50" t="n">
        <x:v>46086</x:v>
      </x:c>
      <x:c r="B1518" s="14" t="str">
        <x:v>SKU-0036</x:v>
      </x:c>
      <x:c r="C1518" s="52" t="n">
        <x:v>16</x:v>
      </x:c>
      <x:c r="D1518" s="40" t="n">
        <x:v>255.09</x:v>
      </x:c>
      <x:c r="E1518" s="44" t="n">
        <x:f>C1518*D1518</x:f>
        <x:v>4081.44</x:v>
      </x:c>
      <x:c r="F1518" s="40" t="n">
        <x:v>122.19</x:v>
      </x:c>
      <x:c r="G1518" s="44" t="n">
        <x:f>C1518*F1518</x:f>
        <x:v>1955.04</x:v>
      </x:c>
      <x:c r="H1518" s="44" t="n">
        <x:f>E1518-G1518</x:f>
        <x:v>2126.4</x:v>
      </x:c>
      <x:c r="I1518" s="14" t="str">
        <x:v>SMB</x:v>
      </x:c>
      <x:c r="J1518" s="14" t="str">
        <x:v>Midwest</x:v>
      </x:c>
    </x:row>
    <x:row r="1519">
      <x:c r="A1519" s="50" t="n">
        <x:v>46164</x:v>
      </x:c>
      <x:c r="B1519" s="14" t="str">
        <x:v>SKU-0005</x:v>
      </x:c>
      <x:c r="C1519" s="52" t="n">
        <x:v>45</x:v>
      </x:c>
      <x:c r="D1519" s="40" t="n">
        <x:v>341.83</x:v>
      </x:c>
      <x:c r="E1519" s="44" t="n">
        <x:f>C1519*D1519</x:f>
        <x:v>15382.349999999999</x:v>
      </x:c>
      <x:c r="F1519" s="40" t="n">
        <x:v>176.62</x:v>
      </x:c>
      <x:c r="G1519" s="44" t="n">
        <x:f>C1519*F1519</x:f>
        <x:v>7947.900000000001</x:v>
      </x:c>
      <x:c r="H1519" s="44" t="n">
        <x:f>E1519-G1519</x:f>
        <x:v>7434.449999999998</x:v>
      </x:c>
      <x:c r="I1519" s="14" t="str">
        <x:v>Internal Use</x:v>
      </x:c>
      <x:c r="J1519" s="14" t="str">
        <x:v>West</x:v>
      </x:c>
    </x:row>
    <x:row r="1520">
      <x:c r="A1520" s="50" t="n">
        <x:v>45962</x:v>
      </x:c>
      <x:c r="B1520" s="14" t="str">
        <x:v>SKU-0013</x:v>
      </x:c>
      <x:c r="C1520" s="52" t="n">
        <x:v>34</x:v>
      </x:c>
      <x:c r="D1520" s="40" t="n">
        <x:v>35.59</x:v>
      </x:c>
      <x:c r="E1520" s="44" t="n">
        <x:f>C1520*D1520</x:f>
        <x:v>1210.0600000000002</x:v>
      </x:c>
      <x:c r="F1520" s="40" t="n">
        <x:v>22.2</x:v>
      </x:c>
      <x:c r="G1520" s="44" t="n">
        <x:f>C1520*F1520</x:f>
        <x:v>754.8</x:v>
      </x:c>
      <x:c r="H1520" s="44" t="n">
        <x:f>E1520-G1520</x:f>
        <x:v>455.2600000000002</x:v>
      </x:c>
      <x:c r="I1520" s="14" t="str">
        <x:v>Distributor</x:v>
      </x:c>
      <x:c r="J1520" s="14" t="str">
        <x:v>Northeast</x:v>
      </x:c>
    </x:row>
    <x:row r="1521">
      <x:c r="A1521" s="50" t="n">
        <x:v>46148</x:v>
      </x:c>
      <x:c r="B1521" s="14" t="str">
        <x:v>SKU-0102</x:v>
      </x:c>
      <x:c r="C1521" s="52" t="n">
        <x:v>12</x:v>
      </x:c>
      <x:c r="D1521" s="40" t="n">
        <x:v>376.93</x:v>
      </x:c>
      <x:c r="E1521" s="44" t="n">
        <x:f>C1521*D1521</x:f>
        <x:v>4523.16</x:v>
      </x:c>
      <x:c r="F1521" s="40" t="n">
        <x:v>278.87</x:v>
      </x:c>
      <x:c r="G1521" s="44" t="n">
        <x:f>C1521*F1521</x:f>
        <x:v>3346.44</x:v>
      </x:c>
      <x:c r="H1521" s="44" t="n">
        <x:f>E1521-G1521</x:f>
        <x:v>1176.7199999999998</x:v>
      </x:c>
      <x:c r="I1521" s="14" t="str">
        <x:v>SMB</x:v>
      </x:c>
      <x:c r="J1521" s="14" t="str">
        <x:v>Southeast</x:v>
      </x:c>
    </x:row>
    <x:row r="1522">
      <x:c r="A1522" s="50" t="n">
        <x:v>45998</x:v>
      </x:c>
      <x:c r="B1522" s="14" t="str">
        <x:v>SKU-0117</x:v>
      </x:c>
      <x:c r="C1522" s="52" t="n">
        <x:v>22</x:v>
      </x:c>
      <x:c r="D1522" s="40" t="n">
        <x:v>196.52</x:v>
      </x:c>
      <x:c r="E1522" s="44" t="n">
        <x:f>C1522*D1522</x:f>
        <x:v>4323.4400000000005</x:v>
      </x:c>
      <x:c r="F1522" s="40" t="n">
        <x:v>143.31</x:v>
      </x:c>
      <x:c r="G1522" s="44" t="n">
        <x:f>C1522*F1522</x:f>
        <x:v>3152.82</x:v>
      </x:c>
      <x:c r="H1522" s="44" t="n">
        <x:f>E1522-G1522</x:f>
        <x:v>1170.6200000000003</x:v>
      </x:c>
      <x:c r="I1522" s="14" t="str">
        <x:v>SMB</x:v>
      </x:c>
      <x:c r="J1522" s="14" t="str">
        <x:v>Midwest</x:v>
      </x:c>
    </x:row>
    <x:row r="1523">
      <x:c r="A1523" s="50" t="n">
        <x:v>45935</x:v>
      </x:c>
      <x:c r="B1523" s="14" t="str">
        <x:v>SKU-0103</x:v>
      </x:c>
      <x:c r="C1523" s="52" t="n">
        <x:v>4</x:v>
      </x:c>
      <x:c r="D1523" s="40" t="n">
        <x:v>266.62</x:v>
      </x:c>
      <x:c r="E1523" s="44" t="n">
        <x:f>C1523*D1523</x:f>
        <x:v>1066.48</x:v>
      </x:c>
      <x:c r="F1523" s="40" t="n">
        <x:v>208.48</x:v>
      </x:c>
      <x:c r="G1523" s="44" t="n">
        <x:f>C1523*F1523</x:f>
        <x:v>833.92</x:v>
      </x:c>
      <x:c r="H1523" s="44" t="n">
        <x:f>E1523-G1523</x:f>
        <x:v>232.56000000000006</x:v>
      </x:c>
      <x:c r="I1523" s="14" t="str">
        <x:v>SMB</x:v>
      </x:c>
      <x:c r="J1523" s="14" t="str">
        <x:v>Southeast</x:v>
      </x:c>
    </x:row>
    <x:row r="1524">
      <x:c r="A1524" s="50" t="n">
        <x:v>45920</x:v>
      </x:c>
      <x:c r="B1524" s="14" t="str">
        <x:v>SKU-0027</x:v>
      </x:c>
      <x:c r="C1524" s="52" t="n">
        <x:v>4</x:v>
      </x:c>
      <x:c r="D1524" s="40" t="n">
        <x:v>301.68</x:v>
      </x:c>
      <x:c r="E1524" s="44" t="n">
        <x:f>C1524*D1524</x:f>
        <x:v>1206.72</x:v>
      </x:c>
      <x:c r="F1524" s="40" t="n">
        <x:v>138.07</x:v>
      </x:c>
      <x:c r="G1524" s="44" t="n">
        <x:f>C1524*F1524</x:f>
        <x:v>552.28</x:v>
      </x:c>
      <x:c r="H1524" s="44" t="n">
        <x:f>E1524-G1524</x:f>
        <x:v>654.44</x:v>
      </x:c>
      <x:c r="I1524" s="14" t="str">
        <x:v>SMB</x:v>
      </x:c>
      <x:c r="J1524" s="14" t="str">
        <x:v>West</x:v>
      </x:c>
    </x:row>
    <x:row r="1525">
      <x:c r="A1525" s="50" t="n">
        <x:v>46159</x:v>
      </x:c>
      <x:c r="B1525" s="14" t="str">
        <x:v>SKU-0127</x:v>
      </x:c>
      <x:c r="C1525" s="52" t="n">
        <x:v>10</x:v>
      </x:c>
      <x:c r="D1525" s="40" t="n">
        <x:v>243.36</x:v>
      </x:c>
      <x:c r="E1525" s="44" t="n">
        <x:f>C1525*D1525</x:f>
        <x:v>2433.6000000000004</x:v>
      </x:c>
      <x:c r="F1525" s="40" t="n">
        <x:v>114.9</x:v>
      </x:c>
      <x:c r="G1525" s="44" t="n">
        <x:f>C1525*F1525</x:f>
        <x:v>1149</x:v>
      </x:c>
      <x:c r="H1525" s="44" t="n">
        <x:f>E1525-G1525</x:f>
        <x:v>1284.6000000000004</x:v>
      </x:c>
      <x:c r="I1525" s="14" t="str">
        <x:v>SMB</x:v>
      </x:c>
      <x:c r="J1525" s="14" t="str">
        <x:v>West</x:v>
      </x:c>
    </x:row>
    <x:row r="1526">
      <x:c r="A1526" s="50" t="n">
        <x:v>46221</x:v>
      </x:c>
      <x:c r="B1526" s="14" t="str">
        <x:v>SKU-0020</x:v>
      </x:c>
      <x:c r="C1526" s="52" t="n">
        <x:v>9</x:v>
      </x:c>
      <x:c r="D1526" s="40" t="n">
        <x:v>267.62</x:v>
      </x:c>
      <x:c r="E1526" s="44" t="n">
        <x:f>C1526*D1526</x:f>
        <x:v>2408.58</x:v>
      </x:c>
      <x:c r="F1526" s="40" t="n">
        <x:v>163.22</x:v>
      </x:c>
      <x:c r="G1526" s="44" t="n">
        <x:f>C1526*F1526</x:f>
        <x:v>1468.98</x:v>
      </x:c>
      <x:c r="H1526" s="44" t="n">
        <x:f>E1526-G1526</x:f>
        <x:v>939.5999999999999</x:v>
      </x:c>
      <x:c r="I1526" s="14" t="str">
        <x:v>SMB</x:v>
      </x:c>
      <x:c r="J1526" s="14" t="str">
        <x:v>Midwest</x:v>
      </x:c>
    </x:row>
    <x:row r="1527">
      <x:c r="A1527" s="50" t="n">
        <x:v>45952</x:v>
      </x:c>
      <x:c r="B1527" s="14" t="str">
        <x:v>SKU-0013</x:v>
      </x:c>
      <x:c r="C1527" s="52" t="n">
        <x:v>18</x:v>
      </x:c>
      <x:c r="D1527" s="40" t="n">
        <x:v>35.45</x:v>
      </x:c>
      <x:c r="E1527" s="44" t="n">
        <x:f>C1527*D1527</x:f>
        <x:v>638.1</x:v>
      </x:c>
      <x:c r="F1527" s="40" t="n">
        <x:v>22.2</x:v>
      </x:c>
      <x:c r="G1527" s="44" t="n">
        <x:f>C1527*F1527</x:f>
        <x:v>399.59999999999997</x:v>
      </x:c>
      <x:c r="H1527" s="44" t="n">
        <x:f>E1527-G1527</x:f>
        <x:v>238.50000000000006</x:v>
      </x:c>
      <x:c r="I1527" s="14" t="str">
        <x:v>Enterprise</x:v>
      </x:c>
      <x:c r="J1527" s="14" t="str">
        <x:v>West</x:v>
      </x:c>
    </x:row>
    <x:row r="1528">
      <x:c r="A1528" s="50" t="n">
        <x:v>46025</x:v>
      </x:c>
      <x:c r="B1528" s="14" t="str">
        <x:v>SKU-0071</x:v>
      </x:c>
      <x:c r="C1528" s="52" t="n">
        <x:v>5</x:v>
      </x:c>
      <x:c r="D1528" s="40" t="n">
        <x:v>337.49</x:v>
      </x:c>
      <x:c r="E1528" s="44" t="n">
        <x:f>C1528*D1528</x:f>
        <x:v>1687.45</x:v>
      </x:c>
      <x:c r="F1528" s="40" t="n">
        <x:v>198.68</x:v>
      </x:c>
      <x:c r="G1528" s="44" t="n">
        <x:f>C1528*F1528</x:f>
        <x:v>993.4000000000001</x:v>
      </x:c>
      <x:c r="H1528" s="44" t="n">
        <x:f>E1528-G1528</x:f>
        <x:v>694.05</x:v>
      </x:c>
      <x:c r="I1528" s="14" t="str">
        <x:v>Internal Use</x:v>
      </x:c>
      <x:c r="J1528" s="14" t="str">
        <x:v>Northeast</x:v>
      </x:c>
    </x:row>
    <x:row r="1529">
      <x:c r="A1529" s="50" t="n">
        <x:v>46117</x:v>
      </x:c>
      <x:c r="B1529" s="14" t="str">
        <x:v>SKU-0037</x:v>
      </x:c>
      <x:c r="C1529" s="52" t="n">
        <x:v>17</x:v>
      </x:c>
      <x:c r="D1529" s="40" t="n">
        <x:v>171.72</x:v>
      </x:c>
      <x:c r="E1529" s="44" t="n">
        <x:f>C1529*D1529</x:f>
        <x:v>2919.24</x:v>
      </x:c>
      <x:c r="F1529" s="40" t="n">
        <x:v>115.83</x:v>
      </x:c>
      <x:c r="G1529" s="44" t="n">
        <x:f>C1529*F1529</x:f>
        <x:v>1969.11</x:v>
      </x:c>
      <x:c r="H1529" s="44" t="n">
        <x:f>E1529-G1529</x:f>
        <x:v>950.1299999999999</x:v>
      </x:c>
      <x:c r="I1529" s="14" t="str">
        <x:v>SMB</x:v>
      </x:c>
      <x:c r="J1529" s="14" t="str">
        <x:v>Northeast</x:v>
      </x:c>
    </x:row>
    <x:row r="1530">
      <x:c r="A1530" s="50" t="n">
        <x:v>45962</x:v>
      </x:c>
      <x:c r="B1530" s="14" t="str">
        <x:v>SKU-0004</x:v>
      </x:c>
      <x:c r="C1530" s="52" t="n">
        <x:v>43</x:v>
      </x:c>
      <x:c r="D1530" s="40" t="n">
        <x:v>369.61</x:v>
      </x:c>
      <x:c r="E1530" s="44" t="n">
        <x:f>C1530*D1530</x:f>
        <x:v>15893.230000000001</x:v>
      </x:c>
      <x:c r="F1530" s="40" t="n">
        <x:v>164.72</x:v>
      </x:c>
      <x:c r="G1530" s="44" t="n">
        <x:f>C1530*F1530</x:f>
        <x:v>7082.96</x:v>
      </x:c>
      <x:c r="H1530" s="44" t="n">
        <x:f>E1530-G1530</x:f>
        <x:v>8810.27</x:v>
      </x:c>
      <x:c r="I1530" s="14" t="str">
        <x:v>SMB</x:v>
      </x:c>
      <x:c r="J1530" s="14" t="str">
        <x:v>Northeast</x:v>
      </x:c>
    </x:row>
    <x:row r="1531">
      <x:c r="A1531" s="50" t="n">
        <x:v>46013</x:v>
      </x:c>
      <x:c r="B1531" s="14" t="str">
        <x:v>SKU-0050</x:v>
      </x:c>
      <x:c r="C1531" s="52" t="n">
        <x:v>24</x:v>
      </x:c>
      <x:c r="D1531" s="40" t="n">
        <x:v>305.16</x:v>
      </x:c>
      <x:c r="E1531" s="44" t="n">
        <x:f>C1531*D1531</x:f>
        <x:v>7323.84</x:v>
      </x:c>
      <x:c r="F1531" s="40" t="n">
        <x:v>150.72</x:v>
      </x:c>
      <x:c r="G1531" s="44" t="n">
        <x:f>C1531*F1531</x:f>
        <x:v>3617.2799999999997</x:v>
      </x:c>
      <x:c r="H1531" s="44" t="n">
        <x:f>E1531-G1531</x:f>
        <x:v>3706.5600000000004</x:v>
      </x:c>
      <x:c r="I1531" s="14" t="str">
        <x:v>Distributor</x:v>
      </x:c>
      <x:c r="J1531" s="14" t="str">
        <x:v>West</x:v>
      </x:c>
    </x:row>
    <x:row r="1532">
      <x:c r="A1532" s="50" t="n">
        <x:v>45999</x:v>
      </x:c>
      <x:c r="B1532" s="14" t="str">
        <x:v>SKU-0113</x:v>
      </x:c>
      <x:c r="C1532" s="52" t="n">
        <x:v>1</x:v>
      </x:c>
      <x:c r="D1532" s="40" t="n">
        <x:v>269.21</x:v>
      </x:c>
      <x:c r="E1532" s="44" t="n">
        <x:f>C1532*D1532</x:f>
        <x:v>269.21</x:v>
      </x:c>
      <x:c r="F1532" s="40" t="n">
        <x:v>222.58</x:v>
      </x:c>
      <x:c r="G1532" s="44" t="n">
        <x:f>C1532*F1532</x:f>
        <x:v>222.58</x:v>
      </x:c>
      <x:c r="H1532" s="44" t="n">
        <x:f>E1532-G1532</x:f>
        <x:v>46.62999999999997</x:v>
      </x:c>
      <x:c r="I1532" s="14" t="str">
        <x:v>Enterprise</x:v>
      </x:c>
      <x:c r="J1532" s="14" t="str">
        <x:v>Southeast</x:v>
      </x:c>
    </x:row>
    <x:row r="1533">
      <x:c r="A1533" s="50" t="n">
        <x:v>46228</x:v>
      </x:c>
      <x:c r="B1533" s="14" t="str">
        <x:v>SKU-0140</x:v>
      </x:c>
      <x:c r="C1533" s="52" t="n">
        <x:v>28</x:v>
      </x:c>
      <x:c r="D1533" s="40" t="n">
        <x:v>290.74</x:v>
      </x:c>
      <x:c r="E1533" s="44" t="n">
        <x:f>C1533*D1533</x:f>
        <x:v>8140.72</x:v>
      </x:c>
      <x:c r="F1533" s="40" t="n">
        <x:v>188.55</x:v>
      </x:c>
      <x:c r="G1533" s="44" t="n">
        <x:f>C1533*F1533</x:f>
        <x:v>5279.400000000001</x:v>
      </x:c>
      <x:c r="H1533" s="44" t="n">
        <x:f>E1533-G1533</x:f>
        <x:v>2861.3199999999997</x:v>
      </x:c>
      <x:c r="I1533" s="14" t="str">
        <x:v>Internal Use</x:v>
      </x:c>
      <x:c r="J1533" s="14" t="str">
        <x:v>Northeast</x:v>
      </x:c>
    </x:row>
    <x:row r="1534">
      <x:c r="A1534" s="50" t="n">
        <x:v>46239</x:v>
      </x:c>
      <x:c r="B1534" s="14" t="str">
        <x:v>SKU-0127</x:v>
      </x:c>
      <x:c r="C1534" s="52" t="n">
        <x:v>13</x:v>
      </x:c>
      <x:c r="D1534" s="40" t="n">
        <x:v>255.58</x:v>
      </x:c>
      <x:c r="E1534" s="44" t="n">
        <x:f>C1534*D1534</x:f>
        <x:v>3322.54</x:v>
      </x:c>
      <x:c r="F1534" s="40" t="n">
        <x:v>114.9</x:v>
      </x:c>
      <x:c r="G1534" s="44" t="n">
        <x:f>C1534*F1534</x:f>
        <x:v>1493.7</x:v>
      </x:c>
      <x:c r="H1534" s="44" t="n">
        <x:f>E1534-G1534</x:f>
        <x:v>1828.84</x:v>
      </x:c>
      <x:c r="I1534" s="14" t="str">
        <x:v>Enterprise</x:v>
      </x:c>
      <x:c r="J1534" s="14" t="str">
        <x:v>West</x:v>
      </x:c>
    </x:row>
    <x:row r="1535">
      <x:c r="A1535" s="50" t="n">
        <x:v>46238</x:v>
      </x:c>
      <x:c r="B1535" s="14" t="str">
        <x:v>SKU-0123</x:v>
      </x:c>
      <x:c r="C1535" s="52" t="n">
        <x:v>8</x:v>
      </x:c>
      <x:c r="D1535" s="40" t="n">
        <x:v>168.51</x:v>
      </x:c>
      <x:c r="E1535" s="44" t="n">
        <x:f>C1535*D1535</x:f>
        <x:v>1348.08</x:v>
      </x:c>
      <x:c r="F1535" s="40" t="n">
        <x:v>121.8</x:v>
      </x:c>
      <x:c r="G1535" s="44" t="n">
        <x:f>C1535*F1535</x:f>
        <x:v>974.4</x:v>
      </x:c>
      <x:c r="H1535" s="44" t="n">
        <x:f>E1535-G1535</x:f>
        <x:v>373.67999999999995</x:v>
      </x:c>
      <x:c r="I1535" s="14" t="str">
        <x:v>SMB</x:v>
      </x:c>
      <x:c r="J1535" s="14" t="str">
        <x:v>Northeast</x:v>
      </x:c>
    </x:row>
    <x:row r="1536">
      <x:c r="A1536" s="50" t="n">
        <x:v>45881</x:v>
      </x:c>
      <x:c r="B1536" s="14" t="str">
        <x:v>SKU-0094</x:v>
      </x:c>
      <x:c r="C1536" s="52" t="n">
        <x:v>7</x:v>
      </x:c>
      <x:c r="D1536" s="40" t="n">
        <x:v>10.01</x:v>
      </x:c>
      <x:c r="E1536" s="44" t="n">
        <x:f>C1536*D1536</x:f>
        <x:v>70.07</x:v>
      </x:c>
      <x:c r="F1536" s="40" t="n">
        <x:v>4.75</x:v>
      </x:c>
      <x:c r="G1536" s="44" t="n">
        <x:f>C1536*F1536</x:f>
        <x:v>33.25</x:v>
      </x:c>
      <x:c r="H1536" s="44" t="n">
        <x:f>E1536-G1536</x:f>
        <x:v>36.81999999999999</x:v>
      </x:c>
      <x:c r="I1536" s="14" t="str">
        <x:v>SMB</x:v>
      </x:c>
      <x:c r="J1536" s="14" t="str">
        <x:v>Southeast</x:v>
      </x:c>
    </x:row>
    <x:row r="1537">
      <x:c r="A1537" s="50" t="n">
        <x:v>46202</x:v>
      </x:c>
      <x:c r="B1537" s="14" t="str">
        <x:v>SKU-0058</x:v>
      </x:c>
      <x:c r="C1537" s="52" t="n">
        <x:v>4</x:v>
      </x:c>
      <x:c r="D1537" s="40" t="n">
        <x:v>342.36</x:v>
      </x:c>
      <x:c r="E1537" s="44" t="n">
        <x:f>C1537*D1537</x:f>
        <x:v>1369.44</x:v>
      </x:c>
      <x:c r="F1537" s="40" t="n">
        <x:v>226.78</x:v>
      </x:c>
      <x:c r="G1537" s="44" t="n">
        <x:f>C1537*F1537</x:f>
        <x:v>907.12</x:v>
      </x:c>
      <x:c r="H1537" s="44" t="n">
        <x:f>E1537-G1537</x:f>
        <x:v>462.32000000000005</x:v>
      </x:c>
      <x:c r="I1537" s="14" t="str">
        <x:v>Internal Use</x:v>
      </x:c>
      <x:c r="J1537" s="14" t="str">
        <x:v>Midwest</x:v>
      </x:c>
    </x:row>
    <x:row r="1538">
      <x:c r="A1538" s="50" t="n">
        <x:v>46051</x:v>
      </x:c>
      <x:c r="B1538" s="14" t="str">
        <x:v>SKU-0004</x:v>
      </x:c>
      <x:c r="C1538" s="52" t="n">
        <x:v>9</x:v>
      </x:c>
      <x:c r="D1538" s="40" t="n">
        <x:v>327.29</x:v>
      </x:c>
      <x:c r="E1538" s="44" t="n">
        <x:f>C1538*D1538</x:f>
        <x:v>2945.61</x:v>
      </x:c>
      <x:c r="F1538" s="40" t="n">
        <x:v>164.72</x:v>
      </x:c>
      <x:c r="G1538" s="44" t="n">
        <x:f>C1538*F1538</x:f>
        <x:v>1482.48</x:v>
      </x:c>
      <x:c r="H1538" s="44" t="n">
        <x:f>E1538-G1538</x:f>
        <x:v>1463.13</x:v>
      </x:c>
      <x:c r="I1538" s="14" t="str">
        <x:v>Distributor</x:v>
      </x:c>
      <x:c r="J1538" s="14" t="str">
        <x:v>West</x:v>
      </x:c>
    </x:row>
    <x:row r="1539">
      <x:c r="A1539" s="50" t="n">
        <x:v>45956</x:v>
      </x:c>
      <x:c r="B1539" s="14" t="str">
        <x:v>SKU-0146</x:v>
      </x:c>
      <x:c r="C1539" s="52" t="n">
        <x:v>17</x:v>
      </x:c>
      <x:c r="D1539" s="40" t="n">
        <x:v>496.47</x:v>
      </x:c>
      <x:c r="E1539" s="44" t="n">
        <x:f>C1539*D1539</x:f>
        <x:v>8439.99</x:v>
      </x:c>
      <x:c r="F1539" s="40" t="n">
        <x:v>261.77</x:v>
      </x:c>
      <x:c r="G1539" s="44" t="n">
        <x:f>C1539*F1539</x:f>
        <x:v>4450.09</x:v>
      </x:c>
      <x:c r="H1539" s="44" t="n">
        <x:f>E1539-G1539</x:f>
        <x:v>3989.8999999999996</x:v>
      </x:c>
      <x:c r="I1539" s="14" t="str">
        <x:v>SMB</x:v>
      </x:c>
      <x:c r="J1539" s="14" t="str">
        <x:v>Northeast</x:v>
      </x:c>
    </x:row>
    <x:row r="1540">
      <x:c r="A1540" s="50" t="n">
        <x:v>45951</x:v>
      </x:c>
      <x:c r="B1540" s="14" t="str">
        <x:v>SKU-0147</x:v>
      </x:c>
      <x:c r="C1540" s="52" t="n">
        <x:v>6</x:v>
      </x:c>
      <x:c r="D1540" s="40" t="n">
        <x:v>59.39</x:v>
      </x:c>
      <x:c r="E1540" s="44" t="n">
        <x:f>C1540*D1540</x:f>
        <x:v>356.34000000000003</x:v>
      </x:c>
      <x:c r="F1540" s="40" t="n">
        <x:v>27.95</x:v>
      </x:c>
      <x:c r="G1540" s="44" t="n">
        <x:f>C1540*F1540</x:f>
        <x:v>167.7</x:v>
      </x:c>
      <x:c r="H1540" s="44" t="n">
        <x:f>E1540-G1540</x:f>
        <x:v>188.64000000000004</x:v>
      </x:c>
      <x:c r="I1540" s="14" t="str">
        <x:v>Enterprise</x:v>
      </x:c>
      <x:c r="J1540" s="14" t="str">
        <x:v>Midwest</x:v>
      </x:c>
    </x:row>
    <x:row r="1541">
      <x:c r="A1541" s="50" t="n">
        <x:v>46100</x:v>
      </x:c>
      <x:c r="B1541" s="14" t="str">
        <x:v>SKU-0061</x:v>
      </x:c>
      <x:c r="C1541" s="52" t="n">
        <x:v>13</x:v>
      </x:c>
      <x:c r="D1541" s="40" t="n">
        <x:v>329.61</x:v>
      </x:c>
      <x:c r="E1541" s="44" t="n">
        <x:f>C1541*D1541</x:f>
        <x:v>4284.93</x:v>
      </x:c>
      <x:c r="F1541" s="40" t="n">
        <x:v>202.32</x:v>
      </x:c>
      <x:c r="G1541" s="44" t="n">
        <x:f>C1541*F1541</x:f>
        <x:v>2630.16</x:v>
      </x:c>
      <x:c r="H1541" s="44" t="n">
        <x:f>E1541-G1541</x:f>
        <x:v>1654.7700000000004</x:v>
      </x:c>
      <x:c r="I1541" s="14" t="str">
        <x:v>Enterprise</x:v>
      </x:c>
      <x:c r="J1541" s="14" t="str">
        <x:v>Southeast</x:v>
      </x:c>
    </x:row>
    <x:row r="1542">
      <x:c r="A1542" s="50" t="n">
        <x:v>45899</x:v>
      </x:c>
      <x:c r="B1542" s="14" t="str">
        <x:v>SKU-0033</x:v>
      </x:c>
      <x:c r="C1542" s="52" t="n">
        <x:v>6</x:v>
      </x:c>
      <x:c r="D1542" s="40" t="n">
        <x:v>283.15</x:v>
      </x:c>
      <x:c r="E1542" s="44" t="n">
        <x:f>C1542*D1542</x:f>
        <x:v>1698.8999999999999</x:v>
      </x:c>
      <x:c r="F1542" s="40" t="n">
        <x:v>185.66</x:v>
      </x:c>
      <x:c r="G1542" s="44" t="n">
        <x:f>C1542*F1542</x:f>
        <x:v>1113.96</x:v>
      </x:c>
      <x:c r="H1542" s="44" t="n">
        <x:f>E1542-G1542</x:f>
        <x:v>584.9399999999998</x:v>
      </x:c>
      <x:c r="I1542" s="14" t="str">
        <x:v>Distributor</x:v>
      </x:c>
      <x:c r="J1542" s="14" t="str">
        <x:v>Midwest</x:v>
      </x:c>
    </x:row>
    <x:row r="1543">
      <x:c r="A1543" s="50" t="n">
        <x:v>46032</x:v>
      </x:c>
      <x:c r="B1543" s="14" t="str">
        <x:v>SKU-0034</x:v>
      </x:c>
      <x:c r="C1543" s="52" t="n">
        <x:v>19</x:v>
      </x:c>
      <x:c r="D1543" s="40" t="n">
        <x:v>80.73</x:v>
      </x:c>
      <x:c r="E1543" s="44" t="n">
        <x:f>C1543*D1543</x:f>
        <x:v>1533.8700000000001</x:v>
      </x:c>
      <x:c r="F1543" s="40" t="n">
        <x:v>34.51</x:v>
      </x:c>
      <x:c r="G1543" s="44" t="n">
        <x:f>C1543*F1543</x:f>
        <x:v>655.6899999999999</x:v>
      </x:c>
      <x:c r="H1543" s="44" t="n">
        <x:f>E1543-G1543</x:f>
        <x:v>878.1800000000002</x:v>
      </x:c>
      <x:c r="I1543" s="14" t="str">
        <x:v>Enterprise</x:v>
      </x:c>
      <x:c r="J1543" s="14" t="str">
        <x:v>Northeast</x:v>
      </x:c>
    </x:row>
    <x:row r="1544">
      <x:c r="A1544" s="50" t="n">
        <x:v>46057</x:v>
      </x:c>
      <x:c r="B1544" s="14" t="str">
        <x:v>SKU-0073</x:v>
      </x:c>
      <x:c r="C1544" s="52" t="n">
        <x:v>7</x:v>
      </x:c>
      <x:c r="D1544" s="40" t="n">
        <x:v>65.84</x:v>
      </x:c>
      <x:c r="E1544" s="44" t="n">
        <x:f>C1544*D1544</x:f>
        <x:v>460.88</x:v>
      </x:c>
      <x:c r="F1544" s="40" t="n">
        <x:v>37.01</x:v>
      </x:c>
      <x:c r="G1544" s="44" t="n">
        <x:f>C1544*F1544</x:f>
        <x:v>259.07</x:v>
      </x:c>
      <x:c r="H1544" s="44" t="n">
        <x:f>E1544-G1544</x:f>
        <x:v>201.81</x:v>
      </x:c>
      <x:c r="I1544" s="14" t="str">
        <x:v>Enterprise</x:v>
      </x:c>
      <x:c r="J1544" s="14" t="str">
        <x:v>West</x:v>
      </x:c>
    </x:row>
    <x:row r="1545">
      <x:c r="A1545" s="50" t="n">
        <x:v>46062</x:v>
      </x:c>
      <x:c r="B1545" s="14" t="str">
        <x:v>SKU-0024</x:v>
      </x:c>
      <x:c r="C1545" s="52" t="n">
        <x:v>19</x:v>
      </x:c>
      <x:c r="D1545" s="40" t="n">
        <x:v>241.07</x:v>
      </x:c>
      <x:c r="E1545" s="44" t="n">
        <x:f>C1545*D1545</x:f>
        <x:v>4580.33</x:v>
      </x:c>
      <x:c r="F1545" s="40" t="n">
        <x:v>151.69</x:v>
      </x:c>
      <x:c r="G1545" s="44" t="n">
        <x:f>C1545*F1545</x:f>
        <x:v>2882.11</x:v>
      </x:c>
      <x:c r="H1545" s="44" t="n">
        <x:f>E1545-G1545</x:f>
        <x:v>1698.2199999999998</x:v>
      </x:c>
      <x:c r="I1545" s="14" t="str">
        <x:v>Internal Use</x:v>
      </x:c>
      <x:c r="J1545" s="14" t="str">
        <x:v>West</x:v>
      </x:c>
    </x:row>
    <x:row r="1546">
      <x:c r="A1546" s="50" t="n">
        <x:v>45980</x:v>
      </x:c>
      <x:c r="B1546" s="14" t="str">
        <x:v>SKU-0123</x:v>
      </x:c>
      <x:c r="C1546" s="52" t="n">
        <x:v>62</x:v>
      </x:c>
      <x:c r="D1546" s="40" t="n">
        <x:v>159.94</x:v>
      </x:c>
      <x:c r="E1546" s="44" t="n">
        <x:f>C1546*D1546</x:f>
        <x:v>9916.28</x:v>
      </x:c>
      <x:c r="F1546" s="40" t="n">
        <x:v>121.8</x:v>
      </x:c>
      <x:c r="G1546" s="44" t="n">
        <x:f>C1546*F1546</x:f>
        <x:v>7551.599999999999</x:v>
      </x:c>
      <x:c r="H1546" s="44" t="n">
        <x:f>E1546-G1546</x:f>
        <x:v>2364.680000000001</x:v>
      </x:c>
      <x:c r="I1546" s="14" t="str">
        <x:v>Internal Use</x:v>
      </x:c>
      <x:c r="J1546" s="14" t="str">
        <x:v>Midwest</x:v>
      </x:c>
    </x:row>
    <x:row r="1547">
      <x:c r="A1547" s="50" t="n">
        <x:v>45919</x:v>
      </x:c>
      <x:c r="B1547" s="14" t="str">
        <x:v>SKU-0098</x:v>
      </x:c>
      <x:c r="C1547" s="52" t="n">
        <x:v>8</x:v>
      </x:c>
      <x:c r="D1547" s="40" t="n">
        <x:v>369.66</x:v>
      </x:c>
      <x:c r="E1547" s="44" t="n">
        <x:f>C1547*D1547</x:f>
        <x:v>2957.28</x:v>
      </x:c>
      <x:c r="F1547" s="40" t="n">
        <x:v>270.95</x:v>
      </x:c>
      <x:c r="G1547" s="44" t="n">
        <x:f>C1547*F1547</x:f>
        <x:v>2167.6</x:v>
      </x:c>
      <x:c r="H1547" s="44" t="n">
        <x:f>E1547-G1547</x:f>
        <x:v>789.6800000000003</x:v>
      </x:c>
      <x:c r="I1547" s="14" t="str">
        <x:v>SMB</x:v>
      </x:c>
      <x:c r="J1547" s="14" t="str">
        <x:v>West</x:v>
      </x:c>
    </x:row>
    <x:row r="1548">
      <x:c r="A1548" s="50" t="n">
        <x:v>46134</x:v>
      </x:c>
      <x:c r="B1548" s="14" t="str">
        <x:v>SKU-0130</x:v>
      </x:c>
      <x:c r="C1548" s="52" t="n">
        <x:v>12</x:v>
      </x:c>
      <x:c r="D1548" s="40" t="n">
        <x:v>100.42</x:v>
      </x:c>
      <x:c r="E1548" s="44" t="n">
        <x:f>C1548*D1548</x:f>
        <x:v>1205.04</x:v>
      </x:c>
      <x:c r="F1548" s="40" t="n">
        <x:v>73.53</x:v>
      </x:c>
      <x:c r="G1548" s="44" t="n">
        <x:f>C1548*F1548</x:f>
        <x:v>882.36</x:v>
      </x:c>
      <x:c r="H1548" s="44" t="n">
        <x:f>E1548-G1548</x:f>
        <x:v>322.67999999999995</x:v>
      </x:c>
      <x:c r="I1548" s="14" t="str">
        <x:v>Distributor</x:v>
      </x:c>
      <x:c r="J1548" s="14" t="str">
        <x:v>Southeast</x:v>
      </x:c>
    </x:row>
    <x:row r="1549">
      <x:c r="A1549" s="50" t="n">
        <x:v>45899</x:v>
      </x:c>
      <x:c r="B1549" s="14" t="str">
        <x:v>SKU-0127</x:v>
      </x:c>
      <x:c r="C1549" s="52" t="n">
        <x:v>21</x:v>
      </x:c>
      <x:c r="D1549" s="40" t="n">
        <x:v>265.63</x:v>
      </x:c>
      <x:c r="E1549" s="44" t="n">
        <x:f>C1549*D1549</x:f>
        <x:v>5578.23</x:v>
      </x:c>
      <x:c r="F1549" s="40" t="n">
        <x:v>114.9</x:v>
      </x:c>
      <x:c r="G1549" s="44" t="n">
        <x:f>C1549*F1549</x:f>
        <x:v>2412.9</x:v>
      </x:c>
      <x:c r="H1549" s="44" t="n">
        <x:f>E1549-G1549</x:f>
        <x:v>3165.3299999999995</x:v>
      </x:c>
      <x:c r="I1549" s="14" t="str">
        <x:v>Enterprise</x:v>
      </x:c>
      <x:c r="J1549" s="14" t="str">
        <x:v>West</x:v>
      </x:c>
    </x:row>
    <x:row r="1550">
      <x:c r="A1550" s="50" t="n">
        <x:v>46229</x:v>
      </x:c>
      <x:c r="B1550" s="14" t="str">
        <x:v>SKU-0048</x:v>
      </x:c>
      <x:c r="C1550" s="52" t="n">
        <x:v>11</x:v>
      </x:c>
      <x:c r="D1550" s="40" t="n">
        <x:v>401.31</x:v>
      </x:c>
      <x:c r="E1550" s="44" t="n">
        <x:f>C1550*D1550</x:f>
        <x:v>4414.41</x:v>
      </x:c>
      <x:c r="F1550" s="40" t="n">
        <x:v>211.59</x:v>
      </x:c>
      <x:c r="G1550" s="44" t="n">
        <x:f>C1550*F1550</x:f>
        <x:v>2327.4900000000002</x:v>
      </x:c>
      <x:c r="H1550" s="44" t="n">
        <x:f>E1550-G1550</x:f>
        <x:v>2086.9199999999996</x:v>
      </x:c>
      <x:c r="I1550" s="14" t="str">
        <x:v>Distributor</x:v>
      </x:c>
      <x:c r="J1550" s="14" t="str">
        <x:v>Northeast</x:v>
      </x:c>
    </x:row>
    <x:row r="1551">
      <x:c r="A1551" s="50" t="n">
        <x:v>46079</x:v>
      </x:c>
      <x:c r="B1551" s="14" t="str">
        <x:v>SKU-0093</x:v>
      </x:c>
      <x:c r="C1551" s="52" t="n">
        <x:v>5</x:v>
      </x:c>
      <x:c r="D1551" s="40" t="n">
        <x:v>308.72</x:v>
      </x:c>
      <x:c r="E1551" s="44" t="n">
        <x:f>C1551*D1551</x:f>
        <x:v>1543.6000000000001</x:v>
      </x:c>
      <x:c r="F1551" s="40" t="n">
        <x:v>239.3</x:v>
      </x:c>
      <x:c r="G1551" s="44" t="n">
        <x:f>C1551*F1551</x:f>
        <x:v>1196.5</x:v>
      </x:c>
      <x:c r="H1551" s="44" t="n">
        <x:f>E1551-G1551</x:f>
        <x:v>347.10000000000014</x:v>
      </x:c>
      <x:c r="I1551" s="14" t="str">
        <x:v>Enterprise</x:v>
      </x:c>
      <x:c r="J1551" s="14" t="str">
        <x:v>Northeast</x:v>
      </x:c>
    </x:row>
    <x:row r="1552">
      <x:c r="A1552" s="50" t="n">
        <x:v>45965</x:v>
      </x:c>
      <x:c r="B1552" s="14" t="str">
        <x:v>SKU-0032</x:v>
      </x:c>
      <x:c r="C1552" s="52" t="n">
        <x:v>4</x:v>
      </x:c>
      <x:c r="D1552" s="40" t="n">
        <x:v>289.28</x:v>
      </x:c>
      <x:c r="E1552" s="44" t="n">
        <x:f>C1552*D1552</x:f>
        <x:v>1157.12</x:v>
      </x:c>
      <x:c r="F1552" s="40" t="n">
        <x:v>221</x:v>
      </x:c>
      <x:c r="G1552" s="44" t="n">
        <x:f>C1552*F1552</x:f>
        <x:v>884</x:v>
      </x:c>
      <x:c r="H1552" s="44" t="n">
        <x:f>E1552-G1552</x:f>
        <x:v>273.1199999999999</x:v>
      </x:c>
      <x:c r="I1552" s="14" t="str">
        <x:v>Distributor</x:v>
      </x:c>
      <x:c r="J1552" s="14" t="str">
        <x:v>Midwest</x:v>
      </x:c>
    </x:row>
    <x:row r="1553">
      <x:c r="A1553" s="50" t="n">
        <x:v>46008</x:v>
      </x:c>
      <x:c r="B1553" s="14" t="str">
        <x:v>SKU-0069</x:v>
      </x:c>
      <x:c r="C1553" s="52" t="n">
        <x:v>3</x:v>
      </x:c>
      <x:c r="D1553" s="40" t="n">
        <x:v>384.99</x:v>
      </x:c>
      <x:c r="E1553" s="44" t="n">
        <x:f>C1553*D1553</x:f>
        <x:v>1154.97</x:v>
      </x:c>
      <x:c r="F1553" s="40" t="n">
        <x:v>277.23</x:v>
      </x:c>
      <x:c r="G1553" s="44" t="n">
        <x:f>C1553*F1553</x:f>
        <x:v>831.69</x:v>
      </x:c>
      <x:c r="H1553" s="44" t="n">
        <x:f>E1553-G1553</x:f>
        <x:v>323.28</x:v>
      </x:c>
      <x:c r="I1553" s="14" t="str">
        <x:v>Internal Use</x:v>
      </x:c>
      <x:c r="J1553" s="14" t="str">
        <x:v>Southeast</x:v>
      </x:c>
    </x:row>
    <x:row r="1554">
      <x:c r="A1554" s="50" t="n">
        <x:v>46060</x:v>
      </x:c>
      <x:c r="B1554" s="14" t="str">
        <x:v>SKU-0036</x:v>
      </x:c>
      <x:c r="C1554" s="52" t="n">
        <x:v>28</x:v>
      </x:c>
      <x:c r="D1554" s="40" t="n">
        <x:v>257.41</x:v>
      </x:c>
      <x:c r="E1554" s="44" t="n">
        <x:f>C1554*D1554</x:f>
        <x:v>7207.4800000000005</x:v>
      </x:c>
      <x:c r="F1554" s="40" t="n">
        <x:v>122.19</x:v>
      </x:c>
      <x:c r="G1554" s="44" t="n">
        <x:f>C1554*F1554</x:f>
        <x:v>3421.3199999999997</x:v>
      </x:c>
      <x:c r="H1554" s="44" t="n">
        <x:f>E1554-G1554</x:f>
        <x:v>3786.1600000000008</x:v>
      </x:c>
      <x:c r="I1554" s="14" t="str">
        <x:v>SMB</x:v>
      </x:c>
      <x:c r="J1554" s="14" t="str">
        <x:v>Southeast</x:v>
      </x:c>
    </x:row>
    <x:row r="1555">
      <x:c r="A1555" s="50" t="n">
        <x:v>46174</x:v>
      </x:c>
      <x:c r="B1555" s="14" t="str">
        <x:v>SKU-0137</x:v>
      </x:c>
      <x:c r="C1555" s="52" t="n">
        <x:v>16</x:v>
      </x:c>
      <x:c r="D1555" s="40" t="n">
        <x:v>163.96</x:v>
      </x:c>
      <x:c r="E1555" s="44" t="n">
        <x:f>C1555*D1555</x:f>
        <x:v>2623.36</x:v>
      </x:c>
      <x:c r="F1555" s="40" t="n">
        <x:v>93.99</x:v>
      </x:c>
      <x:c r="G1555" s="44" t="n">
        <x:f>C1555*F1555</x:f>
        <x:v>1503.84</x:v>
      </x:c>
      <x:c r="H1555" s="44" t="n">
        <x:f>E1555-G1555</x:f>
        <x:v>1119.5200000000002</x:v>
      </x:c>
      <x:c r="I1555" s="14" t="str">
        <x:v>Enterprise</x:v>
      </x:c>
      <x:c r="J1555" s="14" t="str">
        <x:v>Midwest</x:v>
      </x:c>
    </x:row>
    <x:row r="1556">
      <x:c r="A1556" s="50" t="n">
        <x:v>45964</x:v>
      </x:c>
      <x:c r="B1556" s="14" t="str">
        <x:v>SKU-0104</x:v>
      </x:c>
      <x:c r="C1556" s="52" t="n">
        <x:v>3</x:v>
      </x:c>
      <x:c r="D1556" s="40" t="n">
        <x:v>170.01</x:v>
      </x:c>
      <x:c r="E1556" s="44" t="n">
        <x:f>C1556*D1556</x:f>
        <x:v>510.03</x:v>
      </x:c>
      <x:c r="F1556" s="40" t="n">
        <x:v>105.32</x:v>
      </x:c>
      <x:c r="G1556" s="44" t="n">
        <x:f>C1556*F1556</x:f>
        <x:v>315.96</x:v>
      </x:c>
      <x:c r="H1556" s="44" t="n">
        <x:f>E1556-G1556</x:f>
        <x:v>194.07</x:v>
      </x:c>
      <x:c r="I1556" s="14" t="str">
        <x:v>SMB</x:v>
      </x:c>
      <x:c r="J1556" s="14" t="str">
        <x:v>Midwest</x:v>
      </x:c>
    </x:row>
    <x:row r="1557">
      <x:c r="A1557" s="50" t="n">
        <x:v>45971</x:v>
      </x:c>
      <x:c r="B1557" s="14" t="str">
        <x:v>SKU-0124</x:v>
      </x:c>
      <x:c r="C1557" s="52" t="n">
        <x:v>21</x:v>
      </x:c>
      <x:c r="D1557" s="40" t="n">
        <x:v>124.01</x:v>
      </x:c>
      <x:c r="E1557" s="44" t="n">
        <x:f>C1557*D1557</x:f>
        <x:v>2604.21</x:v>
      </x:c>
      <x:c r="F1557" s="40" t="n">
        <x:v>59.23</x:v>
      </x:c>
      <x:c r="G1557" s="44" t="n">
        <x:f>C1557*F1557</x:f>
        <x:v>1243.83</x:v>
      </x:c>
      <x:c r="H1557" s="44" t="n">
        <x:f>E1557-G1557</x:f>
        <x:v>1360.38</x:v>
      </x:c>
      <x:c r="I1557" s="14" t="str">
        <x:v>SMB</x:v>
      </x:c>
      <x:c r="J1557" s="14" t="str">
        <x:v>West</x:v>
      </x:c>
    </x:row>
    <x:row r="1558">
      <x:c r="A1558" s="50" t="n">
        <x:v>46235</x:v>
      </x:c>
      <x:c r="B1558" s="14" t="str">
        <x:v>SKU-0057</x:v>
      </x:c>
      <x:c r="C1558" s="52" t="n">
        <x:v>4</x:v>
      </x:c>
      <x:c r="D1558" s="40" t="n">
        <x:v>185.03</x:v>
      </x:c>
      <x:c r="E1558" s="44" t="n">
        <x:f>C1558*D1558</x:f>
        <x:v>740.12</x:v>
      </x:c>
      <x:c r="F1558" s="40" t="n">
        <x:v>122.8</x:v>
      </x:c>
      <x:c r="G1558" s="44" t="n">
        <x:f>C1558*F1558</x:f>
        <x:v>491.2</x:v>
      </x:c>
      <x:c r="H1558" s="44" t="n">
        <x:f>E1558-G1558</x:f>
        <x:v>248.92000000000002</x:v>
      </x:c>
      <x:c r="I1558" s="14" t="str">
        <x:v>Distributor</x:v>
      </x:c>
      <x:c r="J1558" s="14" t="str">
        <x:v>Northeast</x:v>
      </x:c>
    </x:row>
    <x:row r="1559">
      <x:c r="A1559" s="50" t="n">
        <x:v>46138</x:v>
      </x:c>
      <x:c r="B1559" s="14" t="str">
        <x:v>SKU-0058</x:v>
      </x:c>
      <x:c r="C1559" s="52" t="n">
        <x:v>7</x:v>
      </x:c>
      <x:c r="D1559" s="40" t="n">
        <x:v>373.84</x:v>
      </x:c>
      <x:c r="E1559" s="44" t="n">
        <x:f>C1559*D1559</x:f>
        <x:v>2616.8799999999997</x:v>
      </x:c>
      <x:c r="F1559" s="40" t="n">
        <x:v>226.78</x:v>
      </x:c>
      <x:c r="G1559" s="44" t="n">
        <x:f>C1559*F1559</x:f>
        <x:v>1587.46</x:v>
      </x:c>
      <x:c r="H1559" s="44" t="n">
        <x:f>E1559-G1559</x:f>
        <x:v>1029.4199999999996</x:v>
      </x:c>
      <x:c r="I1559" s="14" t="str">
        <x:v>Distributor</x:v>
      </x:c>
      <x:c r="J1559" s="14" t="str">
        <x:v>West</x:v>
      </x:c>
    </x:row>
    <x:row r="1560">
      <x:c r="A1560" s="50" t="n">
        <x:v>46046</x:v>
      </x:c>
      <x:c r="B1560" s="14" t="str">
        <x:v>SKU-0144</x:v>
      </x:c>
      <x:c r="C1560" s="52" t="n">
        <x:v>3</x:v>
      </x:c>
      <x:c r="D1560" s="40" t="n">
        <x:v>154.51</x:v>
      </x:c>
      <x:c r="E1560" s="44" t="n">
        <x:f>C1560*D1560</x:f>
        <x:v>463.53</x:v>
      </x:c>
      <x:c r="F1560" s="40" t="n">
        <x:v>68.87</x:v>
      </x:c>
      <x:c r="G1560" s="44" t="n">
        <x:f>C1560*F1560</x:f>
        <x:v>206.61</x:v>
      </x:c>
      <x:c r="H1560" s="44" t="n">
        <x:f>E1560-G1560</x:f>
        <x:v>256.91999999999996</x:v>
      </x:c>
      <x:c r="I1560" s="14" t="str">
        <x:v>Distributor</x:v>
      </x:c>
      <x:c r="J1560" s="14" t="str">
        <x:v>Midwest</x:v>
      </x:c>
    </x:row>
    <x:row r="1561">
      <x:c r="A1561" s="50" t="n">
        <x:v>45883</x:v>
      </x:c>
      <x:c r="B1561" s="14" t="str">
        <x:v>SKU-0058</x:v>
      </x:c>
      <x:c r="C1561" s="52" t="n">
        <x:v>2</x:v>
      </x:c>
      <x:c r="D1561" s="40" t="n">
        <x:v>344.26</x:v>
      </x:c>
      <x:c r="E1561" s="44" t="n">
        <x:f>C1561*D1561</x:f>
        <x:v>688.52</x:v>
      </x:c>
      <x:c r="F1561" s="40" t="n">
        <x:v>226.78</x:v>
      </x:c>
      <x:c r="G1561" s="44" t="n">
        <x:f>C1561*F1561</x:f>
        <x:v>453.56</x:v>
      </x:c>
      <x:c r="H1561" s="44" t="n">
        <x:f>E1561-G1561</x:f>
        <x:v>234.95999999999998</x:v>
      </x:c>
      <x:c r="I1561" s="14" t="str">
        <x:v>Enterprise</x:v>
      </x:c>
      <x:c r="J1561" s="14" t="str">
        <x:v>Northeast</x:v>
      </x:c>
    </x:row>
    <x:row r="1562">
      <x:c r="A1562" s="50" t="n">
        <x:v>46186</x:v>
      </x:c>
      <x:c r="B1562" s="14" t="str">
        <x:v>SKU-0124</x:v>
      </x:c>
      <x:c r="C1562" s="52" t="n">
        <x:v>8</x:v>
      </x:c>
      <x:c r="D1562" s="40" t="n">
        <x:v>131.12</x:v>
      </x:c>
      <x:c r="E1562" s="44" t="n">
        <x:f>C1562*D1562</x:f>
        <x:v>1048.96</x:v>
      </x:c>
      <x:c r="F1562" s="40" t="n">
        <x:v>59.23</x:v>
      </x:c>
      <x:c r="G1562" s="44" t="n">
        <x:f>C1562*F1562</x:f>
        <x:v>473.84</x:v>
      </x:c>
      <x:c r="H1562" s="44" t="n">
        <x:f>E1562-G1562</x:f>
        <x:v>575.1200000000001</x:v>
      </x:c>
      <x:c r="I1562" s="14" t="str">
        <x:v>Distributor</x:v>
      </x:c>
      <x:c r="J1562" s="14" t="str">
        <x:v>Southeast</x:v>
      </x:c>
    </x:row>
    <x:row r="1563">
      <x:c r="A1563" s="50" t="n">
        <x:v>45899</x:v>
      </x:c>
      <x:c r="B1563" s="14" t="str">
        <x:v>SKU-0069</x:v>
      </x:c>
      <x:c r="C1563" s="52" t="n">
        <x:v>3</x:v>
      </x:c>
      <x:c r="D1563" s="40" t="n">
        <x:v>381.04</x:v>
      </x:c>
      <x:c r="E1563" s="44" t="n">
        <x:f>C1563*D1563</x:f>
        <x:v>1143.1200000000001</x:v>
      </x:c>
      <x:c r="F1563" s="40" t="n">
        <x:v>277.23</x:v>
      </x:c>
      <x:c r="G1563" s="44" t="n">
        <x:f>C1563*F1563</x:f>
        <x:v>831.69</x:v>
      </x:c>
      <x:c r="H1563" s="44" t="n">
        <x:f>E1563-G1563</x:f>
        <x:v>311.43000000000006</x:v>
      </x:c>
      <x:c r="I1563" s="14" t="str">
        <x:v>Enterprise</x:v>
      </x:c>
      <x:c r="J1563" s="14" t="str">
        <x:v>Midwest</x:v>
      </x:c>
    </x:row>
    <x:row r="1564">
      <x:c r="A1564" s="50" t="n">
        <x:v>46112</x:v>
      </x:c>
      <x:c r="B1564" s="14" t="str">
        <x:v>SKU-0076</x:v>
      </x:c>
      <x:c r="C1564" s="52" t="n">
        <x:v>5</x:v>
      </x:c>
      <x:c r="D1564" s="40" t="n">
        <x:v>187.46</x:v>
      </x:c>
      <x:c r="E1564" s="44" t="n">
        <x:f>C1564*D1564</x:f>
        <x:v>937.3000000000001</x:v>
      </x:c>
      <x:c r="F1564" s="40" t="n">
        <x:v>132.93</x:v>
      </x:c>
      <x:c r="G1564" s="44" t="n">
        <x:f>C1564*F1564</x:f>
        <x:v>664.6500000000001</x:v>
      </x:c>
      <x:c r="H1564" s="44" t="n">
        <x:f>E1564-G1564</x:f>
        <x:v>272.65</x:v>
      </x:c>
      <x:c r="I1564" s="14" t="str">
        <x:v>SMB</x:v>
      </x:c>
      <x:c r="J1564" s="14" t="str">
        <x:v>West</x:v>
      </x:c>
    </x:row>
    <x:row r="1565">
      <x:c r="A1565" s="50" t="n">
        <x:v>46148</x:v>
      </x:c>
      <x:c r="B1565" s="14" t="str">
        <x:v>SKU-0122</x:v>
      </x:c>
      <x:c r="C1565" s="52" t="n">
        <x:v>8</x:v>
      </x:c>
      <x:c r="D1565" s="40" t="n">
        <x:v>35.29</x:v>
      </x:c>
      <x:c r="E1565" s="44" t="n">
        <x:f>C1565*D1565</x:f>
        <x:v>282.32</x:v>
      </x:c>
      <x:c r="F1565" s="40" t="n">
        <x:v>25.14</x:v>
      </x:c>
      <x:c r="G1565" s="44" t="n">
        <x:f>C1565*F1565</x:f>
        <x:v>201.12</x:v>
      </x:c>
      <x:c r="H1565" s="44" t="n">
        <x:f>E1565-G1565</x:f>
        <x:v>81.19999999999999</x:v>
      </x:c>
      <x:c r="I1565" s="14" t="str">
        <x:v>Distributor</x:v>
      </x:c>
      <x:c r="J1565" s="14" t="str">
        <x:v>Southeast</x:v>
      </x:c>
    </x:row>
    <x:row r="1566">
      <x:c r="A1566" s="50" t="n">
        <x:v>46025</x:v>
      </x:c>
      <x:c r="B1566" s="14" t="str">
        <x:v>SKU-0028</x:v>
      </x:c>
      <x:c r="C1566" s="52" t="n">
        <x:v>3</x:v>
      </x:c>
      <x:c r="D1566" s="40" t="n">
        <x:v>351.81</x:v>
      </x:c>
      <x:c r="E1566" s="44" t="n">
        <x:f>C1566*D1566</x:f>
        <x:v>1055.43</x:v>
      </x:c>
      <x:c r="F1566" s="40" t="n">
        <x:v>274.39</x:v>
      </x:c>
      <x:c r="G1566" s="44" t="n">
        <x:f>C1566*F1566</x:f>
        <x:v>823.17</x:v>
      </x:c>
      <x:c r="H1566" s="44" t="n">
        <x:f>E1566-G1566</x:f>
        <x:v>232.2600000000001</x:v>
      </x:c>
      <x:c r="I1566" s="14" t="str">
        <x:v>Enterprise</x:v>
      </x:c>
      <x:c r="J1566" s="14" t="str">
        <x:v>West</x:v>
      </x:c>
    </x:row>
    <x:row r="1567">
      <x:c r="A1567" s="50" t="n">
        <x:v>45910</x:v>
      </x:c>
      <x:c r="B1567" s="14" t="str">
        <x:v>SKU-0144</x:v>
      </x:c>
      <x:c r="C1567" s="52" t="n">
        <x:v>21</x:v>
      </x:c>
      <x:c r="D1567" s="40" t="n">
        <x:v>160.94</x:v>
      </x:c>
      <x:c r="E1567" s="44" t="n">
        <x:f>C1567*D1567</x:f>
        <x:v>3379.74</x:v>
      </x:c>
      <x:c r="F1567" s="40" t="n">
        <x:v>68.87</x:v>
      </x:c>
      <x:c r="G1567" s="44" t="n">
        <x:f>C1567*F1567</x:f>
        <x:v>1446.27</x:v>
      </x:c>
      <x:c r="H1567" s="44" t="n">
        <x:f>E1567-G1567</x:f>
        <x:v>1933.4699999999998</x:v>
      </x:c>
      <x:c r="I1567" s="14" t="str">
        <x:v>Enterprise</x:v>
      </x:c>
      <x:c r="J1567" s="14" t="str">
        <x:v>Midwest</x:v>
      </x:c>
    </x:row>
    <x:row r="1568">
      <x:c r="A1568" s="50" t="n">
        <x:v>45946</x:v>
      </x:c>
      <x:c r="B1568" s="14" t="str">
        <x:v>SKU-0093</x:v>
      </x:c>
      <x:c r="C1568" s="52" t="n">
        <x:v>4</x:v>
      </x:c>
      <x:c r="D1568" s="40" t="n">
        <x:v>302.82</x:v>
      </x:c>
      <x:c r="E1568" s="44" t="n">
        <x:f>C1568*D1568</x:f>
        <x:v>1211.28</x:v>
      </x:c>
      <x:c r="F1568" s="40" t="n">
        <x:v>239.3</x:v>
      </x:c>
      <x:c r="G1568" s="44" t="n">
        <x:f>C1568*F1568</x:f>
        <x:v>957.2</x:v>
      </x:c>
      <x:c r="H1568" s="44" t="n">
        <x:f>E1568-G1568</x:f>
        <x:v>254.07999999999993</x:v>
      </x:c>
      <x:c r="I1568" s="14" t="str">
        <x:v>Distributor</x:v>
      </x:c>
      <x:c r="J1568" s="14" t="str">
        <x:v>West</x:v>
      </x:c>
    </x:row>
    <x:row r="1569">
      <x:c r="A1569" s="50" t="n">
        <x:v>45950</x:v>
      </x:c>
      <x:c r="B1569" s="14" t="str">
        <x:v>SKU-0042</x:v>
      </x:c>
      <x:c r="C1569" s="52" t="n">
        <x:v>34</x:v>
      </x:c>
      <x:c r="D1569" s="40" t="n">
        <x:v>309.34</x:v>
      </x:c>
      <x:c r="E1569" s="44" t="n">
        <x:f>C1569*D1569</x:f>
        <x:v>10517.56</x:v>
      </x:c>
      <x:c r="F1569" s="40" t="n">
        <x:v>218.51</x:v>
      </x:c>
      <x:c r="G1569" s="44" t="n">
        <x:f>C1569*F1569</x:f>
        <x:v>7429.34</x:v>
      </x:c>
      <x:c r="H1569" s="44" t="n">
        <x:f>E1569-G1569</x:f>
        <x:v>3088.2199999999993</x:v>
      </x:c>
      <x:c r="I1569" s="14" t="str">
        <x:v>Internal Use</x:v>
      </x:c>
      <x:c r="J1569" s="14" t="str">
        <x:v>West</x:v>
      </x:c>
    </x:row>
    <x:row r="1570">
      <x:c r="A1570" s="50" t="n">
        <x:v>46046</x:v>
      </x:c>
      <x:c r="B1570" s="14" t="str">
        <x:v>SKU-0015</x:v>
      </x:c>
      <x:c r="C1570" s="52" t="n">
        <x:v>29</x:v>
      </x:c>
      <x:c r="D1570" s="40" t="n">
        <x:v>262.99</x:v>
      </x:c>
      <x:c r="E1570" s="44" t="n">
        <x:f>C1570*D1570</x:f>
        <x:v>7626.71</x:v>
      </x:c>
      <x:c r="F1570" s="40" t="n">
        <x:v>185.37</x:v>
      </x:c>
      <x:c r="G1570" s="44" t="n">
        <x:f>C1570*F1570</x:f>
        <x:v>5375.7300000000005</x:v>
      </x:c>
      <x:c r="H1570" s="44" t="n">
        <x:f>E1570-G1570</x:f>
        <x:v>2250.9799999999996</x:v>
      </x:c>
      <x:c r="I1570" s="14" t="str">
        <x:v>Internal Use</x:v>
      </x:c>
      <x:c r="J1570" s="14" t="str">
        <x:v>West</x:v>
      </x:c>
    </x:row>
    <x:row r="1571">
      <x:c r="A1571" s="50" t="n">
        <x:v>46032</x:v>
      </x:c>
      <x:c r="B1571" s="14" t="str">
        <x:v>SKU-0072</x:v>
      </x:c>
      <x:c r="C1571" s="52" t="n">
        <x:v>16</x:v>
      </x:c>
      <x:c r="D1571" s="40" t="n">
        <x:v>275.48</x:v>
      </x:c>
      <x:c r="E1571" s="44" t="n">
        <x:f>C1571*D1571</x:f>
        <x:v>4407.68</x:v>
      </x:c>
      <x:c r="F1571" s="40" t="n">
        <x:v>153.62</x:v>
      </x:c>
      <x:c r="G1571" s="44" t="n">
        <x:f>C1571*F1571</x:f>
        <x:v>2457.92</x:v>
      </x:c>
      <x:c r="H1571" s="44" t="n">
        <x:f>E1571-G1571</x:f>
        <x:v>1949.7600000000002</x:v>
      </x:c>
      <x:c r="I1571" s="14" t="str">
        <x:v>Distributor</x:v>
      </x:c>
      <x:c r="J1571" s="14" t="str">
        <x:v>Midwest</x:v>
      </x:c>
    </x:row>
    <x:row r="1572">
      <x:c r="A1572" s="50" t="n">
        <x:v>46203</x:v>
      </x:c>
      <x:c r="B1572" s="14" t="str">
        <x:v>SKU-0139</x:v>
      </x:c>
      <x:c r="C1572" s="52" t="n">
        <x:v>5</x:v>
      </x:c>
      <x:c r="D1572" s="40" t="n">
        <x:v>292.65</x:v>
      </x:c>
      <x:c r="E1572" s="44" t="n">
        <x:f>C1572*D1572</x:f>
        <x:v>1463.25</x:v>
      </x:c>
      <x:c r="F1572" s="40" t="n">
        <x:v>157.6</x:v>
      </x:c>
      <x:c r="G1572" s="44" t="n">
        <x:f>C1572*F1572</x:f>
        <x:v>788</x:v>
      </x:c>
      <x:c r="H1572" s="44" t="n">
        <x:f>E1572-G1572</x:f>
        <x:v>675.25</x:v>
      </x:c>
      <x:c r="I1572" s="14" t="str">
        <x:v>Distributor</x:v>
      </x:c>
      <x:c r="J1572" s="14" t="str">
        <x:v>Midwest</x:v>
      </x:c>
    </x:row>
    <x:row r="1573">
      <x:c r="A1573" s="50" t="n">
        <x:v>46137</x:v>
      </x:c>
      <x:c r="B1573" s="14" t="str">
        <x:v>SKU-0046</x:v>
      </x:c>
      <x:c r="C1573" s="52" t="n">
        <x:v>19</x:v>
      </x:c>
      <x:c r="D1573" s="40" t="n">
        <x:v>116.76</x:v>
      </x:c>
      <x:c r="E1573" s="44" t="n">
        <x:f>C1573*D1573</x:f>
        <x:v>2218.44</x:v>
      </x:c>
      <x:c r="F1573" s="40" t="n">
        <x:v>66.68</x:v>
      </x:c>
      <x:c r="G1573" s="44" t="n">
        <x:f>C1573*F1573</x:f>
        <x:v>1266.92</x:v>
      </x:c>
      <x:c r="H1573" s="44" t="n">
        <x:f>E1573-G1573</x:f>
        <x:v>951.52</x:v>
      </x:c>
      <x:c r="I1573" s="14" t="str">
        <x:v>SMB</x:v>
      </x:c>
      <x:c r="J1573" s="14" t="str">
        <x:v>Northeast</x:v>
      </x:c>
    </x:row>
    <x:row r="1574">
      <x:c r="A1574" s="50" t="n">
        <x:v>45901</x:v>
      </x:c>
      <x:c r="B1574" s="14" t="str">
        <x:v>SKU-0011</x:v>
      </x:c>
      <x:c r="C1574" s="52" t="n">
        <x:v>4</x:v>
      </x:c>
      <x:c r="D1574" s="40" t="n">
        <x:v>374.33</x:v>
      </x:c>
      <x:c r="E1574" s="44" t="n">
        <x:f>C1574*D1574</x:f>
        <x:v>1497.32</x:v>
      </x:c>
      <x:c r="F1574" s="40" t="n">
        <x:v>244.6</x:v>
      </x:c>
      <x:c r="G1574" s="44" t="n">
        <x:f>C1574*F1574</x:f>
        <x:v>978.4</x:v>
      </x:c>
      <x:c r="H1574" s="44" t="n">
        <x:f>E1574-G1574</x:f>
        <x:v>518.92</x:v>
      </x:c>
      <x:c r="I1574" s="14" t="str">
        <x:v>SMB</x:v>
      </x:c>
      <x:c r="J1574" s="14" t="str">
        <x:v>Northeast</x:v>
      </x:c>
    </x:row>
    <x:row r="1575">
      <x:c r="A1575" s="50" t="n">
        <x:v>45947</x:v>
      </x:c>
      <x:c r="B1575" s="14" t="str">
        <x:v>SKU-0061</x:v>
      </x:c>
      <x:c r="C1575" s="52" t="n">
        <x:v>27</x:v>
      </x:c>
      <x:c r="D1575" s="40" t="n">
        <x:v>339.71</x:v>
      </x:c>
      <x:c r="E1575" s="44" t="n">
        <x:f>C1575*D1575</x:f>
        <x:v>9172.17</x:v>
      </x:c>
      <x:c r="F1575" s="40" t="n">
        <x:v>202.32</x:v>
      </x:c>
      <x:c r="G1575" s="44" t="n">
        <x:f>C1575*F1575</x:f>
        <x:v>5462.639999999999</x:v>
      </x:c>
      <x:c r="H1575" s="44" t="n">
        <x:f>E1575-G1575</x:f>
        <x:v>3709.5300000000007</x:v>
      </x:c>
      <x:c r="I1575" s="14" t="str">
        <x:v>Enterprise</x:v>
      </x:c>
      <x:c r="J1575" s="14" t="str">
        <x:v>Midwest</x:v>
      </x:c>
    </x:row>
    <x:row r="1576">
      <x:c r="A1576" s="50" t="n">
        <x:v>45915</x:v>
      </x:c>
      <x:c r="B1576" s="14" t="str">
        <x:v>SKU-0082</x:v>
      </x:c>
      <x:c r="C1576" s="52" t="n">
        <x:v>4</x:v>
      </x:c>
      <x:c r="D1576" s="40" t="n">
        <x:v>152.67</x:v>
      </x:c>
      <x:c r="E1576" s="44" t="n">
        <x:f>C1576*D1576</x:f>
        <x:v>610.68</x:v>
      </x:c>
      <x:c r="F1576" s="40" t="n">
        <x:v>79.16</x:v>
      </x:c>
      <x:c r="G1576" s="44" t="n">
        <x:f>C1576*F1576</x:f>
        <x:v>316.64</x:v>
      </x:c>
      <x:c r="H1576" s="44" t="n">
        <x:f>E1576-G1576</x:f>
        <x:v>294.03999999999996</x:v>
      </x:c>
      <x:c r="I1576" s="14" t="str">
        <x:v>SMB</x:v>
      </x:c>
      <x:c r="J1576" s="14" t="str">
        <x:v>West</x:v>
      </x:c>
    </x:row>
    <x:row r="1577">
      <x:c r="A1577" s="50" t="n">
        <x:v>45973</x:v>
      </x:c>
      <x:c r="B1577" s="14" t="str">
        <x:v>SKU-0143</x:v>
      </x:c>
      <x:c r="C1577" s="52" t="n">
        <x:v>12</x:v>
      </x:c>
      <x:c r="D1577" s="40" t="n">
        <x:v>178.21</x:v>
      </x:c>
      <x:c r="E1577" s="44" t="n">
        <x:f>C1577*D1577</x:f>
        <x:v>2138.52</x:v>
      </x:c>
      <x:c r="F1577" s="40" t="n">
        <x:v>123.95</x:v>
      </x:c>
      <x:c r="G1577" s="44" t="n">
        <x:f>C1577*F1577</x:f>
        <x:v>1487.4</x:v>
      </x:c>
      <x:c r="H1577" s="44" t="n">
        <x:f>E1577-G1577</x:f>
        <x:v>651.1199999999999</x:v>
      </x:c>
      <x:c r="I1577" s="14" t="str">
        <x:v>Internal Use</x:v>
      </x:c>
      <x:c r="J1577" s="14" t="str">
        <x:v>West</x:v>
      </x:c>
    </x:row>
    <x:row r="1578">
      <x:c r="A1578" s="50" t="n">
        <x:v>45953</x:v>
      </x:c>
      <x:c r="B1578" s="14" t="str">
        <x:v>SKU-0126</x:v>
      </x:c>
      <x:c r="C1578" s="52" t="n">
        <x:v>8</x:v>
      </x:c>
      <x:c r="D1578" s="40" t="n">
        <x:v>17.88</x:v>
      </x:c>
      <x:c r="E1578" s="44" t="n">
        <x:f>C1578*D1578</x:f>
        <x:v>143.04</x:v>
      </x:c>
      <x:c r="F1578" s="40" t="n">
        <x:v>7.7</x:v>
      </x:c>
      <x:c r="G1578" s="44" t="n">
        <x:f>C1578*F1578</x:f>
        <x:v>61.6</x:v>
      </x:c>
      <x:c r="H1578" s="44" t="n">
        <x:f>E1578-G1578</x:f>
        <x:v>81.44</x:v>
      </x:c>
      <x:c r="I1578" s="14" t="str">
        <x:v>SMB</x:v>
      </x:c>
      <x:c r="J1578" s="14" t="str">
        <x:v>West</x:v>
      </x:c>
    </x:row>
    <x:row r="1579">
      <x:c r="A1579" s="50" t="n">
        <x:v>46206</x:v>
      </x:c>
      <x:c r="B1579" s="14" t="str">
        <x:v>SKU-0115</x:v>
      </x:c>
      <x:c r="C1579" s="52" t="n">
        <x:v>37</x:v>
      </x:c>
      <x:c r="D1579" s="40" t="n">
        <x:v>33.4</x:v>
      </x:c>
      <x:c r="E1579" s="44" t="n">
        <x:f>C1579*D1579</x:f>
        <x:v>1235.8</x:v>
      </x:c>
      <x:c r="F1579" s="40" t="n">
        <x:v>27.81</x:v>
      </x:c>
      <x:c r="G1579" s="44" t="n">
        <x:f>C1579*F1579</x:f>
        <x:v>1028.97</x:v>
      </x:c>
      <x:c r="H1579" s="44" t="n">
        <x:f>E1579-G1579</x:f>
        <x:v>206.82999999999993</x:v>
      </x:c>
      <x:c r="I1579" s="14" t="str">
        <x:v>Internal Use</x:v>
      </x:c>
      <x:c r="J1579" s="14" t="str">
        <x:v>Southeast</x:v>
      </x:c>
    </x:row>
    <x:row r="1580">
      <x:c r="A1580" s="50" t="n">
        <x:v>45946</x:v>
      </x:c>
      <x:c r="B1580" s="14" t="str">
        <x:v>SKU-0002</x:v>
      </x:c>
      <x:c r="C1580" s="52" t="n">
        <x:v>6</x:v>
      </x:c>
      <x:c r="D1580" s="40" t="n">
        <x:v>82.72</x:v>
      </x:c>
      <x:c r="E1580" s="44" t="n">
        <x:f>C1580*D1580</x:f>
        <x:v>496.32</x:v>
      </x:c>
      <x:c r="F1580" s="40" t="n">
        <x:v>66.06</x:v>
      </x:c>
      <x:c r="G1580" s="44" t="n">
        <x:f>C1580*F1580</x:f>
        <x:v>396.36</x:v>
      </x:c>
      <x:c r="H1580" s="44" t="n">
        <x:f>E1580-G1580</x:f>
        <x:v>99.95999999999998</x:v>
      </x:c>
      <x:c r="I1580" s="14" t="str">
        <x:v>SMB</x:v>
      </x:c>
      <x:c r="J1580" s="14" t="str">
        <x:v>Midwest</x:v>
      </x:c>
    </x:row>
    <x:row r="1581">
      <x:c r="A1581" s="50" t="n">
        <x:v>45987</x:v>
      </x:c>
      <x:c r="B1581" s="14" t="str">
        <x:v>SKU-0074</x:v>
      </x:c>
      <x:c r="C1581" s="52" t="n">
        <x:v>1</x:v>
      </x:c>
      <x:c r="D1581" s="40" t="n">
        <x:v>358.84</x:v>
      </x:c>
      <x:c r="E1581" s="44" t="n">
        <x:f>C1581*D1581</x:f>
        <x:v>358.84</x:v>
      </x:c>
      <x:c r="F1581" s="40" t="n">
        <x:v>206.33</x:v>
      </x:c>
      <x:c r="G1581" s="44" t="n">
        <x:f>C1581*F1581</x:f>
        <x:v>206.33</x:v>
      </x:c>
      <x:c r="H1581" s="44" t="n">
        <x:f>E1581-G1581</x:f>
        <x:v>152.50999999999996</x:v>
      </x:c>
      <x:c r="I1581" s="14" t="str">
        <x:v>Enterprise</x:v>
      </x:c>
      <x:c r="J1581" s="14" t="str">
        <x:v>Southeast</x:v>
      </x:c>
    </x:row>
    <x:row r="1582">
      <x:c r="A1582" s="50" t="n">
        <x:v>45912</x:v>
      </x:c>
      <x:c r="B1582" s="14" t="str">
        <x:v>SKU-0049</x:v>
      </x:c>
      <x:c r="C1582" s="52" t="n">
        <x:v>2</x:v>
      </x:c>
      <x:c r="D1582" s="40" t="n">
        <x:v>101.3</x:v>
      </x:c>
      <x:c r="E1582" s="44" t="n">
        <x:f>C1582*D1582</x:f>
        <x:v>202.6</x:v>
      </x:c>
      <x:c r="F1582" s="40" t="n">
        <x:v>63.39</x:v>
      </x:c>
      <x:c r="G1582" s="44" t="n">
        <x:f>C1582*F1582</x:f>
        <x:v>126.78</x:v>
      </x:c>
      <x:c r="H1582" s="44" t="n">
        <x:f>E1582-G1582</x:f>
        <x:v>75.82</x:v>
      </x:c>
      <x:c r="I1582" s="14" t="str">
        <x:v>Enterprise</x:v>
      </x:c>
      <x:c r="J1582" s="14" t="str">
        <x:v>Midwest</x:v>
      </x:c>
    </x:row>
    <x:row r="1583">
      <x:c r="A1583" s="50" t="n">
        <x:v>45910</x:v>
      </x:c>
      <x:c r="B1583" s="14" t="str">
        <x:v>SKU-0024</x:v>
      </x:c>
      <x:c r="C1583" s="52" t="n">
        <x:v>4</x:v>
      </x:c>
      <x:c r="D1583" s="40" t="n">
        <x:v>230.7</x:v>
      </x:c>
      <x:c r="E1583" s="44" t="n">
        <x:f>C1583*D1583</x:f>
        <x:v>922.8</x:v>
      </x:c>
      <x:c r="F1583" s="40" t="n">
        <x:v>151.69</x:v>
      </x:c>
      <x:c r="G1583" s="44" t="n">
        <x:f>C1583*F1583</x:f>
        <x:v>606.76</x:v>
      </x:c>
      <x:c r="H1583" s="44" t="n">
        <x:f>E1583-G1583</x:f>
        <x:v>316.03999999999996</x:v>
      </x:c>
      <x:c r="I1583" s="14" t="str">
        <x:v>SMB</x:v>
      </x:c>
      <x:c r="J1583" s="14" t="str">
        <x:v>Southeast</x:v>
      </x:c>
    </x:row>
    <x:row r="1584">
      <x:c r="A1584" s="50" t="n">
        <x:v>46117</x:v>
      </x:c>
      <x:c r="B1584" s="14" t="str">
        <x:v>SKU-0142</x:v>
      </x:c>
      <x:c r="C1584" s="52" t="n">
        <x:v>5</x:v>
      </x:c>
      <x:c r="D1584" s="40" t="n">
        <x:v>189.67</x:v>
      </x:c>
      <x:c r="E1584" s="44" t="n">
        <x:f>C1584*D1584</x:f>
        <x:v>948.3499999999999</x:v>
      </x:c>
      <x:c r="F1584" s="40" t="n">
        <x:v>95.95</x:v>
      </x:c>
      <x:c r="G1584" s="44" t="n">
        <x:f>C1584*F1584</x:f>
        <x:v>479.75</x:v>
      </x:c>
      <x:c r="H1584" s="44" t="n">
        <x:f>E1584-G1584</x:f>
        <x:v>468.5999999999999</x:v>
      </x:c>
      <x:c r="I1584" s="14" t="str">
        <x:v>Internal Use</x:v>
      </x:c>
      <x:c r="J1584" s="14" t="str">
        <x:v>Northeast</x:v>
      </x:c>
    </x:row>
    <x:row r="1585">
      <x:c r="A1585" s="50" t="n">
        <x:v>45970</x:v>
      </x:c>
      <x:c r="B1585" s="14" t="str">
        <x:v>SKU-0117</x:v>
      </x:c>
      <x:c r="C1585" s="52" t="n">
        <x:v>8</x:v>
      </x:c>
      <x:c r="D1585" s="40" t="n">
        <x:v>191.31</x:v>
      </x:c>
      <x:c r="E1585" s="44" t="n">
        <x:f>C1585*D1585</x:f>
        <x:v>1530.48</x:v>
      </x:c>
      <x:c r="F1585" s="40" t="n">
        <x:v>143.31</x:v>
      </x:c>
      <x:c r="G1585" s="44" t="n">
        <x:f>C1585*F1585</x:f>
        <x:v>1146.48</x:v>
      </x:c>
      <x:c r="H1585" s="44" t="n">
        <x:f>E1585-G1585</x:f>
        <x:v>384</x:v>
      </x:c>
      <x:c r="I1585" s="14" t="str">
        <x:v>Distributor</x:v>
      </x:c>
      <x:c r="J1585" s="14" t="str">
        <x:v>Midwest</x:v>
      </x:c>
    </x:row>
    <x:row r="1586">
      <x:c r="A1586" s="50" t="n">
        <x:v>45949</x:v>
      </x:c>
      <x:c r="B1586" s="14" t="str">
        <x:v>SKU-0124</x:v>
      </x:c>
      <x:c r="C1586" s="52" t="n">
        <x:v>2</x:v>
      </x:c>
      <x:c r="D1586" s="40" t="n">
        <x:v>139.58</x:v>
      </x:c>
      <x:c r="E1586" s="44" t="n">
        <x:f>C1586*D1586</x:f>
        <x:v>279.16</x:v>
      </x:c>
      <x:c r="F1586" s="40" t="n">
        <x:v>59.23</x:v>
      </x:c>
      <x:c r="G1586" s="44" t="n">
        <x:f>C1586*F1586</x:f>
        <x:v>118.46</x:v>
      </x:c>
      <x:c r="H1586" s="44" t="n">
        <x:f>E1586-G1586</x:f>
        <x:v>160.70000000000005</x:v>
      </x:c>
      <x:c r="I1586" s="14" t="str">
        <x:v>Distributor</x:v>
      </x:c>
      <x:c r="J1586" s="14" t="str">
        <x:v>Southeast</x:v>
      </x:c>
    </x:row>
    <x:row r="1587">
      <x:c r="A1587" s="50" t="n">
        <x:v>46141</x:v>
      </x:c>
      <x:c r="B1587" s="14" t="str">
        <x:v>SKU-0024</x:v>
      </x:c>
      <x:c r="C1587" s="52" t="n">
        <x:v>15</x:v>
      </x:c>
      <x:c r="D1587" s="40" t="n">
        <x:v>245.26</x:v>
      </x:c>
      <x:c r="E1587" s="44" t="n">
        <x:f>C1587*D1587</x:f>
        <x:v>3678.8999999999996</x:v>
      </x:c>
      <x:c r="F1587" s="40" t="n">
        <x:v>151.69</x:v>
      </x:c>
      <x:c r="G1587" s="44" t="n">
        <x:f>C1587*F1587</x:f>
        <x:v>2275.35</x:v>
      </x:c>
      <x:c r="H1587" s="44" t="n">
        <x:f>E1587-G1587</x:f>
        <x:v>1403.5499999999997</x:v>
      </x:c>
      <x:c r="I1587" s="14" t="str">
        <x:v>SMB</x:v>
      </x:c>
      <x:c r="J1587" s="14" t="str">
        <x:v>Northeast</x:v>
      </x:c>
    </x:row>
    <x:row r="1588">
      <x:c r="A1588" s="50" t="n">
        <x:v>45907</x:v>
      </x:c>
      <x:c r="B1588" s="14" t="str">
        <x:v>SKU-0101</x:v>
      </x:c>
      <x:c r="C1588" s="52" t="n">
        <x:v>9</x:v>
      </x:c>
      <x:c r="D1588" s="40" t="n">
        <x:v>77.7</x:v>
      </x:c>
      <x:c r="E1588" s="44" t="n">
        <x:f>C1588*D1588</x:f>
        <x:v>699.3000000000001</x:v>
      </x:c>
      <x:c r="F1588" s="40" t="n">
        <x:v>63.93</x:v>
      </x:c>
      <x:c r="G1588" s="44" t="n">
        <x:f>C1588*F1588</x:f>
        <x:v>575.37</x:v>
      </x:c>
      <x:c r="H1588" s="44" t="n">
        <x:f>E1588-G1588</x:f>
        <x:v>123.93000000000006</x:v>
      </x:c>
      <x:c r="I1588" s="14" t="str">
        <x:v>Enterprise</x:v>
      </x:c>
      <x:c r="J1588" s="14" t="str">
        <x:v>West</x:v>
      </x:c>
    </x:row>
    <x:row r="1589">
      <x:c r="A1589" s="50" t="n">
        <x:v>45912</x:v>
      </x:c>
      <x:c r="B1589" s="14" t="str">
        <x:v>SKU-0045</x:v>
      </x:c>
      <x:c r="C1589" s="52" t="n">
        <x:v>8</x:v>
      </x:c>
      <x:c r="D1589" s="40" t="n">
        <x:v>103.37</x:v>
      </x:c>
      <x:c r="E1589" s="44" t="n">
        <x:f>C1589*D1589</x:f>
        <x:v>826.96</x:v>
      </x:c>
      <x:c r="F1589" s="40" t="n">
        <x:v>68.89</x:v>
      </x:c>
      <x:c r="G1589" s="44" t="n">
        <x:f>C1589*F1589</x:f>
        <x:v>551.12</x:v>
      </x:c>
      <x:c r="H1589" s="44" t="n">
        <x:f>E1589-G1589</x:f>
        <x:v>275.84000000000003</x:v>
      </x:c>
      <x:c r="I1589" s="14" t="str">
        <x:v>SMB</x:v>
      </x:c>
      <x:c r="J1589" s="14" t="str">
        <x:v>Southeast</x:v>
      </x:c>
    </x:row>
    <x:row r="1590">
      <x:c r="A1590" s="50" t="n">
        <x:v>46046</x:v>
      </x:c>
      <x:c r="B1590" s="14" t="str">
        <x:v>SKU-0008</x:v>
      </x:c>
      <x:c r="C1590" s="52" t="n">
        <x:v>5</x:v>
      </x:c>
      <x:c r="D1590" s="40" t="n">
        <x:v>202.02</x:v>
      </x:c>
      <x:c r="E1590" s="44" t="n">
        <x:f>C1590*D1590</x:f>
        <x:v>1010.1</x:v>
      </x:c>
      <x:c r="F1590" s="40" t="n">
        <x:v>143.38</x:v>
      </x:c>
      <x:c r="G1590" s="44" t="n">
        <x:f>C1590*F1590</x:f>
        <x:v>716.9</x:v>
      </x:c>
      <x:c r="H1590" s="44" t="n">
        <x:f>E1590-G1590</x:f>
        <x:v>293.20000000000005</x:v>
      </x:c>
      <x:c r="I1590" s="14" t="str">
        <x:v>SMB</x:v>
      </x:c>
      <x:c r="J1590" s="14" t="str">
        <x:v>West</x:v>
      </x:c>
    </x:row>
    <x:row r="1591">
      <x:c r="A1591" s="50" t="n">
        <x:v>45931</x:v>
      </x:c>
      <x:c r="B1591" s="14" t="str">
        <x:v>SKU-0044</x:v>
      </x:c>
      <x:c r="C1591" s="52" t="n">
        <x:v>44</x:v>
      </x:c>
      <x:c r="D1591" s="40" t="n">
        <x:v>166.67</x:v>
      </x:c>
      <x:c r="E1591" s="44" t="n">
        <x:f>C1591*D1591</x:f>
        <x:v>7333.48</x:v>
      </x:c>
      <x:c r="F1591" s="40" t="n">
        <x:v>126.24</x:v>
      </x:c>
      <x:c r="G1591" s="44" t="n">
        <x:f>C1591*F1591</x:f>
        <x:v>5554.5599999999995</x:v>
      </x:c>
      <x:c r="H1591" s="44" t="n">
        <x:f>E1591-G1591</x:f>
        <x:v>1778.92</x:v>
      </x:c>
      <x:c r="I1591" s="14" t="str">
        <x:v>Enterprise</x:v>
      </x:c>
      <x:c r="J1591" s="14" t="str">
        <x:v>Midwest</x:v>
      </x:c>
    </x:row>
    <x:row r="1592">
      <x:c r="A1592" s="50" t="n">
        <x:v>46163</x:v>
      </x:c>
      <x:c r="B1592" s="14" t="str">
        <x:v>SKU-0061</x:v>
      </x:c>
      <x:c r="C1592" s="52" t="n">
        <x:v>9</x:v>
      </x:c>
      <x:c r="D1592" s="40" t="n">
        <x:v>299.64</x:v>
      </x:c>
      <x:c r="E1592" s="44" t="n">
        <x:f>C1592*D1592</x:f>
        <x:v>2696.7599999999998</x:v>
      </x:c>
      <x:c r="F1592" s="40" t="n">
        <x:v>202.32</x:v>
      </x:c>
      <x:c r="G1592" s="44" t="n">
        <x:f>C1592*F1592</x:f>
        <x:v>1820.8799999999999</x:v>
      </x:c>
      <x:c r="H1592" s="44" t="n">
        <x:f>E1592-G1592</x:f>
        <x:v>875.8799999999999</x:v>
      </x:c>
      <x:c r="I1592" s="14" t="str">
        <x:v>Distributor</x:v>
      </x:c>
      <x:c r="J1592" s="14" t="str">
        <x:v>Southeast</x:v>
      </x:c>
    </x:row>
    <x:row r="1593">
      <x:c r="A1593" s="50" t="n">
        <x:v>46156</x:v>
      </x:c>
      <x:c r="B1593" s="14" t="str">
        <x:v>SKU-0148</x:v>
      </x:c>
      <x:c r="C1593" s="52" t="n">
        <x:v>3</x:v>
      </x:c>
      <x:c r="D1593" s="40" t="n">
        <x:v>393.26</x:v>
      </x:c>
      <x:c r="E1593" s="44" t="n">
        <x:f>C1593*D1593</x:f>
        <x:v>1179.78</x:v>
      </x:c>
      <x:c r="F1593" s="40" t="n">
        <x:v>278.48</x:v>
      </x:c>
      <x:c r="G1593" s="44" t="n">
        <x:f>C1593*F1593</x:f>
        <x:v>835.44</x:v>
      </x:c>
      <x:c r="H1593" s="44" t="n">
        <x:f>E1593-G1593</x:f>
        <x:v>344.3399999999999</x:v>
      </x:c>
      <x:c r="I1593" s="14" t="str">
        <x:v>Internal Use</x:v>
      </x:c>
      <x:c r="J1593" s="14" t="str">
        <x:v>Northeast</x:v>
      </x:c>
    </x:row>
    <x:row r="1594">
      <x:c r="A1594" s="50" t="n">
        <x:v>46210</x:v>
      </x:c>
      <x:c r="B1594" s="14" t="str">
        <x:v>SKU-0126</x:v>
      </x:c>
      <x:c r="C1594" s="52" t="n">
        <x:v>7</x:v>
      </x:c>
      <x:c r="D1594" s="40" t="n">
        <x:v>16.61</x:v>
      </x:c>
      <x:c r="E1594" s="44" t="n">
        <x:f>C1594*D1594</x:f>
        <x:v>116.27</x:v>
      </x:c>
      <x:c r="F1594" s="40" t="n">
        <x:v>7.7</x:v>
      </x:c>
      <x:c r="G1594" s="44" t="n">
        <x:f>C1594*F1594</x:f>
        <x:v>53.9</x:v>
      </x:c>
      <x:c r="H1594" s="44" t="n">
        <x:f>E1594-G1594</x:f>
        <x:v>62.37</x:v>
      </x:c>
      <x:c r="I1594" s="14" t="str">
        <x:v>SMB</x:v>
      </x:c>
      <x:c r="J1594" s="14" t="str">
        <x:v>West</x:v>
      </x:c>
    </x:row>
    <x:row r="1595">
      <x:c r="A1595" s="50" t="n">
        <x:v>46006</x:v>
      </x:c>
      <x:c r="B1595" s="14" t="str">
        <x:v>SKU-0075</x:v>
      </x:c>
      <x:c r="C1595" s="52" t="n">
        <x:v>37</x:v>
      </x:c>
      <x:c r="D1595" s="40" t="n">
        <x:v>24.79</x:v>
      </x:c>
      <x:c r="E1595" s="44" t="n">
        <x:f>C1595*D1595</x:f>
        <x:v>917.23</x:v>
      </x:c>
      <x:c r="F1595" s="40" t="n">
        <x:v>13.66</x:v>
      </x:c>
      <x:c r="G1595" s="44" t="n">
        <x:f>C1595*F1595</x:f>
        <x:v>505.42</x:v>
      </x:c>
      <x:c r="H1595" s="44" t="n">
        <x:f>E1595-G1595</x:f>
        <x:v>411.81</x:v>
      </x:c>
      <x:c r="I1595" s="14" t="str">
        <x:v>Distributor</x:v>
      </x:c>
      <x:c r="J1595" s="14" t="str">
        <x:v>West</x:v>
      </x:c>
    </x:row>
    <x:row r="1596">
      <x:c r="A1596" s="50" t="n">
        <x:v>45972</x:v>
      </x:c>
      <x:c r="B1596" s="14" t="str">
        <x:v>SKU-0030</x:v>
      </x:c>
      <x:c r="C1596" s="52" t="n">
        <x:v>35</x:v>
      </x:c>
      <x:c r="D1596" s="40" t="n">
        <x:v>356.07</x:v>
      </x:c>
      <x:c r="E1596" s="44" t="n">
        <x:f>C1596*D1596</x:f>
        <x:v>12462.449999999999</x:v>
      </x:c>
      <x:c r="F1596" s="40" t="n">
        <x:v>191.77</x:v>
      </x:c>
      <x:c r="G1596" s="44" t="n">
        <x:f>C1596*F1596</x:f>
        <x:v>6711.950000000001</x:v>
      </x:c>
      <x:c r="H1596" s="44" t="n">
        <x:f>E1596-G1596</x:f>
        <x:v>5750.499999999998</x:v>
      </x:c>
      <x:c r="I1596" s="14" t="str">
        <x:v>Internal Use</x:v>
      </x:c>
      <x:c r="J1596" s="14" t="str">
        <x:v>Northeast</x:v>
      </x:c>
    </x:row>
    <x:row r="1597">
      <x:c r="A1597" s="50" t="n">
        <x:v>46172</x:v>
      </x:c>
      <x:c r="B1597" s="14" t="str">
        <x:v>SKU-0048</x:v>
      </x:c>
      <x:c r="C1597" s="52" t="n">
        <x:v>4</x:v>
      </x:c>
      <x:c r="D1597" s="40" t="n">
        <x:v>457.62</x:v>
      </x:c>
      <x:c r="E1597" s="44" t="n">
        <x:f>C1597*D1597</x:f>
        <x:v>1830.48</x:v>
      </x:c>
      <x:c r="F1597" s="40" t="n">
        <x:v>211.59</x:v>
      </x:c>
      <x:c r="G1597" s="44" t="n">
        <x:f>C1597*F1597</x:f>
        <x:v>846.36</x:v>
      </x:c>
      <x:c r="H1597" s="44" t="n">
        <x:f>E1597-G1597</x:f>
        <x:v>984.12</x:v>
      </x:c>
      <x:c r="I1597" s="14" t="str">
        <x:v>Internal Use</x:v>
      </x:c>
      <x:c r="J1597" s="14" t="str">
        <x:v>West</x:v>
      </x:c>
    </x:row>
    <x:row r="1598">
      <x:c r="A1598" s="50" t="n">
        <x:v>45989</x:v>
      </x:c>
      <x:c r="B1598" s="14" t="str">
        <x:v>SKU-0029</x:v>
      </x:c>
      <x:c r="C1598" s="52" t="n">
        <x:v>7</x:v>
      </x:c>
      <x:c r="D1598" s="40" t="n">
        <x:v>17.64</x:v>
      </x:c>
      <x:c r="E1598" s="44" t="n">
        <x:f>C1598*D1598</x:f>
        <x:v>123.48</x:v>
      </x:c>
      <x:c r="F1598" s="40" t="n">
        <x:v>12.5</x:v>
      </x:c>
      <x:c r="G1598" s="44" t="n">
        <x:f>C1598*F1598</x:f>
        <x:v>87.5</x:v>
      </x:c>
      <x:c r="H1598" s="44" t="n">
        <x:f>E1598-G1598</x:f>
        <x:v>35.980000000000004</x:v>
      </x:c>
      <x:c r="I1598" s="14" t="str">
        <x:v>SMB</x:v>
      </x:c>
      <x:c r="J1598" s="14" t="str">
        <x:v>Southeast</x:v>
      </x:c>
    </x:row>
    <x:row r="1599">
      <x:c r="A1599" s="50" t="n">
        <x:v>45894</x:v>
      </x:c>
      <x:c r="B1599" s="14" t="str">
        <x:v>SKU-0039</x:v>
      </x:c>
      <x:c r="C1599" s="52" t="n">
        <x:v>51</x:v>
      </x:c>
      <x:c r="D1599" s="40" t="n">
        <x:v>208.17</x:v>
      </x:c>
      <x:c r="E1599" s="44" t="n">
        <x:f>C1599*D1599</x:f>
        <x:v>10616.67</x:v>
      </x:c>
      <x:c r="F1599" s="40" t="n">
        <x:v>125.1</x:v>
      </x:c>
      <x:c r="G1599" s="44" t="n">
        <x:f>C1599*F1599</x:f>
        <x:v>6380.099999999999</x:v>
      </x:c>
      <x:c r="H1599" s="44" t="n">
        <x:f>E1599-G1599</x:f>
        <x:v>4236.570000000001</x:v>
      </x:c>
      <x:c r="I1599" s="14" t="str">
        <x:v>Distributor</x:v>
      </x:c>
      <x:c r="J1599" s="14" t="str">
        <x:v>West</x:v>
      </x:c>
    </x:row>
    <x:row r="1600">
      <x:c r="A1600" s="50" t="n">
        <x:v>46160</x:v>
      </x:c>
      <x:c r="B1600" s="14" t="str">
        <x:v>SKU-0014</x:v>
      </x:c>
      <x:c r="C1600" s="52" t="n">
        <x:v>8</x:v>
      </x:c>
      <x:c r="D1600" s="40" t="n">
        <x:v>287.53</x:v>
      </x:c>
      <x:c r="E1600" s="44" t="n">
        <x:f>C1600*D1600</x:f>
        <x:v>2300.24</x:v>
      </x:c>
      <x:c r="F1600" s="40" t="n">
        <x:v>152.14</x:v>
      </x:c>
      <x:c r="G1600" s="44" t="n">
        <x:f>C1600*F1600</x:f>
        <x:v>1217.12</x:v>
      </x:c>
      <x:c r="H1600" s="44" t="n">
        <x:f>E1600-G1600</x:f>
        <x:v>1083.12</x:v>
      </x:c>
      <x:c r="I1600" s="14" t="str">
        <x:v>Internal Use</x:v>
      </x:c>
      <x:c r="J1600" s="14" t="str">
        <x:v>West</x:v>
      </x:c>
    </x:row>
    <x:row r="1601">
      <x:c r="A1601" s="50" t="n">
        <x:v>46230</x:v>
      </x:c>
      <x:c r="B1601" s="14" t="str">
        <x:v>SKU-0090</x:v>
      </x:c>
      <x:c r="C1601" s="52" t="n">
        <x:v>1</x:v>
      </x:c>
      <x:c r="D1601" s="40" t="n">
        <x:v>214.72</x:v>
      </x:c>
      <x:c r="E1601" s="44" t="n">
        <x:f>C1601*D1601</x:f>
        <x:v>214.72</x:v>
      </x:c>
      <x:c r="F1601" s="40" t="n">
        <x:v>116.84</x:v>
      </x:c>
      <x:c r="G1601" s="44" t="n">
        <x:f>C1601*F1601</x:f>
        <x:v>116.84</x:v>
      </x:c>
      <x:c r="H1601" s="44" t="n">
        <x:f>E1601-G1601</x:f>
        <x:v>97.88</x:v>
      </x:c>
      <x:c r="I1601" s="14" t="str">
        <x:v>Distributor</x:v>
      </x:c>
      <x:c r="J1601" s="14" t="str">
        <x:v>Midwest</x:v>
      </x:c>
    </x:row>
    <x:row r="1602">
      <x:c r="A1602" s="50" t="n">
        <x:v>46001</x:v>
      </x:c>
      <x:c r="B1602" s="14" t="str">
        <x:v>SKU-0048</x:v>
      </x:c>
      <x:c r="C1602" s="52" t="n">
        <x:v>12</x:v>
      </x:c>
      <x:c r="D1602" s="40" t="n">
        <x:v>401.91</x:v>
      </x:c>
      <x:c r="E1602" s="44" t="n">
        <x:f>C1602*D1602</x:f>
        <x:v>4822.92</x:v>
      </x:c>
      <x:c r="F1602" s="40" t="n">
        <x:v>211.59</x:v>
      </x:c>
      <x:c r="G1602" s="44" t="n">
        <x:f>C1602*F1602</x:f>
        <x:v>2539.08</x:v>
      </x:c>
      <x:c r="H1602" s="44" t="n">
        <x:f>E1602-G1602</x:f>
        <x:v>2283.84</x:v>
      </x:c>
      <x:c r="I1602" s="14" t="str">
        <x:v>Enterprise</x:v>
      </x:c>
      <x:c r="J1602" s="14" t="str">
        <x:v>Southeast</x:v>
      </x:c>
    </x:row>
    <x:row r="1603">
      <x:c r="A1603" s="50" t="n">
        <x:v>46022</x:v>
      </x:c>
      <x:c r="B1603" s="14" t="str">
        <x:v>SKU-0005</x:v>
      </x:c>
      <x:c r="C1603" s="52" t="n">
        <x:v>7</x:v>
      </x:c>
      <x:c r="D1603" s="40" t="n">
        <x:v>346.07</x:v>
      </x:c>
      <x:c r="E1603" s="44" t="n">
        <x:f>C1603*D1603</x:f>
        <x:v>2422.49</x:v>
      </x:c>
      <x:c r="F1603" s="40" t="n">
        <x:v>176.62</x:v>
      </x:c>
      <x:c r="G1603" s="44" t="n">
        <x:f>C1603*F1603</x:f>
        <x:v>1236.3400000000001</x:v>
      </x:c>
      <x:c r="H1603" s="44" t="n">
        <x:f>E1603-G1603</x:f>
        <x:v>1186.1499999999996</x:v>
      </x:c>
      <x:c r="I1603" s="14" t="str">
        <x:v>Distributor</x:v>
      </x:c>
      <x:c r="J1603" s="14" t="str">
        <x:v>Northeast</x:v>
      </x:c>
    </x:row>
    <x:row r="1604">
      <x:c r="A1604" s="50" t="n">
        <x:v>45914</x:v>
      </x:c>
      <x:c r="B1604" s="14" t="str">
        <x:v>SKU-0118</x:v>
      </x:c>
      <x:c r="C1604" s="52" t="n">
        <x:v>1</x:v>
      </x:c>
      <x:c r="D1604" s="40" t="n">
        <x:v>574.76</x:v>
      </x:c>
      <x:c r="E1604" s="44" t="n">
        <x:f>C1604*D1604</x:f>
        <x:v>574.76</x:v>
      </x:c>
      <x:c r="F1604" s="40" t="n">
        <x:v>237.03</x:v>
      </x:c>
      <x:c r="G1604" s="44" t="n">
        <x:f>C1604*F1604</x:f>
        <x:v>237.03</x:v>
      </x:c>
      <x:c r="H1604" s="44" t="n">
        <x:f>E1604-G1604</x:f>
        <x:v>337.73</x:v>
      </x:c>
      <x:c r="I1604" s="14" t="str">
        <x:v>Enterprise</x:v>
      </x:c>
      <x:c r="J1604" s="14" t="str">
        <x:v>Northeast</x:v>
      </x:c>
    </x:row>
    <x:row r="1605">
      <x:c r="A1605" s="50" t="n">
        <x:v>46209</x:v>
      </x:c>
      <x:c r="B1605" s="14" t="str">
        <x:v>SKU-0039</x:v>
      </x:c>
      <x:c r="C1605" s="52" t="n">
        <x:v>14</x:v>
      </x:c>
      <x:c r="D1605" s="40" t="n">
        <x:v>229.71</x:v>
      </x:c>
      <x:c r="E1605" s="44" t="n">
        <x:f>C1605*D1605</x:f>
        <x:v>3215.94</x:v>
      </x:c>
      <x:c r="F1605" s="40" t="n">
        <x:v>125.1</x:v>
      </x:c>
      <x:c r="G1605" s="44" t="n">
        <x:f>C1605*F1605</x:f>
        <x:v>1751.3999999999999</x:v>
      </x:c>
      <x:c r="H1605" s="44" t="n">
        <x:f>E1605-G1605</x:f>
        <x:v>1464.5400000000002</x:v>
      </x:c>
      <x:c r="I1605" s="14" t="str">
        <x:v>Distributor</x:v>
      </x:c>
      <x:c r="J1605" s="14" t="str">
        <x:v>Northeast</x:v>
      </x:c>
    </x:row>
    <x:row r="1606">
      <x:c r="A1606" s="50" t="n">
        <x:v>46035</x:v>
      </x:c>
      <x:c r="B1606" s="14" t="str">
        <x:v>SKU-0024</x:v>
      </x:c>
      <x:c r="C1606" s="52" t="n">
        <x:v>5</x:v>
      </x:c>
      <x:c r="D1606" s="40" t="n">
        <x:v>253</x:v>
      </x:c>
      <x:c r="E1606" s="44" t="n">
        <x:f>C1606*D1606</x:f>
        <x:v>1265</x:v>
      </x:c>
      <x:c r="F1606" s="40" t="n">
        <x:v>151.69</x:v>
      </x:c>
      <x:c r="G1606" s="44" t="n">
        <x:f>C1606*F1606</x:f>
        <x:v>758.45</x:v>
      </x:c>
      <x:c r="H1606" s="44" t="n">
        <x:f>E1606-G1606</x:f>
        <x:v>506.54999999999995</x:v>
      </x:c>
      <x:c r="I1606" s="14" t="str">
        <x:v>SMB</x:v>
      </x:c>
      <x:c r="J1606" s="14" t="str">
        <x:v>Northeast</x:v>
      </x:c>
    </x:row>
    <x:row r="1607">
      <x:c r="A1607" s="50" t="n">
        <x:v>45882</x:v>
      </x:c>
      <x:c r="B1607" s="14" t="str">
        <x:v>SKU-0051</x:v>
      </x:c>
      <x:c r="C1607" s="52" t="n">
        <x:v>9</x:v>
      </x:c>
      <x:c r="D1607" s="40" t="n">
        <x:v>99.42</x:v>
      </x:c>
      <x:c r="E1607" s="44" t="n">
        <x:f>C1607*D1607</x:f>
        <x:v>894.78</x:v>
      </x:c>
      <x:c r="F1607" s="40" t="n">
        <x:v>74.69</x:v>
      </x:c>
      <x:c r="G1607" s="44" t="n">
        <x:f>C1607*F1607</x:f>
        <x:v>672.21</x:v>
      </x:c>
      <x:c r="H1607" s="44" t="n">
        <x:f>E1607-G1607</x:f>
        <x:v>222.56999999999994</x:v>
      </x:c>
      <x:c r="I1607" s="14" t="str">
        <x:v>Internal Use</x:v>
      </x:c>
      <x:c r="J1607" s="14" t="str">
        <x:v>Northeast</x:v>
      </x:c>
    </x:row>
    <x:row r="1608">
      <x:c r="A1608" s="50" t="n">
        <x:v>45957</x:v>
      </x:c>
      <x:c r="B1608" s="14" t="str">
        <x:v>SKU-0039</x:v>
      </x:c>
      <x:c r="C1608" s="52" t="n">
        <x:v>4</x:v>
      </x:c>
      <x:c r="D1608" s="40" t="n">
        <x:v>234.39</x:v>
      </x:c>
      <x:c r="E1608" s="44" t="n">
        <x:f>C1608*D1608</x:f>
        <x:v>937.56</x:v>
      </x:c>
      <x:c r="F1608" s="40" t="n">
        <x:v>125.1</x:v>
      </x:c>
      <x:c r="G1608" s="44" t="n">
        <x:f>C1608*F1608</x:f>
        <x:v>500.4</x:v>
      </x:c>
      <x:c r="H1608" s="44" t="n">
        <x:f>E1608-G1608</x:f>
        <x:v>437.15999999999997</x:v>
      </x:c>
      <x:c r="I1608" s="14" t="str">
        <x:v>Internal Use</x:v>
      </x:c>
      <x:c r="J1608" s="14" t="str">
        <x:v>West</x:v>
      </x:c>
    </x:row>
    <x:row r="1609">
      <x:c r="A1609" s="50" t="n">
        <x:v>46218</x:v>
      </x:c>
      <x:c r="B1609" s="14" t="str">
        <x:v>SKU-0120</x:v>
      </x:c>
      <x:c r="C1609" s="52" t="n">
        <x:v>5</x:v>
      </x:c>
      <x:c r="D1609" s="40" t="n">
        <x:v>75.04</x:v>
      </x:c>
      <x:c r="E1609" s="44" t="n">
        <x:f>C1609*D1609</x:f>
        <x:v>375.20000000000005</x:v>
      </x:c>
      <x:c r="F1609" s="40" t="n">
        <x:v>41.87</x:v>
      </x:c>
      <x:c r="G1609" s="44" t="n">
        <x:f>C1609*F1609</x:f>
        <x:v>209.35</x:v>
      </x:c>
      <x:c r="H1609" s="44" t="n">
        <x:f>E1609-G1609</x:f>
        <x:v>165.85000000000005</x:v>
      </x:c>
      <x:c r="I1609" s="14" t="str">
        <x:v>Enterprise</x:v>
      </x:c>
      <x:c r="J1609" s="14" t="str">
        <x:v>Northeast</x:v>
      </x:c>
    </x:row>
    <x:row r="1610">
      <x:c r="A1610" s="50" t="n">
        <x:v>46075</x:v>
      </x:c>
      <x:c r="B1610" s="14" t="str">
        <x:v>SKU-0029</x:v>
      </x:c>
      <x:c r="C1610" s="52" t="n">
        <x:v>7</x:v>
      </x:c>
      <x:c r="D1610" s="40" t="n">
        <x:v>17.23</x:v>
      </x:c>
      <x:c r="E1610" s="44" t="n">
        <x:f>C1610*D1610</x:f>
        <x:v>120.61</x:v>
      </x:c>
      <x:c r="F1610" s="40" t="n">
        <x:v>12.5</x:v>
      </x:c>
      <x:c r="G1610" s="44" t="n">
        <x:f>C1610*F1610</x:f>
        <x:v>87.5</x:v>
      </x:c>
      <x:c r="H1610" s="44" t="n">
        <x:f>E1610-G1610</x:f>
        <x:v>33.11</x:v>
      </x:c>
      <x:c r="I1610" s="14" t="str">
        <x:v>Enterprise</x:v>
      </x:c>
      <x:c r="J1610" s="14" t="str">
        <x:v>Northeast</x:v>
      </x:c>
    </x:row>
    <x:row r="1611">
      <x:c r="A1611" s="50" t="n">
        <x:v>45949</x:v>
      </x:c>
      <x:c r="B1611" s="14" t="str">
        <x:v>SKU-0115</x:v>
      </x:c>
      <x:c r="C1611" s="52" t="n">
        <x:v>22</x:v>
      </x:c>
      <x:c r="D1611" s="40" t="n">
        <x:v>36.76</x:v>
      </x:c>
      <x:c r="E1611" s="44" t="n">
        <x:f>C1611*D1611</x:f>
        <x:v>808.7199999999999</x:v>
      </x:c>
      <x:c r="F1611" s="40" t="n">
        <x:v>27.81</x:v>
      </x:c>
      <x:c r="G1611" s="44" t="n">
        <x:f>C1611*F1611</x:f>
        <x:v>611.8199999999999</x:v>
      </x:c>
      <x:c r="H1611" s="44" t="n">
        <x:f>E1611-G1611</x:f>
        <x:v>196.89999999999998</x:v>
      </x:c>
      <x:c r="I1611" s="14" t="str">
        <x:v>Internal Use</x:v>
      </x:c>
      <x:c r="J1611" s="14" t="str">
        <x:v>Southeast</x:v>
      </x:c>
    </x:row>
    <x:row r="1612">
      <x:c r="A1612" s="50" t="n">
        <x:v>46198</x:v>
      </x:c>
      <x:c r="B1612" s="14" t="str">
        <x:v>SKU-0051</x:v>
      </x:c>
      <x:c r="C1612" s="52" t="n">
        <x:v>13</x:v>
      </x:c>
      <x:c r="D1612" s="40" t="n">
        <x:v>102.32</x:v>
      </x:c>
      <x:c r="E1612" s="44" t="n">
        <x:f>C1612*D1612</x:f>
        <x:v>1330.1599999999999</x:v>
      </x:c>
      <x:c r="F1612" s="40" t="n">
        <x:v>74.69</x:v>
      </x:c>
      <x:c r="G1612" s="44" t="n">
        <x:f>C1612*F1612</x:f>
        <x:v>970.97</x:v>
      </x:c>
      <x:c r="H1612" s="44" t="n">
        <x:f>E1612-G1612</x:f>
        <x:v>359.1899999999998</x:v>
      </x:c>
      <x:c r="I1612" s="14" t="str">
        <x:v>SMB</x:v>
      </x:c>
      <x:c r="J1612" s="14" t="str">
        <x:v>West</x:v>
      </x:c>
    </x:row>
    <x:row r="1613">
      <x:c r="A1613" s="50" t="n">
        <x:v>46052</x:v>
      </x:c>
      <x:c r="B1613" s="14" t="str">
        <x:v>SKU-0098</x:v>
      </x:c>
      <x:c r="C1613" s="52" t="n">
        <x:v>2</x:v>
      </x:c>
      <x:c r="D1613" s="40" t="n">
        <x:v>385.91</x:v>
      </x:c>
      <x:c r="E1613" s="44" t="n">
        <x:f>C1613*D1613</x:f>
        <x:v>771.82</x:v>
      </x:c>
      <x:c r="F1613" s="40" t="n">
        <x:v>270.95</x:v>
      </x:c>
      <x:c r="G1613" s="44" t="n">
        <x:f>C1613*F1613</x:f>
        <x:v>541.9</x:v>
      </x:c>
      <x:c r="H1613" s="44" t="n">
        <x:f>E1613-G1613</x:f>
        <x:v>229.92000000000007</x:v>
      </x:c>
      <x:c r="I1613" s="14" t="str">
        <x:v>Distributor</x:v>
      </x:c>
      <x:c r="J1613" s="14" t="str">
        <x:v>Northeast</x:v>
      </x:c>
    </x:row>
    <x:row r="1614">
      <x:c r="A1614" s="50" t="n">
        <x:v>46024</x:v>
      </x:c>
      <x:c r="B1614" s="14" t="str">
        <x:v>SKU-0039</x:v>
      </x:c>
      <x:c r="C1614" s="52" t="n">
        <x:v>5</x:v>
      </x:c>
      <x:c r="D1614" s="40" t="n">
        <x:v>205.58</x:v>
      </x:c>
      <x:c r="E1614" s="44" t="n">
        <x:f>C1614*D1614</x:f>
        <x:v>1027.9</x:v>
      </x:c>
      <x:c r="F1614" s="40" t="n">
        <x:v>125.1</x:v>
      </x:c>
      <x:c r="G1614" s="44" t="n">
        <x:f>C1614*F1614</x:f>
        <x:v>625.5</x:v>
      </x:c>
      <x:c r="H1614" s="44" t="n">
        <x:f>E1614-G1614</x:f>
        <x:v>402.4000000000001</x:v>
      </x:c>
      <x:c r="I1614" s="14" t="str">
        <x:v>Internal Use</x:v>
      </x:c>
      <x:c r="J1614" s="14" t="str">
        <x:v>Southeast</x:v>
      </x:c>
    </x:row>
    <x:row r="1615">
      <x:c r="A1615" s="50" t="n">
        <x:v>45884</x:v>
      </x:c>
      <x:c r="B1615" s="14" t="str">
        <x:v>SKU-0087</x:v>
      </x:c>
      <x:c r="C1615" s="52" t="n">
        <x:v>10</x:v>
      </x:c>
      <x:c r="D1615" s="40" t="n">
        <x:v>319.94</x:v>
      </x:c>
      <x:c r="E1615" s="44" t="n">
        <x:f>C1615*D1615</x:f>
        <x:v>3199.4</x:v>
      </x:c>
      <x:c r="F1615" s="40" t="n">
        <x:v>194.73</x:v>
      </x:c>
      <x:c r="G1615" s="44" t="n">
        <x:f>C1615*F1615</x:f>
        <x:v>1947.3</x:v>
      </x:c>
      <x:c r="H1615" s="44" t="n">
        <x:f>E1615-G1615</x:f>
        <x:v>1252.1000000000001</x:v>
      </x:c>
      <x:c r="I1615" s="14" t="str">
        <x:v>Distributor</x:v>
      </x:c>
      <x:c r="J1615" s="14" t="str">
        <x:v>West</x:v>
      </x:c>
    </x:row>
    <x:row r="1616">
      <x:c r="A1616" s="50" t="n">
        <x:v>45888</x:v>
      </x:c>
      <x:c r="B1616" s="14" t="str">
        <x:v>SKU-0033</x:v>
      </x:c>
      <x:c r="C1616" s="52" t="n">
        <x:v>28</x:v>
      </x:c>
      <x:c r="D1616" s="40" t="n">
        <x:v>282.47</x:v>
      </x:c>
      <x:c r="E1616" s="44" t="n">
        <x:f>C1616*D1616</x:f>
        <x:v>7909.160000000001</x:v>
      </x:c>
      <x:c r="F1616" s="40" t="n">
        <x:v>185.66</x:v>
      </x:c>
      <x:c r="G1616" s="44" t="n">
        <x:f>C1616*F1616</x:f>
        <x:v>5198.48</x:v>
      </x:c>
      <x:c r="H1616" s="44" t="n">
        <x:f>E1616-G1616</x:f>
        <x:v>2710.680000000001</x:v>
      </x:c>
      <x:c r="I1616" s="14" t="str">
        <x:v>Distributor</x:v>
      </x:c>
      <x:c r="J1616" s="14" t="str">
        <x:v>Midwest</x:v>
      </x:c>
    </x:row>
    <x:row r="1617">
      <x:c r="A1617" s="50" t="n">
        <x:v>45913</x:v>
      </x:c>
      <x:c r="B1617" s="14" t="str">
        <x:v>SKU-0098</x:v>
      </x:c>
      <x:c r="C1617" s="52" t="n">
        <x:v>45</x:v>
      </x:c>
      <x:c r="D1617" s="40" t="n">
        <x:v>347.47</x:v>
      </x:c>
      <x:c r="E1617" s="44" t="n">
        <x:f>C1617*D1617</x:f>
        <x:v>15636.150000000001</x:v>
      </x:c>
      <x:c r="F1617" s="40" t="n">
        <x:v>270.95</x:v>
      </x:c>
      <x:c r="G1617" s="44" t="n">
        <x:f>C1617*F1617</x:f>
        <x:v>12192.75</x:v>
      </x:c>
      <x:c r="H1617" s="44" t="n">
        <x:f>E1617-G1617</x:f>
        <x:v>3443.4000000000015</x:v>
      </x:c>
      <x:c r="I1617" s="14" t="str">
        <x:v>SMB</x:v>
      </x:c>
      <x:c r="J1617" s="14" t="str">
        <x:v>Midwest</x:v>
      </x:c>
    </x:row>
    <x:row r="1618">
      <x:c r="A1618" s="50" t="n">
        <x:v>46235</x:v>
      </x:c>
      <x:c r="B1618" s="14" t="str">
        <x:v>SKU-0033</x:v>
      </x:c>
      <x:c r="C1618" s="52" t="n">
        <x:v>17</x:v>
      </x:c>
      <x:c r="D1618" s="40" t="n">
        <x:v>285.66</x:v>
      </x:c>
      <x:c r="E1618" s="44" t="n">
        <x:f>C1618*D1618</x:f>
        <x:v>4856.22</x:v>
      </x:c>
      <x:c r="F1618" s="40" t="n">
        <x:v>185.66</x:v>
      </x:c>
      <x:c r="G1618" s="44" t="n">
        <x:f>C1618*F1618</x:f>
        <x:v>3156.22</x:v>
      </x:c>
      <x:c r="H1618" s="44" t="n">
        <x:f>E1618-G1618</x:f>
        <x:v>1700.0000000000005</x:v>
      </x:c>
      <x:c r="I1618" s="14" t="str">
        <x:v>SMB</x:v>
      </x:c>
      <x:c r="J1618" s="14" t="str">
        <x:v>West</x:v>
      </x:c>
    </x:row>
    <x:row r="1619">
      <x:c r="A1619" s="50" t="n">
        <x:v>45952</x:v>
      </x:c>
      <x:c r="B1619" s="14" t="str">
        <x:v>SKU-0031</x:v>
      </x:c>
      <x:c r="C1619" s="52" t="n">
        <x:v>5</x:v>
      </x:c>
      <x:c r="D1619" s="40" t="n">
        <x:v>290.94</x:v>
      </x:c>
      <x:c r="E1619" s="44" t="n">
        <x:f>C1619*D1619</x:f>
        <x:v>1454.7</x:v>
      </x:c>
      <x:c r="F1619" s="40" t="n">
        <x:v>247.09</x:v>
      </x:c>
      <x:c r="G1619" s="44" t="n">
        <x:f>C1619*F1619</x:f>
        <x:v>1235.45</x:v>
      </x:c>
      <x:c r="H1619" s="44" t="n">
        <x:f>E1619-G1619</x:f>
        <x:v>219.25</x:v>
      </x:c>
      <x:c r="I1619" s="14" t="str">
        <x:v>Distributor</x:v>
      </x:c>
      <x:c r="J1619" s="14" t="str">
        <x:v>Midwest</x:v>
      </x:c>
    </x:row>
    <x:row r="1620">
      <x:c r="A1620" s="50" t="n">
        <x:v>46037</x:v>
      </x:c>
      <x:c r="B1620" s="14" t="str">
        <x:v>SKU-0100</x:v>
      </x:c>
      <x:c r="C1620" s="52" t="n">
        <x:v>13</x:v>
      </x:c>
      <x:c r="D1620" s="40" t="n">
        <x:v>196.87</x:v>
      </x:c>
      <x:c r="E1620" s="44" t="n">
        <x:f>C1620*D1620</x:f>
        <x:v>2559.31</x:v>
      </x:c>
      <x:c r="F1620" s="40" t="n">
        <x:v>108.23</x:v>
      </x:c>
      <x:c r="G1620" s="44" t="n">
        <x:f>C1620*F1620</x:f>
        <x:v>1406.99</x:v>
      </x:c>
      <x:c r="H1620" s="44" t="n">
        <x:f>E1620-G1620</x:f>
        <x:v>1152.32</x:v>
      </x:c>
      <x:c r="I1620" s="14" t="str">
        <x:v>Distributor</x:v>
      </x:c>
      <x:c r="J1620" s="14" t="str">
        <x:v>Northeast</x:v>
      </x:c>
    </x:row>
    <x:row r="1621">
      <x:c r="A1621" s="50" t="n">
        <x:v>45893</x:v>
      </x:c>
      <x:c r="B1621" s="14" t="str">
        <x:v>SKU-0040</x:v>
      </x:c>
      <x:c r="C1621" s="52" t="n">
        <x:v>3</x:v>
      </x:c>
      <x:c r="D1621" s="40" t="n">
        <x:v>401.31</x:v>
      </x:c>
      <x:c r="E1621" s="44" t="n">
        <x:f>C1621*D1621</x:f>
        <x:v>1203.93</x:v>
      </x:c>
      <x:c r="F1621" s="40" t="n">
        <x:v>229.61</x:v>
      </x:c>
      <x:c r="G1621" s="44" t="n">
        <x:f>C1621*F1621</x:f>
        <x:v>688.83</x:v>
      </x:c>
      <x:c r="H1621" s="44" t="n">
        <x:f>E1621-G1621</x:f>
        <x:v>515.1</x:v>
      </x:c>
      <x:c r="I1621" s="14" t="str">
        <x:v>Enterprise</x:v>
      </x:c>
      <x:c r="J1621" s="14" t="str">
        <x:v>Midwest</x:v>
      </x:c>
    </x:row>
    <x:row r="1622">
      <x:c r="A1622" s="50" t="n">
        <x:v>46125</x:v>
      </x:c>
      <x:c r="B1622" s="14" t="str">
        <x:v>SKU-0042</x:v>
      </x:c>
      <x:c r="C1622" s="52" t="n">
        <x:v>4</x:v>
      </x:c>
      <x:c r="D1622" s="40" t="n">
        <x:v>271.19</x:v>
      </x:c>
      <x:c r="E1622" s="44" t="n">
        <x:f>C1622*D1622</x:f>
        <x:v>1084.76</x:v>
      </x:c>
      <x:c r="F1622" s="40" t="n">
        <x:v>218.51</x:v>
      </x:c>
      <x:c r="G1622" s="44" t="n">
        <x:f>C1622*F1622</x:f>
        <x:v>874.04</x:v>
      </x:c>
      <x:c r="H1622" s="44" t="n">
        <x:f>E1622-G1622</x:f>
        <x:v>210.72000000000003</x:v>
      </x:c>
      <x:c r="I1622" s="14" t="str">
        <x:v>Enterprise</x:v>
      </x:c>
      <x:c r="J1622" s="14" t="str">
        <x:v>West</x:v>
      </x:c>
    </x:row>
    <x:row r="1623">
      <x:c r="A1623" s="50" t="n">
        <x:v>46100</x:v>
      </x:c>
      <x:c r="B1623" s="14" t="str">
        <x:v>SKU-0022</x:v>
      </x:c>
      <x:c r="C1623" s="52" t="n">
        <x:v>7</x:v>
      </x:c>
      <x:c r="D1623" s="40" t="n">
        <x:v>281.5</x:v>
      </x:c>
      <x:c r="E1623" s="44" t="n">
        <x:f>C1623*D1623</x:f>
        <x:v>1970.5</x:v>
      </x:c>
      <x:c r="F1623" s="40" t="n">
        <x:v>167.48</x:v>
      </x:c>
      <x:c r="G1623" s="44" t="n">
        <x:f>C1623*F1623</x:f>
        <x:v>1172.36</x:v>
      </x:c>
      <x:c r="H1623" s="44" t="n">
        <x:f>E1623-G1623</x:f>
        <x:v>798.1400000000001</x:v>
      </x:c>
      <x:c r="I1623" s="14" t="str">
        <x:v>SMB</x:v>
      </x:c>
      <x:c r="J1623" s="14" t="str">
        <x:v>Southeast</x:v>
      </x:c>
    </x:row>
    <x:row r="1624">
      <x:c r="A1624" s="50" t="n">
        <x:v>46151</x:v>
      </x:c>
      <x:c r="B1624" s="14" t="str">
        <x:v>SKU-0073</x:v>
      </x:c>
      <x:c r="C1624" s="52" t="n">
        <x:v>72</x:v>
      </x:c>
      <x:c r="D1624" s="40" t="n">
        <x:v>64.66</x:v>
      </x:c>
      <x:c r="E1624" s="44" t="n">
        <x:f>C1624*D1624</x:f>
        <x:v>4655.5199999999995</x:v>
      </x:c>
      <x:c r="F1624" s="40" t="n">
        <x:v>37.01</x:v>
      </x:c>
      <x:c r="G1624" s="44" t="n">
        <x:f>C1624*F1624</x:f>
        <x:v>2664.72</x:v>
      </x:c>
      <x:c r="H1624" s="44" t="n">
        <x:f>E1624-G1624</x:f>
        <x:v>1990.7999999999997</x:v>
      </x:c>
      <x:c r="I1624" s="14" t="str">
        <x:v>Distributor</x:v>
      </x:c>
      <x:c r="J1624" s="14" t="str">
        <x:v>Southeast</x:v>
      </x:c>
    </x:row>
    <x:row r="1625">
      <x:c r="A1625" s="50" t="n">
        <x:v>45993</x:v>
      </x:c>
      <x:c r="B1625" s="14" t="str">
        <x:v>SKU-0002</x:v>
      </x:c>
      <x:c r="C1625" s="52" t="n">
        <x:v>71</x:v>
      </x:c>
      <x:c r="D1625" s="40" t="n">
        <x:v>74.05</x:v>
      </x:c>
      <x:c r="E1625" s="44" t="n">
        <x:f>C1625*D1625</x:f>
        <x:v>5257.55</x:v>
      </x:c>
      <x:c r="F1625" s="40" t="n">
        <x:v>66.06</x:v>
      </x:c>
      <x:c r="G1625" s="44" t="n">
        <x:f>C1625*F1625</x:f>
        <x:v>4690.26</x:v>
      </x:c>
      <x:c r="H1625" s="44" t="n">
        <x:f>E1625-G1625</x:f>
        <x:v>567.29</x:v>
      </x:c>
      <x:c r="I1625" s="14" t="str">
        <x:v>Enterprise</x:v>
      </x:c>
      <x:c r="J1625" s="14" t="str">
        <x:v>Northeast</x:v>
      </x:c>
    </x:row>
    <x:row r="1626">
      <x:c r="A1626" s="50" t="n">
        <x:v>46195</x:v>
      </x:c>
      <x:c r="B1626" s="14" t="str">
        <x:v>SKU-0005</x:v>
      </x:c>
      <x:c r="C1626" s="52" t="n">
        <x:v>1</x:v>
      </x:c>
      <x:c r="D1626" s="40" t="n">
        <x:v>366.29</x:v>
      </x:c>
      <x:c r="E1626" s="44" t="n">
        <x:f>C1626*D1626</x:f>
        <x:v>366.29</x:v>
      </x:c>
      <x:c r="F1626" s="40" t="n">
        <x:v>176.62</x:v>
      </x:c>
      <x:c r="G1626" s="44" t="n">
        <x:f>C1626*F1626</x:f>
        <x:v>176.62</x:v>
      </x:c>
      <x:c r="H1626" s="44" t="n">
        <x:f>E1626-G1626</x:f>
        <x:v>189.67000000000002</x:v>
      </x:c>
      <x:c r="I1626" s="14" t="str">
        <x:v>Internal Use</x:v>
      </x:c>
      <x:c r="J1626" s="14" t="str">
        <x:v>Midwest</x:v>
      </x:c>
    </x:row>
    <x:row r="1627">
      <x:c r="A1627" s="50" t="n">
        <x:v>46037</x:v>
      </x:c>
      <x:c r="B1627" s="14" t="str">
        <x:v>SKU-0109</x:v>
      </x:c>
      <x:c r="C1627" s="52" t="n">
        <x:v>11</x:v>
      </x:c>
      <x:c r="D1627" s="40" t="n">
        <x:v>152.28</x:v>
      </x:c>
      <x:c r="E1627" s="44" t="n">
        <x:f>C1627*D1627</x:f>
        <x:v>1675.08</x:v>
      </x:c>
      <x:c r="F1627" s="40" t="n">
        <x:v>119.32</x:v>
      </x:c>
      <x:c r="G1627" s="44" t="n">
        <x:f>C1627*F1627</x:f>
        <x:v>1312.52</x:v>
      </x:c>
      <x:c r="H1627" s="44" t="n">
        <x:f>E1627-G1627</x:f>
        <x:v>362.55999999999995</x:v>
      </x:c>
      <x:c r="I1627" s="14" t="str">
        <x:v>Distributor</x:v>
      </x:c>
      <x:c r="J1627" s="14" t="str">
        <x:v>Midwest</x:v>
      </x:c>
    </x:row>
    <x:row r="1628">
      <x:c r="A1628" s="50" t="n">
        <x:v>46097</x:v>
      </x:c>
      <x:c r="B1628" s="14" t="str">
        <x:v>SKU-0073</x:v>
      </x:c>
      <x:c r="C1628" s="52" t="n">
        <x:v>1</x:v>
      </x:c>
      <x:c r="D1628" s="40" t="n">
        <x:v>62.57</x:v>
      </x:c>
      <x:c r="E1628" s="44" t="n">
        <x:f>C1628*D1628</x:f>
        <x:v>62.57</x:v>
      </x:c>
      <x:c r="F1628" s="40" t="n">
        <x:v>37.01</x:v>
      </x:c>
      <x:c r="G1628" s="44" t="n">
        <x:f>C1628*F1628</x:f>
        <x:v>37.01</x:v>
      </x:c>
      <x:c r="H1628" s="44" t="n">
        <x:f>E1628-G1628</x:f>
        <x:v>25.560000000000002</x:v>
      </x:c>
      <x:c r="I1628" s="14" t="str">
        <x:v>Distributor</x:v>
      </x:c>
      <x:c r="J1628" s="14" t="str">
        <x:v>West</x:v>
      </x:c>
    </x:row>
    <x:row r="1629">
      <x:c r="A1629" s="50" t="n">
        <x:v>45881</x:v>
      </x:c>
      <x:c r="B1629" s="14" t="str">
        <x:v>SKU-0112</x:v>
      </x:c>
      <x:c r="C1629" s="52" t="n">
        <x:v>2</x:v>
      </x:c>
      <x:c r="D1629" s="40" t="n">
        <x:v>304.6</x:v>
      </x:c>
      <x:c r="E1629" s="44" t="n">
        <x:f>C1629*D1629</x:f>
        <x:v>609.2</x:v>
      </x:c>
      <x:c r="F1629" s="40" t="n">
        <x:v>175.75</x:v>
      </x:c>
      <x:c r="G1629" s="44" t="n">
        <x:f>C1629*F1629</x:f>
        <x:v>351.5</x:v>
      </x:c>
      <x:c r="H1629" s="44" t="n">
        <x:f>E1629-G1629</x:f>
        <x:v>257.70000000000005</x:v>
      </x:c>
      <x:c r="I1629" s="14" t="str">
        <x:v>Enterprise</x:v>
      </x:c>
      <x:c r="J1629" s="14" t="str">
        <x:v>Northeast</x:v>
      </x:c>
    </x:row>
    <x:row r="1630">
      <x:c r="A1630" s="50" t="n">
        <x:v>45893</x:v>
      </x:c>
      <x:c r="B1630" s="14" t="str">
        <x:v>SKU-0054</x:v>
      </x:c>
      <x:c r="C1630" s="52" t="n">
        <x:v>44</x:v>
      </x:c>
      <x:c r="D1630" s="40" t="n">
        <x:v>81.77</x:v>
      </x:c>
      <x:c r="E1630" s="44" t="n">
        <x:f>C1630*D1630</x:f>
        <x:v>3597.8799999999997</x:v>
      </x:c>
      <x:c r="F1630" s="40" t="n">
        <x:v>49.06</x:v>
      </x:c>
      <x:c r="G1630" s="44" t="n">
        <x:f>C1630*F1630</x:f>
        <x:v>2158.6400000000003</x:v>
      </x:c>
      <x:c r="H1630" s="44" t="n">
        <x:f>E1630-G1630</x:f>
        <x:v>1439.2399999999993</x:v>
      </x:c>
      <x:c r="I1630" s="14" t="str">
        <x:v>SMB</x:v>
      </x:c>
      <x:c r="J1630" s="14" t="str">
        <x:v>Northeast</x:v>
      </x:c>
    </x:row>
    <x:row r="1631">
      <x:c r="A1631" s="50" t="n">
        <x:v>46084</x:v>
      </x:c>
      <x:c r="B1631" s="14" t="str">
        <x:v>SKU-0116</x:v>
      </x:c>
      <x:c r="C1631" s="52" t="n">
        <x:v>8</x:v>
      </x:c>
      <x:c r="D1631" s="40" t="n">
        <x:v>48.65</x:v>
      </x:c>
      <x:c r="E1631" s="44" t="n">
        <x:f>C1631*D1631</x:f>
        <x:v>389.2</x:v>
      </x:c>
      <x:c r="F1631" s="40" t="n">
        <x:v>36.42</x:v>
      </x:c>
      <x:c r="G1631" s="44" t="n">
        <x:f>C1631*F1631</x:f>
        <x:v>291.36</x:v>
      </x:c>
      <x:c r="H1631" s="44" t="n">
        <x:f>E1631-G1631</x:f>
        <x:v>97.83999999999997</x:v>
      </x:c>
      <x:c r="I1631" s="14" t="str">
        <x:v>Enterprise</x:v>
      </x:c>
      <x:c r="J1631" s="14" t="str">
        <x:v>Northeast</x:v>
      </x:c>
    </x:row>
    <x:row r="1632">
      <x:c r="A1632" s="50" t="n">
        <x:v>46109</x:v>
      </x:c>
      <x:c r="B1632" s="14" t="str">
        <x:v>SKU-0094</x:v>
      </x:c>
      <x:c r="C1632" s="52" t="n">
        <x:v>2</x:v>
      </x:c>
      <x:c r="D1632" s="40" t="n">
        <x:v>10.32</x:v>
      </x:c>
      <x:c r="E1632" s="44" t="n">
        <x:f>C1632*D1632</x:f>
        <x:v>20.64</x:v>
      </x:c>
      <x:c r="F1632" s="40" t="n">
        <x:v>4.75</x:v>
      </x:c>
      <x:c r="G1632" s="44" t="n">
        <x:f>C1632*F1632</x:f>
        <x:v>9.5</x:v>
      </x:c>
      <x:c r="H1632" s="44" t="n">
        <x:f>E1632-G1632</x:f>
        <x:v>11.14</x:v>
      </x:c>
      <x:c r="I1632" s="14" t="str">
        <x:v>Enterprise</x:v>
      </x:c>
      <x:c r="J1632" s="14" t="str">
        <x:v>Midwest</x:v>
      </x:c>
    </x:row>
    <x:row r="1633">
      <x:c r="A1633" s="50" t="n">
        <x:v>46117</x:v>
      </x:c>
      <x:c r="B1633" s="14" t="str">
        <x:v>SKU-0016</x:v>
      </x:c>
      <x:c r="C1633" s="52" t="n">
        <x:v>2</x:v>
      </x:c>
      <x:c r="D1633" s="40" t="n">
        <x:v>393.5</x:v>
      </x:c>
      <x:c r="E1633" s="44" t="n">
        <x:f>C1633*D1633</x:f>
        <x:v>787</x:v>
      </x:c>
      <x:c r="F1633" s="40" t="n">
        <x:v>204.58</x:v>
      </x:c>
      <x:c r="G1633" s="44" t="n">
        <x:f>C1633*F1633</x:f>
        <x:v>409.16</x:v>
      </x:c>
      <x:c r="H1633" s="44" t="n">
        <x:f>E1633-G1633</x:f>
        <x:v>377.84</x:v>
      </x:c>
      <x:c r="I1633" s="14" t="str">
        <x:v>Enterprise</x:v>
      </x:c>
      <x:c r="J1633" s="14" t="str">
        <x:v>Southeast</x:v>
      </x:c>
    </x:row>
    <x:row r="1634">
      <x:c r="A1634" s="50" t="n">
        <x:v>46116</x:v>
      </x:c>
      <x:c r="B1634" s="14" t="str">
        <x:v>SKU-0014</x:v>
      </x:c>
      <x:c r="C1634" s="52" t="n">
        <x:v>13</x:v>
      </x:c>
      <x:c r="D1634" s="40" t="n">
        <x:v>299.69</x:v>
      </x:c>
      <x:c r="E1634" s="44" t="n">
        <x:f>C1634*D1634</x:f>
        <x:v>3895.97</x:v>
      </x:c>
      <x:c r="F1634" s="40" t="n">
        <x:v>152.14</x:v>
      </x:c>
      <x:c r="G1634" s="44" t="n">
        <x:f>C1634*F1634</x:f>
        <x:v>1977.8199999999997</x:v>
      </x:c>
      <x:c r="H1634" s="44" t="n">
        <x:f>E1634-G1634</x:f>
        <x:v>1918.15</x:v>
      </x:c>
      <x:c r="I1634" s="14" t="str">
        <x:v>Distributor</x:v>
      </x:c>
      <x:c r="J1634" s="14" t="str">
        <x:v>Midwest</x:v>
      </x:c>
    </x:row>
    <x:row r="1635">
      <x:c r="A1635" s="50" t="n">
        <x:v>46021</x:v>
      </x:c>
      <x:c r="B1635" s="14" t="str">
        <x:v>SKU-0136</x:v>
      </x:c>
      <x:c r="C1635" s="52" t="n">
        <x:v>8</x:v>
      </x:c>
      <x:c r="D1635" s="40" t="n">
        <x:v>143.94</x:v>
      </x:c>
      <x:c r="E1635" s="44" t="n">
        <x:f>C1635*D1635</x:f>
        <x:v>1151.52</x:v>
      </x:c>
      <x:c r="F1635" s="40" t="n">
        <x:v>105.97</x:v>
      </x:c>
      <x:c r="G1635" s="44" t="n">
        <x:f>C1635*F1635</x:f>
        <x:v>847.76</x:v>
      </x:c>
      <x:c r="H1635" s="44" t="n">
        <x:f>E1635-G1635</x:f>
        <x:v>303.76</x:v>
      </x:c>
      <x:c r="I1635" s="14" t="str">
        <x:v>Enterprise</x:v>
      </x:c>
      <x:c r="J1635" s="14" t="str">
        <x:v>Southeast</x:v>
      </x:c>
    </x:row>
    <x:row r="1636">
      <x:c r="A1636" s="50" t="n">
        <x:v>45888</x:v>
      </x:c>
      <x:c r="B1636" s="14" t="str">
        <x:v>SKU-0007</x:v>
      </x:c>
      <x:c r="C1636" s="52" t="n">
        <x:v>10</x:v>
      </x:c>
      <x:c r="D1636" s="40" t="n">
        <x:v>188.97</x:v>
      </x:c>
      <x:c r="E1636" s="44" t="n">
        <x:f>C1636*D1636</x:f>
        <x:v>1889.7</x:v>
      </x:c>
      <x:c r="F1636" s="40" t="n">
        <x:v>123.15</x:v>
      </x:c>
      <x:c r="G1636" s="44" t="n">
        <x:f>C1636*F1636</x:f>
        <x:v>1231.5</x:v>
      </x:c>
      <x:c r="H1636" s="44" t="n">
        <x:f>E1636-G1636</x:f>
        <x:v>658.2</x:v>
      </x:c>
      <x:c r="I1636" s="14" t="str">
        <x:v>Distributor</x:v>
      </x:c>
      <x:c r="J1636" s="14" t="str">
        <x:v>West</x:v>
      </x:c>
    </x:row>
    <x:row r="1637">
      <x:c r="A1637" s="50" t="n">
        <x:v>46240</x:v>
      </x:c>
      <x:c r="B1637" s="14" t="str">
        <x:v>SKU-0110</x:v>
      </x:c>
      <x:c r="C1637" s="52" t="n">
        <x:v>7</x:v>
      </x:c>
      <x:c r="D1637" s="40" t="n">
        <x:v>25.94</x:v>
      </x:c>
      <x:c r="E1637" s="44" t="n">
        <x:f>C1637*D1637</x:f>
        <x:v>181.58</x:v>
      </x:c>
      <x:c r="F1637" s="40" t="n">
        <x:v>14.53</x:v>
      </x:c>
      <x:c r="G1637" s="44" t="n">
        <x:f>C1637*F1637</x:f>
        <x:v>101.71</x:v>
      </x:c>
      <x:c r="H1637" s="44" t="n">
        <x:f>E1637-G1637</x:f>
        <x:v>79.87000000000002</x:v>
      </x:c>
      <x:c r="I1637" s="14" t="str">
        <x:v>Enterprise</x:v>
      </x:c>
      <x:c r="J1637" s="14" t="str">
        <x:v>Northeast</x:v>
      </x:c>
    </x:row>
    <x:row r="1638">
      <x:c r="A1638" s="50" t="n">
        <x:v>45981</x:v>
      </x:c>
      <x:c r="B1638" s="14" t="str">
        <x:v>SKU-0086</x:v>
      </x:c>
      <x:c r="C1638" s="52" t="n">
        <x:v>23</x:v>
      </x:c>
      <x:c r="D1638" s="40" t="n">
        <x:v>215.14</x:v>
      </x:c>
      <x:c r="E1638" s="44" t="n">
        <x:f>C1638*D1638</x:f>
        <x:v>4948.219999999999</x:v>
      </x:c>
      <x:c r="F1638" s="40" t="n">
        <x:v>148.45</x:v>
      </x:c>
      <x:c r="G1638" s="44" t="n">
        <x:f>C1638*F1638</x:f>
        <x:v>3414.35</x:v>
      </x:c>
      <x:c r="H1638" s="44" t="n">
        <x:f>E1638-G1638</x:f>
        <x:v>1533.8699999999994</x:v>
      </x:c>
      <x:c r="I1638" s="14" t="str">
        <x:v>Internal Use</x:v>
      </x:c>
      <x:c r="J1638" s="14" t="str">
        <x:v>Midwest</x:v>
      </x:c>
    </x:row>
    <x:row r="1639">
      <x:c r="A1639" s="50" t="n">
        <x:v>46081</x:v>
      </x:c>
      <x:c r="B1639" s="14" t="str">
        <x:v>SKU-0112</x:v>
      </x:c>
      <x:c r="C1639" s="52" t="n">
        <x:v>8</x:v>
      </x:c>
      <x:c r="D1639" s="40" t="n">
        <x:v>285.89</x:v>
      </x:c>
      <x:c r="E1639" s="44" t="n">
        <x:f>C1639*D1639</x:f>
        <x:v>2287.12</x:v>
      </x:c>
      <x:c r="F1639" s="40" t="n">
        <x:v>175.75</x:v>
      </x:c>
      <x:c r="G1639" s="44" t="n">
        <x:f>C1639*F1639</x:f>
        <x:v>1406</x:v>
      </x:c>
      <x:c r="H1639" s="44" t="n">
        <x:f>E1639-G1639</x:f>
        <x:v>881.1199999999999</x:v>
      </x:c>
      <x:c r="I1639" s="14" t="str">
        <x:v>Enterprise</x:v>
      </x:c>
      <x:c r="J1639" s="14" t="str">
        <x:v>Southeast</x:v>
      </x:c>
    </x:row>
    <x:row r="1640">
      <x:c r="A1640" s="50" t="n">
        <x:v>46238</x:v>
      </x:c>
      <x:c r="B1640" s="14" t="str">
        <x:v>SKU-0036</x:v>
      </x:c>
      <x:c r="C1640" s="52" t="n">
        <x:v>3</x:v>
      </x:c>
      <x:c r="D1640" s="40" t="n">
        <x:v>266.94</x:v>
      </x:c>
      <x:c r="E1640" s="44" t="n">
        <x:f>C1640*D1640</x:f>
        <x:v>800.8199999999999</x:v>
      </x:c>
      <x:c r="F1640" s="40" t="n">
        <x:v>122.19</x:v>
      </x:c>
      <x:c r="G1640" s="44" t="n">
        <x:f>C1640*F1640</x:f>
        <x:v>366.57</x:v>
      </x:c>
      <x:c r="H1640" s="44" t="n">
        <x:f>E1640-G1640</x:f>
        <x:v>434.24999999999994</x:v>
      </x:c>
      <x:c r="I1640" s="14" t="str">
        <x:v>Enterprise</x:v>
      </x:c>
      <x:c r="J1640" s="14" t="str">
        <x:v>Midwest</x:v>
      </x:c>
    </x:row>
    <x:row r="1641">
      <x:c r="A1641" s="50" t="n">
        <x:v>46200</x:v>
      </x:c>
      <x:c r="B1641" s="14" t="str">
        <x:v>SKU-0085</x:v>
      </x:c>
      <x:c r="C1641" s="52" t="n">
        <x:v>14</x:v>
      </x:c>
      <x:c r="D1641" s="40" t="n">
        <x:v>405.36</x:v>
      </x:c>
      <x:c r="E1641" s="44" t="n">
        <x:f>C1641*D1641</x:f>
        <x:v>5675.04</x:v>
      </x:c>
      <x:c r="F1641" s="40" t="n">
        <x:v>222.39</x:v>
      </x:c>
      <x:c r="G1641" s="44" t="n">
        <x:f>C1641*F1641</x:f>
        <x:v>3113.46</x:v>
      </x:c>
      <x:c r="H1641" s="44" t="n">
        <x:f>E1641-G1641</x:f>
        <x:v>2561.58</x:v>
      </x:c>
      <x:c r="I1641" s="14" t="str">
        <x:v>Enterprise</x:v>
      </x:c>
      <x:c r="J1641" s="14" t="str">
        <x:v>West</x:v>
      </x:c>
    </x:row>
    <x:row r="1642">
      <x:c r="A1642" s="50" t="n">
        <x:v>46221</x:v>
      </x:c>
      <x:c r="B1642" s="14" t="str">
        <x:v>SKU-0125</x:v>
      </x:c>
      <x:c r="C1642" s="52" t="n">
        <x:v>5</x:v>
      </x:c>
      <x:c r="D1642" s="40" t="n">
        <x:v>57.22</x:v>
      </x:c>
      <x:c r="E1642" s="44" t="n">
        <x:f>C1642*D1642</x:f>
        <x:v>286.1</x:v>
      </x:c>
      <x:c r="F1642" s="40" t="n">
        <x:v>38.35</x:v>
      </x:c>
      <x:c r="G1642" s="44" t="n">
        <x:f>C1642*F1642</x:f>
        <x:v>191.75</x:v>
      </x:c>
      <x:c r="H1642" s="44" t="n">
        <x:f>E1642-G1642</x:f>
        <x:v>94.35000000000002</x:v>
      </x:c>
      <x:c r="I1642" s="14" t="str">
        <x:v>Distributor</x:v>
      </x:c>
      <x:c r="J1642" s="14" t="str">
        <x:v>Southeast</x:v>
      </x:c>
    </x:row>
    <x:row r="1643">
      <x:c r="A1643" s="50" t="n">
        <x:v>46162</x:v>
      </x:c>
      <x:c r="B1643" s="14" t="str">
        <x:v>SKU-0140</x:v>
      </x:c>
      <x:c r="C1643" s="52" t="n">
        <x:v>11</x:v>
      </x:c>
      <x:c r="D1643" s="40" t="n">
        <x:v>275.35</x:v>
      </x:c>
      <x:c r="E1643" s="44" t="n">
        <x:f>C1643*D1643</x:f>
        <x:v>3028.8500000000004</x:v>
      </x:c>
      <x:c r="F1643" s="40" t="n">
        <x:v>188.55</x:v>
      </x:c>
      <x:c r="G1643" s="44" t="n">
        <x:f>C1643*F1643</x:f>
        <x:v>2074.05</x:v>
      </x:c>
      <x:c r="H1643" s="44" t="n">
        <x:f>E1643-G1643</x:f>
        <x:v>954.8000000000002</x:v>
      </x:c>
      <x:c r="I1643" s="14" t="str">
        <x:v>SMB</x:v>
      </x:c>
      <x:c r="J1643" s="14" t="str">
        <x:v>Northeast</x:v>
      </x:c>
    </x:row>
    <x:row r="1644">
      <x:c r="A1644" s="50" t="n">
        <x:v>45968</x:v>
      </x:c>
      <x:c r="B1644" s="14" t="str">
        <x:v>SKU-0082</x:v>
      </x:c>
      <x:c r="C1644" s="52" t="n">
        <x:v>9</x:v>
      </x:c>
      <x:c r="D1644" s="40" t="n">
        <x:v>148.37</x:v>
      </x:c>
      <x:c r="E1644" s="44" t="n">
        <x:f>C1644*D1644</x:f>
        <x:v>1335.33</x:v>
      </x:c>
      <x:c r="F1644" s="40" t="n">
        <x:v>79.16</x:v>
      </x:c>
      <x:c r="G1644" s="44" t="n">
        <x:f>C1644*F1644</x:f>
        <x:v>712.4399999999999</x:v>
      </x:c>
      <x:c r="H1644" s="44" t="n">
        <x:f>E1644-G1644</x:f>
        <x:v>622.89</x:v>
      </x:c>
      <x:c r="I1644" s="14" t="str">
        <x:v>Internal Use</x:v>
      </x:c>
      <x:c r="J1644" s="14" t="str">
        <x:v>West</x:v>
      </x:c>
    </x:row>
    <x:row r="1645">
      <x:c r="A1645" s="50" t="n">
        <x:v>46132</x:v>
      </x:c>
      <x:c r="B1645" s="14" t="str">
        <x:v>SKU-0136</x:v>
      </x:c>
      <x:c r="C1645" s="52" t="n">
        <x:v>15</x:v>
      </x:c>
      <x:c r="D1645" s="40" t="n">
        <x:v>139.4</x:v>
      </x:c>
      <x:c r="E1645" s="44" t="n">
        <x:f>C1645*D1645</x:f>
        <x:v>2091</x:v>
      </x:c>
      <x:c r="F1645" s="40" t="n">
        <x:v>105.97</x:v>
      </x:c>
      <x:c r="G1645" s="44" t="n">
        <x:f>C1645*F1645</x:f>
        <x:v>1589.55</x:v>
      </x:c>
      <x:c r="H1645" s="44" t="n">
        <x:f>E1645-G1645</x:f>
        <x:v>501.45000000000005</x:v>
      </x:c>
      <x:c r="I1645" s="14" t="str">
        <x:v>Internal Use</x:v>
      </x:c>
      <x:c r="J1645" s="14" t="str">
        <x:v>Northeast</x:v>
      </x:c>
    </x:row>
    <x:row r="1646">
      <x:c r="A1646" s="50" t="n">
        <x:v>46075</x:v>
      </x:c>
      <x:c r="B1646" s="14" t="str">
        <x:v>SKU-0107</x:v>
      </x:c>
      <x:c r="C1646" s="52" t="n">
        <x:v>15</x:v>
      </x:c>
      <x:c r="D1646" s="40" t="n">
        <x:v>394.38</x:v>
      </x:c>
      <x:c r="E1646" s="44" t="n">
        <x:f>C1646*D1646</x:f>
        <x:v>5915.7</x:v>
      </x:c>
      <x:c r="F1646" s="40" t="n">
        <x:v>217.39</x:v>
      </x:c>
      <x:c r="G1646" s="44" t="n">
        <x:f>C1646*F1646</x:f>
        <x:v>3260.85</x:v>
      </x:c>
      <x:c r="H1646" s="44" t="n">
        <x:f>E1646-G1646</x:f>
        <x:v>2654.85</x:v>
      </x:c>
      <x:c r="I1646" s="14" t="str">
        <x:v>Internal Use</x:v>
      </x:c>
      <x:c r="J1646" s="14" t="str">
        <x:v>Northeast</x:v>
      </x:c>
    </x:row>
    <x:row r="1647">
      <x:c r="A1647" s="50" t="n">
        <x:v>45990</x:v>
      </x:c>
      <x:c r="B1647" s="14" t="str">
        <x:v>SKU-0039</x:v>
      </x:c>
      <x:c r="C1647" s="52" t="n">
        <x:v>5</x:v>
      </x:c>
      <x:c r="D1647" s="40" t="n">
        <x:v>221.36</x:v>
      </x:c>
      <x:c r="E1647" s="44" t="n">
        <x:f>C1647*D1647</x:f>
        <x:v>1106.8000000000002</x:v>
      </x:c>
      <x:c r="F1647" s="40" t="n">
        <x:v>125.1</x:v>
      </x:c>
      <x:c r="G1647" s="44" t="n">
        <x:f>C1647*F1647</x:f>
        <x:v>625.5</x:v>
      </x:c>
      <x:c r="H1647" s="44" t="n">
        <x:f>E1647-G1647</x:f>
        <x:v>481.3000000000002</x:v>
      </x:c>
      <x:c r="I1647" s="14" t="str">
        <x:v>Distributor</x:v>
      </x:c>
      <x:c r="J1647" s="14" t="str">
        <x:v>Southeast</x:v>
      </x:c>
    </x:row>
    <x:row r="1648">
      <x:c r="A1648" s="50" t="n">
        <x:v>45969</x:v>
      </x:c>
      <x:c r="B1648" s="14" t="str">
        <x:v>SKU-0060</x:v>
      </x:c>
      <x:c r="C1648" s="52" t="n">
        <x:v>17</x:v>
      </x:c>
      <x:c r="D1648" s="40" t="n">
        <x:v>114.14</x:v>
      </x:c>
      <x:c r="E1648" s="44" t="n">
        <x:f>C1648*D1648</x:f>
        <x:v>1940.38</x:v>
      </x:c>
      <x:c r="F1648" s="40" t="n">
        <x:v>61.36</x:v>
      </x:c>
      <x:c r="G1648" s="44" t="n">
        <x:f>C1648*F1648</x:f>
        <x:v>1043.12</x:v>
      </x:c>
      <x:c r="H1648" s="44" t="n">
        <x:f>E1648-G1648</x:f>
        <x:v>897.2600000000002</x:v>
      </x:c>
      <x:c r="I1648" s="14" t="str">
        <x:v>Distributor</x:v>
      </x:c>
      <x:c r="J1648" s="14" t="str">
        <x:v>Northeast</x:v>
      </x:c>
    </x:row>
    <x:row r="1649">
      <x:c r="A1649" s="50" t="n">
        <x:v>45887</x:v>
      </x:c>
      <x:c r="B1649" s="14" t="str">
        <x:v>SKU-0115</x:v>
      </x:c>
      <x:c r="C1649" s="52" t="n">
        <x:v>4</x:v>
      </x:c>
      <x:c r="D1649" s="40" t="n">
        <x:v>32.12</x:v>
      </x:c>
      <x:c r="E1649" s="44" t="n">
        <x:f>C1649*D1649</x:f>
        <x:v>128.48</x:v>
      </x:c>
      <x:c r="F1649" s="40" t="n">
        <x:v>27.81</x:v>
      </x:c>
      <x:c r="G1649" s="44" t="n">
        <x:f>C1649*F1649</x:f>
        <x:v>111.24</x:v>
      </x:c>
      <x:c r="H1649" s="44" t="n">
        <x:f>E1649-G1649</x:f>
        <x:v>17.239999999999995</x:v>
      </x:c>
      <x:c r="I1649" s="14" t="str">
        <x:v>Internal Use</x:v>
      </x:c>
      <x:c r="J1649" s="14" t="str">
        <x:v>Southeast</x:v>
      </x:c>
    </x:row>
    <x:row r="1650">
      <x:c r="A1650" s="50" t="n">
        <x:v>45925</x:v>
      </x:c>
      <x:c r="B1650" s="14" t="str">
        <x:v>SKU-0028</x:v>
      </x:c>
      <x:c r="C1650" s="52" t="n">
        <x:v>4</x:v>
      </x:c>
      <x:c r="D1650" s="40" t="n">
        <x:v>362.93</x:v>
      </x:c>
      <x:c r="E1650" s="44" t="n">
        <x:f>C1650*D1650</x:f>
        <x:v>1451.72</x:v>
      </x:c>
      <x:c r="F1650" s="40" t="n">
        <x:v>274.39</x:v>
      </x:c>
      <x:c r="G1650" s="44" t="n">
        <x:f>C1650*F1650</x:f>
        <x:v>1097.56</x:v>
      </x:c>
      <x:c r="H1650" s="44" t="n">
        <x:f>E1650-G1650</x:f>
        <x:v>354.1600000000001</x:v>
      </x:c>
      <x:c r="I1650" s="14" t="str">
        <x:v>Enterprise</x:v>
      </x:c>
      <x:c r="J1650" s="14" t="str">
        <x:v>Midwest</x:v>
      </x:c>
    </x:row>
    <x:row r="1651">
      <x:c r="A1651" s="50" t="n">
        <x:v>46159</x:v>
      </x:c>
      <x:c r="B1651" s="14" t="str">
        <x:v>SKU-0025</x:v>
      </x:c>
      <x:c r="C1651" s="52" t="n">
        <x:v>2</x:v>
      </x:c>
      <x:c r="D1651" s="40" t="n">
        <x:v>561.19</x:v>
      </x:c>
      <x:c r="E1651" s="44" t="n">
        <x:f>C1651*D1651</x:f>
        <x:v>1122.38</x:v>
      </x:c>
      <x:c r="F1651" s="40" t="n">
        <x:v>275.52</x:v>
      </x:c>
      <x:c r="G1651" s="44" t="n">
        <x:f>C1651*F1651</x:f>
        <x:v>551.04</x:v>
      </x:c>
      <x:c r="H1651" s="44" t="n">
        <x:f>E1651-G1651</x:f>
        <x:v>571.3400000000001</x:v>
      </x:c>
      <x:c r="I1651" s="14" t="str">
        <x:v>Internal Use</x:v>
      </x:c>
      <x:c r="J1651" s="14" t="str">
        <x:v>Southeast</x:v>
      </x:c>
    </x:row>
    <x:row r="1652">
      <x:c r="A1652" s="50" t="n">
        <x:v>45922</x:v>
      </x:c>
      <x:c r="B1652" s="14" t="str">
        <x:v>SKU-0029</x:v>
      </x:c>
      <x:c r="C1652" s="52" t="n">
        <x:v>17</x:v>
      </x:c>
      <x:c r="D1652" s="40" t="n">
        <x:v>18.48</x:v>
      </x:c>
      <x:c r="E1652" s="44" t="n">
        <x:f>C1652*D1652</x:f>
        <x:v>314.16</x:v>
      </x:c>
      <x:c r="F1652" s="40" t="n">
        <x:v>12.5</x:v>
      </x:c>
      <x:c r="G1652" s="44" t="n">
        <x:f>C1652*F1652</x:f>
        <x:v>212.5</x:v>
      </x:c>
      <x:c r="H1652" s="44" t="n">
        <x:f>E1652-G1652</x:f>
        <x:v>101.66000000000003</x:v>
      </x:c>
      <x:c r="I1652" s="14" t="str">
        <x:v>Distributor</x:v>
      </x:c>
      <x:c r="J1652" s="14" t="str">
        <x:v>Northeast</x:v>
      </x:c>
    </x:row>
    <x:row r="1653">
      <x:c r="A1653" s="50" t="n">
        <x:v>46159</x:v>
      </x:c>
      <x:c r="B1653" s="14" t="str">
        <x:v>SKU-0019</x:v>
      </x:c>
      <x:c r="C1653" s="52" t="n">
        <x:v>6</x:v>
      </x:c>
      <x:c r="D1653" s="40" t="n">
        <x:v>152.9</x:v>
      </x:c>
      <x:c r="E1653" s="44" t="n">
        <x:f>C1653*D1653</x:f>
        <x:v>917.4000000000001</x:v>
      </x:c>
      <x:c r="F1653" s="40" t="n">
        <x:v>81.66</x:v>
      </x:c>
      <x:c r="G1653" s="44" t="n">
        <x:f>C1653*F1653</x:f>
        <x:v>489.96</x:v>
      </x:c>
      <x:c r="H1653" s="44" t="n">
        <x:f>E1653-G1653</x:f>
        <x:v>427.4400000000001</x:v>
      </x:c>
      <x:c r="I1653" s="14" t="str">
        <x:v>Internal Use</x:v>
      </x:c>
      <x:c r="J1653" s="14" t="str">
        <x:v>Midwest</x:v>
      </x:c>
    </x:row>
    <x:row r="1654">
      <x:c r="A1654" s="50" t="n">
        <x:v>46142</x:v>
      </x:c>
      <x:c r="B1654" s="14" t="str">
        <x:v>SKU-0134</x:v>
      </x:c>
      <x:c r="C1654" s="52" t="n">
        <x:v>13</x:v>
      </x:c>
      <x:c r="D1654" s="40" t="n">
        <x:v>451.25</x:v>
      </x:c>
      <x:c r="E1654" s="44" t="n">
        <x:f>C1654*D1654</x:f>
        <x:v>5866.25</x:v>
      </x:c>
      <x:c r="F1654" s="40" t="n">
        <x:v>254.76</x:v>
      </x:c>
      <x:c r="G1654" s="44" t="n">
        <x:f>C1654*F1654</x:f>
        <x:v>3311.88</x:v>
      </x:c>
      <x:c r="H1654" s="44" t="n">
        <x:f>E1654-G1654</x:f>
        <x:v>2554.37</x:v>
      </x:c>
      <x:c r="I1654" s="14" t="str">
        <x:v>Distributor</x:v>
      </x:c>
      <x:c r="J1654" s="14" t="str">
        <x:v>West</x:v>
      </x:c>
    </x:row>
    <x:row r="1655">
      <x:c r="A1655" s="50" t="n">
        <x:v>46156</x:v>
      </x:c>
      <x:c r="B1655" s="14" t="str">
        <x:v>SKU-0003</x:v>
      </x:c>
      <x:c r="C1655" s="52" t="n">
        <x:v>6</x:v>
      </x:c>
      <x:c r="D1655" s="40" t="n">
        <x:v>293.85</x:v>
      </x:c>
      <x:c r="E1655" s="44" t="n">
        <x:f>C1655*D1655</x:f>
        <x:v>1763.1000000000001</x:v>
      </x:c>
      <x:c r="F1655" s="40" t="n">
        <x:v>141.04</x:v>
      </x:c>
      <x:c r="G1655" s="44" t="n">
        <x:f>C1655*F1655</x:f>
        <x:v>846.24</x:v>
      </x:c>
      <x:c r="H1655" s="44" t="n">
        <x:f>E1655-G1655</x:f>
        <x:v>916.8600000000001</x:v>
      </x:c>
      <x:c r="I1655" s="14" t="str">
        <x:v>Internal Use</x:v>
      </x:c>
      <x:c r="J1655" s="14" t="str">
        <x:v>Northeast</x:v>
      </x:c>
    </x:row>
    <x:row r="1656">
      <x:c r="A1656" s="50" t="n">
        <x:v>45976</x:v>
      </x:c>
      <x:c r="B1656" s="14" t="str">
        <x:v>SKU-0047</x:v>
      </x:c>
      <x:c r="C1656" s="52" t="n">
        <x:v>7</x:v>
      </x:c>
      <x:c r="D1656" s="40" t="n">
        <x:v>347.99</x:v>
      </x:c>
      <x:c r="E1656" s="44" t="n">
        <x:f>C1656*D1656</x:f>
        <x:v>2435.9300000000003</x:v>
      </x:c>
      <x:c r="F1656" s="40" t="n">
        <x:v>233.63</x:v>
      </x:c>
      <x:c r="G1656" s="44" t="n">
        <x:f>C1656*F1656</x:f>
        <x:v>1635.4099999999999</x:v>
      </x:c>
      <x:c r="H1656" s="44" t="n">
        <x:f>E1656-G1656</x:f>
        <x:v>800.5200000000004</x:v>
      </x:c>
      <x:c r="I1656" s="14" t="str">
        <x:v>Enterprise</x:v>
      </x:c>
      <x:c r="J1656" s="14" t="str">
        <x:v>Northeast</x:v>
      </x:c>
    </x:row>
    <x:row r="1657">
      <x:c r="A1657" s="50" t="n">
        <x:v>46141</x:v>
      </x:c>
      <x:c r="B1657" s="14" t="str">
        <x:v>SKU-0041</x:v>
      </x:c>
      <x:c r="C1657" s="52" t="n">
        <x:v>46</x:v>
      </x:c>
      <x:c r="D1657" s="40" t="n">
        <x:v>204.48</x:v>
      </x:c>
      <x:c r="E1657" s="44" t="n">
        <x:f>C1657*D1657</x:f>
        <x:v>9406.08</x:v>
      </x:c>
      <x:c r="F1657" s="40" t="n">
        <x:v>117.51</x:v>
      </x:c>
      <x:c r="G1657" s="44" t="n">
        <x:f>C1657*F1657</x:f>
        <x:v>5405.46</x:v>
      </x:c>
      <x:c r="H1657" s="44" t="n">
        <x:f>E1657-G1657</x:f>
        <x:v>4000.62</x:v>
      </x:c>
      <x:c r="I1657" s="14" t="str">
        <x:v>SMB</x:v>
      </x:c>
      <x:c r="J1657" s="14" t="str">
        <x:v>West</x:v>
      </x:c>
    </x:row>
    <x:row r="1658">
      <x:c r="A1658" s="50" t="n">
        <x:v>46138</x:v>
      </x:c>
      <x:c r="B1658" s="14" t="str">
        <x:v>SKU-0144</x:v>
      </x:c>
      <x:c r="C1658" s="52" t="n">
        <x:v>1</x:v>
      </x:c>
      <x:c r="D1658" s="40" t="n">
        <x:v>152.23</x:v>
      </x:c>
      <x:c r="E1658" s="44" t="n">
        <x:f>C1658*D1658</x:f>
        <x:v>152.23</x:v>
      </x:c>
      <x:c r="F1658" s="40" t="n">
        <x:v>68.87</x:v>
      </x:c>
      <x:c r="G1658" s="44" t="n">
        <x:f>C1658*F1658</x:f>
        <x:v>68.87</x:v>
      </x:c>
      <x:c r="H1658" s="44" t="n">
        <x:f>E1658-G1658</x:f>
        <x:v>83.35999999999999</x:v>
      </x:c>
      <x:c r="I1658" s="14" t="str">
        <x:v>Internal Use</x:v>
      </x:c>
      <x:c r="J1658" s="14" t="str">
        <x:v>Northeast</x:v>
      </x:c>
    </x:row>
    <x:row r="1659">
      <x:c r="A1659" s="50" t="n">
        <x:v>45902</x:v>
      </x:c>
      <x:c r="B1659" s="14" t="str">
        <x:v>SKU-0069</x:v>
      </x:c>
      <x:c r="C1659" s="52" t="n">
        <x:v>10</x:v>
      </x:c>
      <x:c r="D1659" s="40" t="n">
        <x:v>364.56</x:v>
      </x:c>
      <x:c r="E1659" s="44" t="n">
        <x:f>C1659*D1659</x:f>
        <x:v>3645.6</x:v>
      </x:c>
      <x:c r="F1659" s="40" t="n">
        <x:v>277.23</x:v>
      </x:c>
      <x:c r="G1659" s="44" t="n">
        <x:f>C1659*F1659</x:f>
        <x:v>2772.3</x:v>
      </x:c>
      <x:c r="H1659" s="44" t="n">
        <x:f>E1659-G1659</x:f>
        <x:v>873.2999999999997</x:v>
      </x:c>
      <x:c r="I1659" s="14" t="str">
        <x:v>Enterprise</x:v>
      </x:c>
      <x:c r="J1659" s="14" t="str">
        <x:v>West</x:v>
      </x:c>
    </x:row>
    <x:row r="1660">
      <x:c r="A1660" s="50" t="n">
        <x:v>46061</x:v>
      </x:c>
      <x:c r="B1660" s="14" t="str">
        <x:v>SKU-0029</x:v>
      </x:c>
      <x:c r="C1660" s="52" t="n">
        <x:v>7</x:v>
      </x:c>
      <x:c r="D1660" s="40" t="n">
        <x:v>18.27</x:v>
      </x:c>
      <x:c r="E1660" s="44" t="n">
        <x:f>C1660*D1660</x:f>
        <x:v>127.89</x:v>
      </x:c>
      <x:c r="F1660" s="40" t="n">
        <x:v>12.5</x:v>
      </x:c>
      <x:c r="G1660" s="44" t="n">
        <x:f>C1660*F1660</x:f>
        <x:v>87.5</x:v>
      </x:c>
      <x:c r="H1660" s="44" t="n">
        <x:f>E1660-G1660</x:f>
        <x:v>40.39</x:v>
      </x:c>
      <x:c r="I1660" s="14" t="str">
        <x:v>SMB</x:v>
      </x:c>
      <x:c r="J1660" s="14" t="str">
        <x:v>Southeast</x:v>
      </x:c>
    </x:row>
    <x:row r="1661">
      <x:c r="A1661" s="50" t="n">
        <x:v>46025</x:v>
      </x:c>
      <x:c r="B1661" s="14" t="str">
        <x:v>SKU-0125</x:v>
      </x:c>
      <x:c r="C1661" s="52" t="n">
        <x:v>31</x:v>
      </x:c>
      <x:c r="D1661" s="40" t="n">
        <x:v>62.1</x:v>
      </x:c>
      <x:c r="E1661" s="44" t="n">
        <x:f>C1661*D1661</x:f>
        <x:v>1925.1000000000001</x:v>
      </x:c>
      <x:c r="F1661" s="40" t="n">
        <x:v>38.35</x:v>
      </x:c>
      <x:c r="G1661" s="44" t="n">
        <x:f>C1661*F1661</x:f>
        <x:v>1188.8500000000001</x:v>
      </x:c>
      <x:c r="H1661" s="44" t="n">
        <x:f>E1661-G1661</x:f>
        <x:v>736.25</x:v>
      </x:c>
      <x:c r="I1661" s="14" t="str">
        <x:v>SMB</x:v>
      </x:c>
      <x:c r="J1661" s="14" t="str">
        <x:v>Midwest</x:v>
      </x:c>
    </x:row>
    <x:row r="1662">
      <x:c r="A1662" s="50" t="n">
        <x:v>46061</x:v>
      </x:c>
      <x:c r="B1662" s="14" t="str">
        <x:v>SKU-0097</x:v>
      </x:c>
      <x:c r="C1662" s="52" t="n">
        <x:v>19</x:v>
      </x:c>
      <x:c r="D1662" s="40" t="n">
        <x:v>279.66</x:v>
      </x:c>
      <x:c r="E1662" s="44" t="n">
        <x:f>C1662*D1662</x:f>
        <x:v>5313.540000000001</x:v>
      </x:c>
      <x:c r="F1662" s="40" t="n">
        <x:v>209.93</x:v>
      </x:c>
      <x:c r="G1662" s="44" t="n">
        <x:f>C1662*F1662</x:f>
        <x:v>3988.67</x:v>
      </x:c>
      <x:c r="H1662" s="44" t="n">
        <x:f>E1662-G1662</x:f>
        <x:v>1324.8700000000008</x:v>
      </x:c>
      <x:c r="I1662" s="14" t="str">
        <x:v>Internal Use</x:v>
      </x:c>
      <x:c r="J1662" s="14" t="str">
        <x:v>Southeast</x:v>
      </x:c>
    </x:row>
    <x:row r="1663">
      <x:c r="A1663" s="50" t="n">
        <x:v>46207</x:v>
      </x:c>
      <x:c r="B1663" s="14" t="str">
        <x:v>SKU-0075</x:v>
      </x:c>
      <x:c r="C1663" s="52" t="n">
        <x:v>6</x:v>
      </x:c>
      <x:c r="D1663" s="40" t="n">
        <x:v>27.07</x:v>
      </x:c>
      <x:c r="E1663" s="44" t="n">
        <x:f>C1663*D1663</x:f>
        <x:v>162.42000000000002</x:v>
      </x:c>
      <x:c r="F1663" s="40" t="n">
        <x:v>13.66</x:v>
      </x:c>
      <x:c r="G1663" s="44" t="n">
        <x:f>C1663*F1663</x:f>
        <x:v>81.96000000000001</x:v>
      </x:c>
      <x:c r="H1663" s="44" t="n">
        <x:f>E1663-G1663</x:f>
        <x:v>80.46000000000001</x:v>
      </x:c>
      <x:c r="I1663" s="14" t="str">
        <x:v>Internal Use</x:v>
      </x:c>
      <x:c r="J1663" s="14" t="str">
        <x:v>West</x:v>
      </x:c>
    </x:row>
    <x:row r="1664">
      <x:c r="A1664" s="50" t="n">
        <x:v>46007</x:v>
      </x:c>
      <x:c r="B1664" s="14" t="str">
        <x:v>SKU-0140</x:v>
      </x:c>
      <x:c r="C1664" s="52" t="n">
        <x:v>7</x:v>
      </x:c>
      <x:c r="D1664" s="40" t="n">
        <x:v>298.68</x:v>
      </x:c>
      <x:c r="E1664" s="44" t="n">
        <x:f>C1664*D1664</x:f>
        <x:v>2090.76</x:v>
      </x:c>
      <x:c r="F1664" s="40" t="n">
        <x:v>188.55</x:v>
      </x:c>
      <x:c r="G1664" s="44" t="n">
        <x:f>C1664*F1664</x:f>
        <x:v>1319.8500000000001</x:v>
      </x:c>
      <x:c r="H1664" s="44" t="n">
        <x:f>E1664-G1664</x:f>
        <x:v>770.9100000000001</x:v>
      </x:c>
      <x:c r="I1664" s="14" t="str">
        <x:v>SMB</x:v>
      </x:c>
      <x:c r="J1664" s="14" t="str">
        <x:v>Northeast</x:v>
      </x:c>
    </x:row>
    <x:row r="1665">
      <x:c r="A1665" s="50" t="n">
        <x:v>45885</x:v>
      </x:c>
      <x:c r="B1665" s="14" t="str">
        <x:v>SKU-0114</x:v>
      </x:c>
      <x:c r="C1665" s="52" t="n">
        <x:v>4</x:v>
      </x:c>
      <x:c r="D1665" s="40" t="n">
        <x:v>336.61</x:v>
      </x:c>
      <x:c r="E1665" s="44" t="n">
        <x:f>C1665*D1665</x:f>
        <x:v>1346.44</x:v>
      </x:c>
      <x:c r="F1665" s="40" t="n">
        <x:v>232.11</x:v>
      </x:c>
      <x:c r="G1665" s="44" t="n">
        <x:f>C1665*F1665</x:f>
        <x:v>928.44</x:v>
      </x:c>
      <x:c r="H1665" s="44" t="n">
        <x:f>E1665-G1665</x:f>
        <x:v>418</x:v>
      </x:c>
      <x:c r="I1665" s="14" t="str">
        <x:v>SMB</x:v>
      </x:c>
      <x:c r="J1665" s="14" t="str">
        <x:v>Midwest</x:v>
      </x:c>
    </x:row>
    <x:row r="1666">
      <x:c r="A1666" s="50" t="n">
        <x:v>46004</x:v>
      </x:c>
      <x:c r="B1666" s="14" t="str">
        <x:v>SKU-0149</x:v>
      </x:c>
      <x:c r="C1666" s="52" t="n">
        <x:v>19</x:v>
      </x:c>
      <x:c r="D1666" s="40" t="n">
        <x:v>399.83</x:v>
      </x:c>
      <x:c r="E1666" s="44" t="n">
        <x:f>C1666*D1666</x:f>
        <x:v>7596.7699999999995</x:v>
      </x:c>
      <x:c r="F1666" s="40" t="n">
        <x:v>257.08</x:v>
      </x:c>
      <x:c r="G1666" s="44" t="n">
        <x:f>C1666*F1666</x:f>
        <x:v>4884.5199999999995</x:v>
      </x:c>
      <x:c r="H1666" s="44" t="n">
        <x:f>E1666-G1666</x:f>
        <x:v>2712.25</x:v>
      </x:c>
      <x:c r="I1666" s="14" t="str">
        <x:v>SMB</x:v>
      </x:c>
      <x:c r="J1666" s="14" t="str">
        <x:v>Northeast</x:v>
      </x:c>
    </x:row>
    <x:row r="1667">
      <x:c r="A1667" s="50" t="n">
        <x:v>46173</x:v>
      </x:c>
      <x:c r="B1667" s="14" t="str">
        <x:v>SKU-0129</x:v>
      </x:c>
      <x:c r="C1667" s="52" t="n">
        <x:v>5</x:v>
      </x:c>
      <x:c r="D1667" s="40" t="n">
        <x:v>294.56</x:v>
      </x:c>
      <x:c r="E1667" s="44" t="n">
        <x:f>C1667*D1667</x:f>
        <x:v>1472.8</x:v>
      </x:c>
      <x:c r="F1667" s="40" t="n">
        <x:v>178.22</x:v>
      </x:c>
      <x:c r="G1667" s="44" t="n">
        <x:f>C1667*F1667</x:f>
        <x:v>891.1</x:v>
      </x:c>
      <x:c r="H1667" s="44" t="n">
        <x:f>E1667-G1667</x:f>
        <x:v>581.6999999999999</x:v>
      </x:c>
      <x:c r="I1667" s="14" t="str">
        <x:v>SMB</x:v>
      </x:c>
      <x:c r="J1667" s="14" t="str">
        <x:v>Northeast</x:v>
      </x:c>
    </x:row>
    <x:row r="1668">
      <x:c r="A1668" s="50" t="n">
        <x:v>45950</x:v>
      </x:c>
      <x:c r="B1668" s="14" t="str">
        <x:v>SKU-0112</x:v>
      </x:c>
      <x:c r="C1668" s="52" t="n">
        <x:v>27</x:v>
      </x:c>
      <x:c r="D1668" s="40" t="n">
        <x:v>276.8</x:v>
      </x:c>
      <x:c r="E1668" s="44" t="n">
        <x:f>C1668*D1668</x:f>
        <x:v>7473.6</x:v>
      </x:c>
      <x:c r="F1668" s="40" t="n">
        <x:v>175.75</x:v>
      </x:c>
      <x:c r="G1668" s="44" t="n">
        <x:f>C1668*F1668</x:f>
        <x:v>4745.25</x:v>
      </x:c>
      <x:c r="H1668" s="44" t="n">
        <x:f>E1668-G1668</x:f>
        <x:v>2728.3500000000004</x:v>
      </x:c>
      <x:c r="I1668" s="14" t="str">
        <x:v>Internal Use</x:v>
      </x:c>
      <x:c r="J1668" s="14" t="str">
        <x:v>Northeast</x:v>
      </x:c>
    </x:row>
    <x:row r="1669">
      <x:c r="A1669" s="50" t="n">
        <x:v>45891</x:v>
      </x:c>
      <x:c r="B1669" s="14" t="str">
        <x:v>SKU-0109</x:v>
      </x:c>
      <x:c r="C1669" s="52" t="n">
        <x:v>10</x:v>
      </x:c>
      <x:c r="D1669" s="40" t="n">
        <x:v>145.57</x:v>
      </x:c>
      <x:c r="E1669" s="44" t="n">
        <x:f>C1669*D1669</x:f>
        <x:v>1455.6999999999998</x:v>
      </x:c>
      <x:c r="F1669" s="40" t="n">
        <x:v>119.32</x:v>
      </x:c>
      <x:c r="G1669" s="44" t="n">
        <x:f>C1669*F1669</x:f>
        <x:v>1193.1999999999998</x:v>
      </x:c>
      <x:c r="H1669" s="44" t="n">
        <x:f>E1669-G1669</x:f>
        <x:v>262.5</x:v>
      </x:c>
      <x:c r="I1669" s="14" t="str">
        <x:v>SMB</x:v>
      </x:c>
      <x:c r="J1669" s="14" t="str">
        <x:v>Northeast</x:v>
      </x:c>
    </x:row>
    <x:row r="1670">
      <x:c r="A1670" s="50" t="n">
        <x:v>46063</x:v>
      </x:c>
      <x:c r="B1670" s="14" t="str">
        <x:v>SKU-0064</x:v>
      </x:c>
      <x:c r="C1670" s="52" t="n">
        <x:v>11</x:v>
      </x:c>
      <x:c r="D1670" s="40" t="n">
        <x:v>102.18</x:v>
      </x:c>
      <x:c r="E1670" s="44" t="n">
        <x:f>C1670*D1670</x:f>
        <x:v>1123.98</x:v>
      </x:c>
      <x:c r="F1670" s="40" t="n">
        <x:v>62.55</x:v>
      </x:c>
      <x:c r="G1670" s="44" t="n">
        <x:f>C1670*F1670</x:f>
        <x:v>688.05</x:v>
      </x:c>
      <x:c r="H1670" s="44" t="n">
        <x:f>E1670-G1670</x:f>
        <x:v>435.93000000000006</x:v>
      </x:c>
      <x:c r="I1670" s="14" t="str">
        <x:v>SMB</x:v>
      </x:c>
      <x:c r="J1670" s="14" t="str">
        <x:v>West</x:v>
      </x:c>
    </x:row>
    <x:row r="1671">
      <x:c r="A1671" s="50" t="n">
        <x:v>45999</x:v>
      </x:c>
      <x:c r="B1671" s="14" t="str">
        <x:v>SKU-0028</x:v>
      </x:c>
      <x:c r="C1671" s="52" t="n">
        <x:v>2</x:v>
      </x:c>
      <x:c r="D1671" s="40" t="n">
        <x:v>375.66</x:v>
      </x:c>
      <x:c r="E1671" s="44" t="n">
        <x:f>C1671*D1671</x:f>
        <x:v>751.32</x:v>
      </x:c>
      <x:c r="F1671" s="40" t="n">
        <x:v>274.39</x:v>
      </x:c>
      <x:c r="G1671" s="44" t="n">
        <x:f>C1671*F1671</x:f>
        <x:v>548.78</x:v>
      </x:c>
      <x:c r="H1671" s="44" t="n">
        <x:f>E1671-G1671</x:f>
        <x:v>202.54000000000008</x:v>
      </x:c>
      <x:c r="I1671" s="14" t="str">
        <x:v>Distributor</x:v>
      </x:c>
      <x:c r="J1671" s="14" t="str">
        <x:v>Southeast</x:v>
      </x:c>
    </x:row>
    <x:row r="1672">
      <x:c r="A1672" s="50" t="n">
        <x:v>45902</x:v>
      </x:c>
      <x:c r="B1672" s="14" t="str">
        <x:v>SKU-0064</x:v>
      </x:c>
      <x:c r="C1672" s="52" t="n">
        <x:v>21</x:v>
      </x:c>
      <x:c r="D1672" s="40" t="n">
        <x:v>97.54</x:v>
      </x:c>
      <x:c r="E1672" s="44" t="n">
        <x:f>C1672*D1672</x:f>
        <x:v>2048.34</x:v>
      </x:c>
      <x:c r="F1672" s="40" t="n">
        <x:v>62.55</x:v>
      </x:c>
      <x:c r="G1672" s="44" t="n">
        <x:f>C1672*F1672</x:f>
        <x:v>1313.55</x:v>
      </x:c>
      <x:c r="H1672" s="44" t="n">
        <x:f>E1672-G1672</x:f>
        <x:v>734.7900000000002</x:v>
      </x:c>
      <x:c r="I1672" s="14" t="str">
        <x:v>Internal Use</x:v>
      </x:c>
      <x:c r="J1672" s="14" t="str">
        <x:v>Midwest</x:v>
      </x:c>
    </x:row>
    <x:row r="1673">
      <x:c r="A1673" s="50" t="n">
        <x:v>45964</x:v>
      </x:c>
      <x:c r="B1673" s="14" t="str">
        <x:v>SKU-0006</x:v>
      </x:c>
      <x:c r="C1673" s="52" t="n">
        <x:v>17</x:v>
      </x:c>
      <x:c r="D1673" s="40" t="n">
        <x:v>278.05</x:v>
      </x:c>
      <x:c r="E1673" s="44" t="n">
        <x:f>C1673*D1673</x:f>
        <x:v>4726.85</x:v>
      </x:c>
      <x:c r="F1673" s="40" t="n">
        <x:v>241.37</x:v>
      </x:c>
      <x:c r="G1673" s="44" t="n">
        <x:f>C1673*F1673</x:f>
        <x:v>4103.29</x:v>
      </x:c>
      <x:c r="H1673" s="44" t="n">
        <x:f>E1673-G1673</x:f>
        <x:v>623.5600000000004</x:v>
      </x:c>
      <x:c r="I1673" s="14" t="str">
        <x:v>Enterprise</x:v>
      </x:c>
      <x:c r="J1673" s="14" t="str">
        <x:v>West</x:v>
      </x:c>
    </x:row>
    <x:row r="1674">
      <x:c r="A1674" s="50" t="n">
        <x:v>46212</x:v>
      </x:c>
      <x:c r="B1674" s="14" t="str">
        <x:v>SKU-0082</x:v>
      </x:c>
      <x:c r="C1674" s="52" t="n">
        <x:v>10</x:v>
      </x:c>
      <x:c r="D1674" s="40" t="n">
        <x:v>142.84</x:v>
      </x:c>
      <x:c r="E1674" s="44" t="n">
        <x:f>C1674*D1674</x:f>
        <x:v>1428.4</x:v>
      </x:c>
      <x:c r="F1674" s="40" t="n">
        <x:v>79.16</x:v>
      </x:c>
      <x:c r="G1674" s="44" t="n">
        <x:f>C1674*F1674</x:f>
        <x:v>791.5999999999999</x:v>
      </x:c>
      <x:c r="H1674" s="44" t="n">
        <x:f>E1674-G1674</x:f>
        <x:v>636.8000000000002</x:v>
      </x:c>
      <x:c r="I1674" s="14" t="str">
        <x:v>Internal Use</x:v>
      </x:c>
      <x:c r="J1674" s="14" t="str">
        <x:v>Northeast</x:v>
      </x:c>
    </x:row>
    <x:row r="1675">
      <x:c r="A1675" s="50" t="n">
        <x:v>45944</x:v>
      </x:c>
      <x:c r="B1675" s="14" t="str">
        <x:v>SKU-0133</x:v>
      </x:c>
      <x:c r="C1675" s="52" t="n">
        <x:v>17</x:v>
      </x:c>
      <x:c r="D1675" s="40" t="n">
        <x:v>291.44</x:v>
      </x:c>
      <x:c r="E1675" s="44" t="n">
        <x:f>C1675*D1675</x:f>
        <x:v>4954.48</x:v>
      </x:c>
      <x:c r="F1675" s="40" t="n">
        <x:v>233.3</x:v>
      </x:c>
      <x:c r="G1675" s="44" t="n">
        <x:f>C1675*F1675</x:f>
        <x:v>3966.1000000000004</x:v>
      </x:c>
      <x:c r="H1675" s="44" t="n">
        <x:f>E1675-G1675</x:f>
        <x:v>988.3799999999992</x:v>
      </x:c>
      <x:c r="I1675" s="14" t="str">
        <x:v>Enterprise</x:v>
      </x:c>
      <x:c r="J1675" s="14" t="str">
        <x:v>Northeast</x:v>
      </x:c>
    </x:row>
    <x:row r="1676">
      <x:c r="A1676" s="50" t="n">
        <x:v>46116</x:v>
      </x:c>
      <x:c r="B1676" s="14" t="str">
        <x:v>SKU-0103</x:v>
      </x:c>
      <x:c r="C1676" s="52" t="n">
        <x:v>15</x:v>
      </x:c>
      <x:c r="D1676" s="40" t="n">
        <x:v>258.67</x:v>
      </x:c>
      <x:c r="E1676" s="44" t="n">
        <x:f>C1676*D1676</x:f>
        <x:v>3880.05</x:v>
      </x:c>
      <x:c r="F1676" s="40" t="n">
        <x:v>208.48</x:v>
      </x:c>
      <x:c r="G1676" s="44" t="n">
        <x:f>C1676*F1676</x:f>
        <x:v>3127.2</x:v>
      </x:c>
      <x:c r="H1676" s="44" t="n">
        <x:f>E1676-G1676</x:f>
        <x:v>752.8500000000004</x:v>
      </x:c>
      <x:c r="I1676" s="14" t="str">
        <x:v>Internal Use</x:v>
      </x:c>
      <x:c r="J1676" s="14" t="str">
        <x:v>Midwest</x:v>
      </x:c>
    </x:row>
    <x:row r="1677">
      <x:c r="A1677" s="50" t="n">
        <x:v>46144</x:v>
      </x:c>
      <x:c r="B1677" s="14" t="str">
        <x:v>SKU-0106</x:v>
      </x:c>
      <x:c r="C1677" s="52" t="n">
        <x:v>5</x:v>
      </x:c>
      <x:c r="D1677" s="40" t="n">
        <x:v>283.53</x:v>
      </x:c>
      <x:c r="E1677" s="44" t="n">
        <x:f>C1677*D1677</x:f>
        <x:v>1417.6499999999999</x:v>
      </x:c>
      <x:c r="F1677" s="40" t="n">
        <x:v>220.84</x:v>
      </x:c>
      <x:c r="G1677" s="44" t="n">
        <x:f>C1677*F1677</x:f>
        <x:v>1104.2</x:v>
      </x:c>
      <x:c r="H1677" s="44" t="n">
        <x:f>E1677-G1677</x:f>
        <x:v>313.4499999999998</x:v>
      </x:c>
      <x:c r="I1677" s="14" t="str">
        <x:v>Internal Use</x:v>
      </x:c>
      <x:c r="J1677" s="14" t="str">
        <x:v>West</x:v>
      </x:c>
    </x:row>
    <x:row r="1678">
      <x:c r="A1678" s="50" t="n">
        <x:v>46159</x:v>
      </x:c>
      <x:c r="B1678" s="14" t="str">
        <x:v>SKU-0068</x:v>
      </x:c>
      <x:c r="C1678" s="52" t="n">
        <x:v>6</x:v>
      </x:c>
      <x:c r="D1678" s="40" t="n">
        <x:v>239.02</x:v>
      </x:c>
      <x:c r="E1678" s="44" t="n">
        <x:f>C1678*D1678</x:f>
        <x:v>1434.1200000000001</x:v>
      </x:c>
      <x:c r="F1678" s="40" t="n">
        <x:v>157.37</x:v>
      </x:c>
      <x:c r="G1678" s="44" t="n">
        <x:f>C1678*F1678</x:f>
        <x:v>944.22</x:v>
      </x:c>
      <x:c r="H1678" s="44" t="n">
        <x:f>E1678-G1678</x:f>
        <x:v>489.9000000000001</x:v>
      </x:c>
      <x:c r="I1678" s="14" t="str">
        <x:v>SMB</x:v>
      </x:c>
      <x:c r="J1678" s="14" t="str">
        <x:v>West</x:v>
      </x:c>
    </x:row>
    <x:row r="1679">
      <x:c r="A1679" s="50" t="n">
        <x:v>46105</x:v>
      </x:c>
      <x:c r="B1679" s="14" t="str">
        <x:v>SKU-0141</x:v>
      </x:c>
      <x:c r="C1679" s="52" t="n">
        <x:v>5</x:v>
      </x:c>
      <x:c r="D1679" s="40" t="n">
        <x:v>363.86</x:v>
      </x:c>
      <x:c r="E1679" s="44" t="n">
        <x:f>C1679*D1679</x:f>
        <x:v>1819.3000000000002</x:v>
      </x:c>
      <x:c r="F1679" s="40" t="n">
        <x:v>279.99</x:v>
      </x:c>
      <x:c r="G1679" s="44" t="n">
        <x:f>C1679*F1679</x:f>
        <x:v>1399.95</x:v>
      </x:c>
      <x:c r="H1679" s="44" t="n">
        <x:f>E1679-G1679</x:f>
        <x:v>419.35000000000014</x:v>
      </x:c>
      <x:c r="I1679" s="14" t="str">
        <x:v>Enterprise</x:v>
      </x:c>
      <x:c r="J1679" s="14" t="str">
        <x:v>Midwest</x:v>
      </x:c>
    </x:row>
    <x:row r="1680">
      <x:c r="A1680" s="50" t="n">
        <x:v>46181</x:v>
      </x:c>
      <x:c r="B1680" s="14" t="str">
        <x:v>SKU-0088</x:v>
      </x:c>
      <x:c r="C1680" s="52" t="n">
        <x:v>5</x:v>
      </x:c>
      <x:c r="D1680" s="40" t="n">
        <x:v>37.83</x:v>
      </x:c>
      <x:c r="E1680" s="44" t="n">
        <x:f>C1680*D1680</x:f>
        <x:v>189.14999999999998</x:v>
      </x:c>
      <x:c r="F1680" s="40" t="n">
        <x:v>21.49</x:v>
      </x:c>
      <x:c r="G1680" s="44" t="n">
        <x:f>C1680*F1680</x:f>
        <x:v>107.44999999999999</x:v>
      </x:c>
      <x:c r="H1680" s="44" t="n">
        <x:f>E1680-G1680</x:f>
        <x:v>81.69999999999999</x:v>
      </x:c>
      <x:c r="I1680" s="14" t="str">
        <x:v>Enterprise</x:v>
      </x:c>
      <x:c r="J1680" s="14" t="str">
        <x:v>Northeast</x:v>
      </x:c>
    </x:row>
    <x:row r="1681">
      <x:c r="A1681" s="50" t="n">
        <x:v>46186</x:v>
      </x:c>
      <x:c r="B1681" s="14" t="str">
        <x:v>SKU-0035</x:v>
      </x:c>
      <x:c r="C1681" s="52" t="n">
        <x:v>11</x:v>
      </x:c>
      <x:c r="D1681" s="40" t="n">
        <x:v>278.26</x:v>
      </x:c>
      <x:c r="E1681" s="44" t="n">
        <x:f>C1681*D1681</x:f>
        <x:v>3060.8599999999997</x:v>
      </x:c>
      <x:c r="F1681" s="40" t="n">
        <x:v>170.72</x:v>
      </x:c>
      <x:c r="G1681" s="44" t="n">
        <x:f>C1681*F1681</x:f>
        <x:v>1877.92</x:v>
      </x:c>
      <x:c r="H1681" s="44" t="n">
        <x:f>E1681-G1681</x:f>
        <x:v>1182.9399999999996</x:v>
      </x:c>
      <x:c r="I1681" s="14" t="str">
        <x:v>Internal Use</x:v>
      </x:c>
      <x:c r="J1681" s="14" t="str">
        <x:v>Midwest</x:v>
      </x:c>
    </x:row>
    <x:row r="1682">
      <x:c r="A1682" s="50" t="n">
        <x:v>46236</x:v>
      </x:c>
      <x:c r="B1682" s="14" t="str">
        <x:v>SKU-0064</x:v>
      </x:c>
      <x:c r="C1682" s="52" t="n">
        <x:v>8</x:v>
      </x:c>
      <x:c r="D1682" s="40" t="n">
        <x:v>100.79</x:v>
      </x:c>
      <x:c r="E1682" s="44" t="n">
        <x:f>C1682*D1682</x:f>
        <x:v>806.32</x:v>
      </x:c>
      <x:c r="F1682" s="40" t="n">
        <x:v>62.55</x:v>
      </x:c>
      <x:c r="G1682" s="44" t="n">
        <x:f>C1682*F1682</x:f>
        <x:v>500.4</x:v>
      </x:c>
      <x:c r="H1682" s="44" t="n">
        <x:f>E1682-G1682</x:f>
        <x:v>305.9200000000001</x:v>
      </x:c>
      <x:c r="I1682" s="14" t="str">
        <x:v>SMB</x:v>
      </x:c>
      <x:c r="J1682" s="14" t="str">
        <x:v>West</x:v>
      </x:c>
    </x:row>
    <x:row r="1683">
      <x:c r="A1683" s="50" t="n">
        <x:v>46095</x:v>
      </x:c>
      <x:c r="B1683" s="14" t="str">
        <x:v>SKU-0054</x:v>
      </x:c>
      <x:c r="C1683" s="52" t="n">
        <x:v>5</x:v>
      </x:c>
      <x:c r="D1683" s="40" t="n">
        <x:v>85.55</x:v>
      </x:c>
      <x:c r="E1683" s="44" t="n">
        <x:f>C1683*D1683</x:f>
        <x:v>427.75</x:v>
      </x:c>
      <x:c r="F1683" s="40" t="n">
        <x:v>49.06</x:v>
      </x:c>
      <x:c r="G1683" s="44" t="n">
        <x:f>C1683*F1683</x:f>
        <x:v>245.3</x:v>
      </x:c>
      <x:c r="H1683" s="44" t="n">
        <x:f>E1683-G1683</x:f>
        <x:v>182.45</x:v>
      </x:c>
      <x:c r="I1683" s="14" t="str">
        <x:v>SMB</x:v>
      </x:c>
      <x:c r="J1683" s="14" t="str">
        <x:v>Northeast</x:v>
      </x:c>
    </x:row>
    <x:row r="1684">
      <x:c r="A1684" s="50" t="n">
        <x:v>46176</x:v>
      </x:c>
      <x:c r="B1684" s="14" t="str">
        <x:v>SKU-0132</x:v>
      </x:c>
      <x:c r="C1684" s="52" t="n">
        <x:v>5</x:v>
      </x:c>
      <x:c r="D1684" s="40" t="n">
        <x:v>321.91</x:v>
      </x:c>
      <x:c r="E1684" s="44" t="n">
        <x:f>C1684*D1684</x:f>
        <x:v>1609.5500000000002</x:v>
      </x:c>
      <x:c r="F1684" s="40" t="n">
        <x:v>177.71</x:v>
      </x:c>
      <x:c r="G1684" s="44" t="n">
        <x:f>C1684*F1684</x:f>
        <x:v>888.5500000000001</x:v>
      </x:c>
      <x:c r="H1684" s="44" t="n">
        <x:f>E1684-G1684</x:f>
        <x:v>721.0000000000001</x:v>
      </x:c>
      <x:c r="I1684" s="14" t="str">
        <x:v>Internal Use</x:v>
      </x:c>
      <x:c r="J1684" s="14" t="str">
        <x:v>Northeast</x:v>
      </x:c>
    </x:row>
    <x:row r="1685">
      <x:c r="A1685" s="50" t="n">
        <x:v>45892</x:v>
      </x:c>
      <x:c r="B1685" s="14" t="str">
        <x:v>SKU-0013</x:v>
      </x:c>
      <x:c r="C1685" s="52" t="n">
        <x:v>13</x:v>
      </x:c>
      <x:c r="D1685" s="40" t="n">
        <x:v>36.97</x:v>
      </x:c>
      <x:c r="E1685" s="44" t="n">
        <x:f>C1685*D1685</x:f>
        <x:v>480.61</x:v>
      </x:c>
      <x:c r="F1685" s="40" t="n">
        <x:v>22.2</x:v>
      </x:c>
      <x:c r="G1685" s="44" t="n">
        <x:f>C1685*F1685</x:f>
        <x:v>288.59999999999997</x:v>
      </x:c>
      <x:c r="H1685" s="44" t="n">
        <x:f>E1685-G1685</x:f>
        <x:v>192.01000000000005</x:v>
      </x:c>
      <x:c r="I1685" s="14" t="str">
        <x:v>SMB</x:v>
      </x:c>
      <x:c r="J1685" s="14" t="str">
        <x:v>Midwest</x:v>
      </x:c>
    </x:row>
    <x:row r="1686">
      <x:c r="A1686" s="50" t="n">
        <x:v>46177</x:v>
      </x:c>
      <x:c r="B1686" s="14" t="str">
        <x:v>SKU-0136</x:v>
      </x:c>
      <x:c r="C1686" s="52" t="n">
        <x:v>12</x:v>
      </x:c>
      <x:c r="D1686" s="40" t="n">
        <x:v>155.24</x:v>
      </x:c>
      <x:c r="E1686" s="44" t="n">
        <x:f>C1686*D1686</x:f>
        <x:v>1862.88</x:v>
      </x:c>
      <x:c r="F1686" s="40" t="n">
        <x:v>105.97</x:v>
      </x:c>
      <x:c r="G1686" s="44" t="n">
        <x:f>C1686*F1686</x:f>
        <x:v>1271.6399999999999</x:v>
      </x:c>
      <x:c r="H1686" s="44" t="n">
        <x:f>E1686-G1686</x:f>
        <x:v>591.2400000000002</x:v>
      </x:c>
      <x:c r="I1686" s="14" t="str">
        <x:v>Internal Use</x:v>
      </x:c>
      <x:c r="J1686" s="14" t="str">
        <x:v>West</x:v>
      </x:c>
    </x:row>
    <x:row r="1687">
      <x:c r="A1687" s="50" t="n">
        <x:v>46090</x:v>
      </x:c>
      <x:c r="B1687" s="14" t="str">
        <x:v>SKU-0128</x:v>
      </x:c>
      <x:c r="C1687" s="52" t="n">
        <x:v>16</x:v>
      </x:c>
      <x:c r="D1687" s="40" t="n">
        <x:v>115.43</x:v>
      </x:c>
      <x:c r="E1687" s="44" t="n">
        <x:f>C1687*D1687</x:f>
        <x:v>1846.88</x:v>
      </x:c>
      <x:c r="F1687" s="40" t="n">
        <x:v>70.02</x:v>
      </x:c>
      <x:c r="G1687" s="44" t="n">
        <x:f>C1687*F1687</x:f>
        <x:v>1120.32</x:v>
      </x:c>
      <x:c r="H1687" s="44" t="n">
        <x:f>E1687-G1687</x:f>
        <x:v>726.5600000000002</x:v>
      </x:c>
      <x:c r="I1687" s="14" t="str">
        <x:v>Distributor</x:v>
      </x:c>
      <x:c r="J1687" s="14" t="str">
        <x:v>West</x:v>
      </x:c>
    </x:row>
    <x:row r="1688">
      <x:c r="A1688" s="50" t="n">
        <x:v>46054</x:v>
      </x:c>
      <x:c r="B1688" s="14" t="str">
        <x:v>SKU-0114</x:v>
      </x:c>
      <x:c r="C1688" s="52" t="n">
        <x:v>9</x:v>
      </x:c>
      <x:c r="D1688" s="40" t="n">
        <x:v>340.02</x:v>
      </x:c>
      <x:c r="E1688" s="44" t="n">
        <x:f>C1688*D1688</x:f>
        <x:v>3060.18</x:v>
      </x:c>
      <x:c r="F1688" s="40" t="n">
        <x:v>232.11</x:v>
      </x:c>
      <x:c r="G1688" s="44" t="n">
        <x:f>C1688*F1688</x:f>
        <x:v>2088.9900000000002</x:v>
      </x:c>
      <x:c r="H1688" s="44" t="n">
        <x:f>E1688-G1688</x:f>
        <x:v>971.1899999999996</x:v>
      </x:c>
      <x:c r="I1688" s="14" t="str">
        <x:v>Distributor</x:v>
      </x:c>
      <x:c r="J1688" s="14" t="str">
        <x:v>Midwest</x:v>
      </x:c>
    </x:row>
    <x:row r="1689">
      <x:c r="A1689" s="50" t="n">
        <x:v>45978</x:v>
      </x:c>
      <x:c r="B1689" s="14" t="str">
        <x:v>SKU-0057</x:v>
      </x:c>
      <x:c r="C1689" s="52" t="n">
        <x:v>65</x:v>
      </x:c>
      <x:c r="D1689" s="40" t="n">
        <x:v>164.49</x:v>
      </x:c>
      <x:c r="E1689" s="44" t="n">
        <x:f>C1689*D1689</x:f>
        <x:v>10691.85</x:v>
      </x:c>
      <x:c r="F1689" s="40" t="n">
        <x:v>122.8</x:v>
      </x:c>
      <x:c r="G1689" s="44" t="n">
        <x:f>C1689*F1689</x:f>
        <x:v>7982</x:v>
      </x:c>
      <x:c r="H1689" s="44" t="n">
        <x:f>E1689-G1689</x:f>
        <x:v>2709.8500000000004</x:v>
      </x:c>
      <x:c r="I1689" s="14" t="str">
        <x:v>SMB</x:v>
      </x:c>
      <x:c r="J1689" s="14" t="str">
        <x:v>Southeast</x:v>
      </x:c>
    </x:row>
    <x:row r="1690">
      <x:c r="A1690" s="50" t="n">
        <x:v>46012</x:v>
      </x:c>
      <x:c r="B1690" s="14" t="str">
        <x:v>SKU-0095</x:v>
      </x:c>
      <x:c r="C1690" s="52" t="n">
        <x:v>4</x:v>
      </x:c>
      <x:c r="D1690" s="40" t="n">
        <x:v>308.82</x:v>
      </x:c>
      <x:c r="E1690" s="44" t="n">
        <x:f>C1690*D1690</x:f>
        <x:v>1235.28</x:v>
      </x:c>
      <x:c r="F1690" s="40" t="n">
        <x:v>225.04</x:v>
      </x:c>
      <x:c r="G1690" s="44" t="n">
        <x:f>C1690*F1690</x:f>
        <x:v>900.16</x:v>
      </x:c>
      <x:c r="H1690" s="44" t="n">
        <x:f>E1690-G1690</x:f>
        <x:v>335.12</x:v>
      </x:c>
      <x:c r="I1690" s="14" t="str">
        <x:v>Enterprise</x:v>
      </x:c>
      <x:c r="J1690" s="14" t="str">
        <x:v>Northeast</x:v>
      </x:c>
    </x:row>
    <x:row r="1691">
      <x:c r="A1691" s="50" t="n">
        <x:v>46203</x:v>
      </x:c>
      <x:c r="B1691" s="14" t="str">
        <x:v>SKU-0102</x:v>
      </x:c>
      <x:c r="C1691" s="52" t="n">
        <x:v>5</x:v>
      </x:c>
      <x:c r="D1691" s="40" t="n">
        <x:v>336.84</x:v>
      </x:c>
      <x:c r="E1691" s="44" t="n">
        <x:f>C1691*D1691</x:f>
        <x:v>1684.1999999999998</x:v>
      </x:c>
      <x:c r="F1691" s="40" t="n">
        <x:v>278.87</x:v>
      </x:c>
      <x:c r="G1691" s="44" t="n">
        <x:f>C1691*F1691</x:f>
        <x:v>1394.35</x:v>
      </x:c>
      <x:c r="H1691" s="44" t="n">
        <x:f>E1691-G1691</x:f>
        <x:v>289.8499999999999</x:v>
      </x:c>
      <x:c r="I1691" s="14" t="str">
        <x:v>Enterprise</x:v>
      </x:c>
      <x:c r="J1691" s="14" t="str">
        <x:v>Northeast</x:v>
      </x:c>
    </x:row>
    <x:row r="1692">
      <x:c r="A1692" s="50" t="n">
        <x:v>45962</x:v>
      </x:c>
      <x:c r="B1692" s="14" t="str">
        <x:v>SKU-0109</x:v>
      </x:c>
      <x:c r="C1692" s="52" t="n">
        <x:v>15</x:v>
      </x:c>
      <x:c r="D1692" s="40" t="n">
        <x:v>142.16</x:v>
      </x:c>
      <x:c r="E1692" s="44" t="n">
        <x:f>C1692*D1692</x:f>
        <x:v>2132.4</x:v>
      </x:c>
      <x:c r="F1692" s="40" t="n">
        <x:v>119.32</x:v>
      </x:c>
      <x:c r="G1692" s="44" t="n">
        <x:f>C1692*F1692</x:f>
        <x:v>1789.8</x:v>
      </x:c>
      <x:c r="H1692" s="44" t="n">
        <x:f>E1692-G1692</x:f>
        <x:v>342.60000000000014</x:v>
      </x:c>
      <x:c r="I1692" s="14" t="str">
        <x:v>SMB</x:v>
      </x:c>
      <x:c r="J1692" s="14" t="str">
        <x:v>West</x:v>
      </x:c>
    </x:row>
    <x:row r="1693">
      <x:c r="A1693" s="50" t="n">
        <x:v>46124</x:v>
      </x:c>
      <x:c r="B1693" s="14" t="str">
        <x:v>SKU-0110</x:v>
      </x:c>
      <x:c r="C1693" s="52" t="n">
        <x:v>14</x:v>
      </x:c>
      <x:c r="D1693" s="40" t="n">
        <x:v>27.54</x:v>
      </x:c>
      <x:c r="E1693" s="44" t="n">
        <x:f>C1693*D1693</x:f>
        <x:v>385.56</x:v>
      </x:c>
      <x:c r="F1693" s="40" t="n">
        <x:v>14.53</x:v>
      </x:c>
      <x:c r="G1693" s="44" t="n">
        <x:f>C1693*F1693</x:f>
        <x:v>203.42</x:v>
      </x:c>
      <x:c r="H1693" s="44" t="n">
        <x:f>E1693-G1693</x:f>
        <x:v>182.14000000000001</x:v>
      </x:c>
      <x:c r="I1693" s="14" t="str">
        <x:v>Distributor</x:v>
      </x:c>
      <x:c r="J1693" s="14" t="str">
        <x:v>Northeast</x:v>
      </x:c>
    </x:row>
    <x:row r="1694">
      <x:c r="A1694" s="50" t="n">
        <x:v>45894</x:v>
      </x:c>
      <x:c r="B1694" s="14" t="str">
        <x:v>SKU-0100</x:v>
      </x:c>
      <x:c r="C1694" s="52" t="n">
        <x:v>4</x:v>
      </x:c>
      <x:c r="D1694" s="40" t="n">
        <x:v>192.92</x:v>
      </x:c>
      <x:c r="E1694" s="44" t="n">
        <x:f>C1694*D1694</x:f>
        <x:v>771.68</x:v>
      </x:c>
      <x:c r="F1694" s="40" t="n">
        <x:v>108.23</x:v>
      </x:c>
      <x:c r="G1694" s="44" t="n">
        <x:f>C1694*F1694</x:f>
        <x:v>432.92</x:v>
      </x:c>
      <x:c r="H1694" s="44" t="n">
        <x:f>E1694-G1694</x:f>
        <x:v>338.75999999999993</x:v>
      </x:c>
      <x:c r="I1694" s="14" t="str">
        <x:v>Enterprise</x:v>
      </x:c>
      <x:c r="J1694" s="14" t="str">
        <x:v>Northeast</x:v>
      </x:c>
    </x:row>
    <x:row r="1695">
      <x:c r="A1695" s="50" t="n">
        <x:v>46137</x:v>
      </x:c>
      <x:c r="B1695" s="14" t="str">
        <x:v>SKU-0096</x:v>
      </x:c>
      <x:c r="C1695" s="52" t="n">
        <x:v>16</x:v>
      </x:c>
      <x:c r="D1695" s="40" t="n">
        <x:v>52.78</x:v>
      </x:c>
      <x:c r="E1695" s="44" t="n">
        <x:f>C1695*D1695</x:f>
        <x:v>844.48</x:v>
      </x:c>
      <x:c r="F1695" s="40" t="n">
        <x:v>29.46</x:v>
      </x:c>
      <x:c r="G1695" s="44" t="n">
        <x:f>C1695*F1695</x:f>
        <x:v>471.36</x:v>
      </x:c>
      <x:c r="H1695" s="44" t="n">
        <x:f>E1695-G1695</x:f>
        <x:v>373.12</x:v>
      </x:c>
      <x:c r="I1695" s="14" t="str">
        <x:v>Internal Use</x:v>
      </x:c>
      <x:c r="J1695" s="14" t="str">
        <x:v>Northeast</x:v>
      </x:c>
    </x:row>
    <x:row r="1696">
      <x:c r="A1696" s="50" t="n">
        <x:v>46154</x:v>
      </x:c>
      <x:c r="B1696" s="14" t="str">
        <x:v>SKU-0002</x:v>
      </x:c>
      <x:c r="C1696" s="52" t="n">
        <x:v>2</x:v>
      </x:c>
      <x:c r="D1696" s="40" t="n">
        <x:v>79.99</x:v>
      </x:c>
      <x:c r="E1696" s="44" t="n">
        <x:f>C1696*D1696</x:f>
        <x:v>159.98</x:v>
      </x:c>
      <x:c r="F1696" s="40" t="n">
        <x:v>66.06</x:v>
      </x:c>
      <x:c r="G1696" s="44" t="n">
        <x:f>C1696*F1696</x:f>
        <x:v>132.12</x:v>
      </x:c>
      <x:c r="H1696" s="44" t="n">
        <x:f>E1696-G1696</x:f>
        <x:v>27.859999999999985</x:v>
      </x:c>
      <x:c r="I1696" s="14" t="str">
        <x:v>Internal Use</x:v>
      </x:c>
      <x:c r="J1696" s="14" t="str">
        <x:v>West</x:v>
      </x:c>
    </x:row>
    <x:row r="1697">
      <x:c r="A1697" s="50" t="n">
        <x:v>46166</x:v>
      </x:c>
      <x:c r="B1697" s="14" t="str">
        <x:v>SKU-0127</x:v>
      </x:c>
      <x:c r="C1697" s="52" t="n">
        <x:v>2</x:v>
      </x:c>
      <x:c r="D1697" s="40" t="n">
        <x:v>275.98</x:v>
      </x:c>
      <x:c r="E1697" s="44" t="n">
        <x:f>C1697*D1697</x:f>
        <x:v>551.96</x:v>
      </x:c>
      <x:c r="F1697" s="40" t="n">
        <x:v>114.9</x:v>
      </x:c>
      <x:c r="G1697" s="44" t="n">
        <x:f>C1697*F1697</x:f>
        <x:v>229.8</x:v>
      </x:c>
      <x:c r="H1697" s="44" t="n">
        <x:f>E1697-G1697</x:f>
        <x:v>322.16</x:v>
      </x:c>
      <x:c r="I1697" s="14" t="str">
        <x:v>Internal Use</x:v>
      </x:c>
      <x:c r="J1697" s="14" t="str">
        <x:v>Northeast</x:v>
      </x:c>
    </x:row>
    <x:row r="1698">
      <x:c r="A1698" s="50" t="n">
        <x:v>46108</x:v>
      </x:c>
      <x:c r="B1698" s="14" t="str">
        <x:v>SKU-0070</x:v>
      </x:c>
      <x:c r="C1698" s="52" t="n">
        <x:v>1</x:v>
      </x:c>
      <x:c r="D1698" s="40" t="n">
        <x:v>117.43</x:v>
      </x:c>
      <x:c r="E1698" s="44" t="n">
        <x:f>C1698*D1698</x:f>
        <x:v>117.43</x:v>
      </x:c>
      <x:c r="F1698" s="40" t="n">
        <x:v>69.06</x:v>
      </x:c>
      <x:c r="G1698" s="44" t="n">
        <x:f>C1698*F1698</x:f>
        <x:v>69.06</x:v>
      </x:c>
      <x:c r="H1698" s="44" t="n">
        <x:f>E1698-G1698</x:f>
        <x:v>48.370000000000005</x:v>
      </x:c>
      <x:c r="I1698" s="14" t="str">
        <x:v>SMB</x:v>
      </x:c>
      <x:c r="J1698" s="14" t="str">
        <x:v>West</x:v>
      </x:c>
    </x:row>
    <x:row r="1699">
      <x:c r="A1699" s="50" t="n">
        <x:v>45955</x:v>
      </x:c>
      <x:c r="B1699" s="14" t="str">
        <x:v>SKU-0020</x:v>
      </x:c>
      <x:c r="C1699" s="52" t="n">
        <x:v>2</x:v>
      </x:c>
      <x:c r="D1699" s="40" t="n">
        <x:v>252.86</x:v>
      </x:c>
      <x:c r="E1699" s="44" t="n">
        <x:f>C1699*D1699</x:f>
        <x:v>505.72</x:v>
      </x:c>
      <x:c r="F1699" s="40" t="n">
        <x:v>163.22</x:v>
      </x:c>
      <x:c r="G1699" s="44" t="n">
        <x:f>C1699*F1699</x:f>
        <x:v>326.44</x:v>
      </x:c>
      <x:c r="H1699" s="44" t="n">
        <x:f>E1699-G1699</x:f>
        <x:v>179.28000000000003</x:v>
      </x:c>
      <x:c r="I1699" s="14" t="str">
        <x:v>Internal Use</x:v>
      </x:c>
      <x:c r="J1699" s="14" t="str">
        <x:v>Midwest</x:v>
      </x:c>
    </x:row>
    <x:row r="1700">
      <x:c r="A1700" s="50" t="n">
        <x:v>46100</x:v>
      </x:c>
      <x:c r="B1700" s="14" t="str">
        <x:v>SKU-0059</x:v>
      </x:c>
      <x:c r="C1700" s="52" t="n">
        <x:v>5</x:v>
      </x:c>
      <x:c r="D1700" s="40" t="n">
        <x:v>327.69</x:v>
      </x:c>
      <x:c r="E1700" s="44" t="n">
        <x:f>C1700*D1700</x:f>
        <x:v>1638.45</x:v>
      </x:c>
      <x:c r="F1700" s="40" t="n">
        <x:v>247.15</x:v>
      </x:c>
      <x:c r="G1700" s="44" t="n">
        <x:f>C1700*F1700</x:f>
        <x:v>1235.75</x:v>
      </x:c>
      <x:c r="H1700" s="44" t="n">
        <x:f>E1700-G1700</x:f>
        <x:v>402.70000000000005</x:v>
      </x:c>
      <x:c r="I1700" s="14" t="str">
        <x:v>Enterprise</x:v>
      </x:c>
      <x:c r="J1700" s="14" t="str">
        <x:v>West</x:v>
      </x:c>
    </x:row>
    <x:row r="1701">
      <x:c r="A1701" s="50" t="n">
        <x:v>46059</x:v>
      </x:c>
      <x:c r="B1701" s="14" t="str">
        <x:v>SKU-0142</x:v>
      </x:c>
      <x:c r="C1701" s="52" t="n">
        <x:v>7</x:v>
      </x:c>
      <x:c r="D1701" s="40" t="n">
        <x:v>182.58</x:v>
      </x:c>
      <x:c r="E1701" s="44" t="n">
        <x:f>C1701*D1701</x:f>
        <x:v>1278.0600000000002</x:v>
      </x:c>
      <x:c r="F1701" s="40" t="n">
        <x:v>95.95</x:v>
      </x:c>
      <x:c r="G1701" s="44" t="n">
        <x:f>C1701*F1701</x:f>
        <x:v>671.65</x:v>
      </x:c>
      <x:c r="H1701" s="44" t="n">
        <x:f>E1701-G1701</x:f>
        <x:v>606.4100000000002</x:v>
      </x:c>
      <x:c r="I1701" s="14" t="str">
        <x:v>Distributor</x:v>
      </x:c>
      <x:c r="J1701" s="14" t="str">
        <x:v>Southeast</x:v>
      </x:c>
    </x:row>
    <x:row r="1702">
      <x:c r="A1702" s="50" t="n">
        <x:v>46223</x:v>
      </x:c>
      <x:c r="B1702" s="14" t="str">
        <x:v>SKU-0032</x:v>
      </x:c>
      <x:c r="C1702" s="52" t="n">
        <x:v>12</x:v>
      </x:c>
      <x:c r="D1702" s="40" t="n">
        <x:v>277.55</x:v>
      </x:c>
      <x:c r="E1702" s="44" t="n">
        <x:f>C1702*D1702</x:f>
        <x:v>3330.6000000000004</x:v>
      </x:c>
      <x:c r="F1702" s="40" t="n">
        <x:v>221</x:v>
      </x:c>
      <x:c r="G1702" s="44" t="n">
        <x:f>C1702*F1702</x:f>
        <x:v>2652</x:v>
      </x:c>
      <x:c r="H1702" s="44" t="n">
        <x:f>E1702-G1702</x:f>
        <x:v>678.6000000000004</x:v>
      </x:c>
      <x:c r="I1702" s="14" t="str">
        <x:v>Distributor</x:v>
      </x:c>
      <x:c r="J1702" s="14" t="str">
        <x:v>Midwest</x:v>
      </x:c>
    </x:row>
    <x:row r="1703">
      <x:c r="A1703" s="50" t="n">
        <x:v>45904</x:v>
      </x:c>
      <x:c r="B1703" s="14" t="str">
        <x:v>SKU-0069</x:v>
      </x:c>
      <x:c r="C1703" s="52" t="n">
        <x:v>3</x:v>
      </x:c>
      <x:c r="D1703" s="40" t="n">
        <x:v>374.53</x:v>
      </x:c>
      <x:c r="E1703" s="44" t="n">
        <x:f>C1703*D1703</x:f>
        <x:v>1123.59</x:v>
      </x:c>
      <x:c r="F1703" s="40" t="n">
        <x:v>277.23</x:v>
      </x:c>
      <x:c r="G1703" s="44" t="n">
        <x:f>C1703*F1703</x:f>
        <x:v>831.69</x:v>
      </x:c>
      <x:c r="H1703" s="44" t="n">
        <x:f>E1703-G1703</x:f>
        <x:v>291.89999999999986</x:v>
      </x:c>
      <x:c r="I1703" s="14" t="str">
        <x:v>Internal Use</x:v>
      </x:c>
      <x:c r="J1703" s="14" t="str">
        <x:v>Midwest</x:v>
      </x:c>
    </x:row>
    <x:row r="1704">
      <x:c r="A1704" s="50" t="n">
        <x:v>45980</x:v>
      </x:c>
      <x:c r="B1704" s="14" t="str">
        <x:v>SKU-0038</x:v>
      </x:c>
      <x:c r="C1704" s="52" t="n">
        <x:v>4</x:v>
      </x:c>
      <x:c r="D1704" s="40" t="n">
        <x:v>253.78</x:v>
      </x:c>
      <x:c r="E1704" s="44" t="n">
        <x:f>C1704*D1704</x:f>
        <x:v>1015.12</x:v>
      </x:c>
      <x:c r="F1704" s="40" t="n">
        <x:v>160.43</x:v>
      </x:c>
      <x:c r="G1704" s="44" t="n">
        <x:f>C1704*F1704</x:f>
        <x:v>641.72</x:v>
      </x:c>
      <x:c r="H1704" s="44" t="n">
        <x:f>E1704-G1704</x:f>
        <x:v>373.4</x:v>
      </x:c>
      <x:c r="I1704" s="14" t="str">
        <x:v>Internal Use</x:v>
      </x:c>
      <x:c r="J1704" s="14" t="str">
        <x:v>Midwest</x:v>
      </x:c>
    </x:row>
    <x:row r="1705">
      <x:c r="A1705" s="50" t="n">
        <x:v>46194</x:v>
      </x:c>
      <x:c r="B1705" s="14" t="str">
        <x:v>SKU-0138</x:v>
      </x:c>
      <x:c r="C1705" s="52" t="n">
        <x:v>34</x:v>
      </x:c>
      <x:c r="D1705" s="40" t="n">
        <x:v>400.93</x:v>
      </x:c>
      <x:c r="E1705" s="44" t="n">
        <x:f>C1705*D1705</x:f>
        <x:v>13631.62</x:v>
      </x:c>
      <x:c r="F1705" s="40" t="n">
        <x:v>186.65</x:v>
      </x:c>
      <x:c r="G1705" s="44" t="n">
        <x:f>C1705*F1705</x:f>
        <x:v>6346.1</x:v>
      </x:c>
      <x:c r="H1705" s="44" t="n">
        <x:f>E1705-G1705</x:f>
        <x:v>7285.52</x:v>
      </x:c>
      <x:c r="I1705" s="14" t="str">
        <x:v>Enterprise</x:v>
      </x:c>
      <x:c r="J1705" s="14" t="str">
        <x:v>West</x:v>
      </x:c>
    </x:row>
    <x:row r="1706">
      <x:c r="A1706" s="50" t="n">
        <x:v>46083</x:v>
      </x:c>
      <x:c r="B1706" s="14" t="str">
        <x:v>SKU-0113</x:v>
      </x:c>
      <x:c r="C1706" s="52" t="n">
        <x:v>14</x:v>
      </x:c>
      <x:c r="D1706" s="40" t="n">
        <x:v>271.39</x:v>
      </x:c>
      <x:c r="E1706" s="44" t="n">
        <x:f>C1706*D1706</x:f>
        <x:v>3799.46</x:v>
      </x:c>
      <x:c r="F1706" s="40" t="n">
        <x:v>222.58</x:v>
      </x:c>
      <x:c r="G1706" s="44" t="n">
        <x:f>C1706*F1706</x:f>
        <x:v>3116.1200000000003</x:v>
      </x:c>
      <x:c r="H1706" s="44" t="n">
        <x:f>E1706-G1706</x:f>
        <x:v>683.3399999999997</x:v>
      </x:c>
      <x:c r="I1706" s="14" t="str">
        <x:v>SMB</x:v>
      </x:c>
      <x:c r="J1706" s="14" t="str">
        <x:v>West</x:v>
      </x:c>
    </x:row>
    <x:row r="1707">
      <x:c r="A1707" s="50" t="n">
        <x:v>45895</x:v>
      </x:c>
      <x:c r="B1707" s="14" t="str">
        <x:v>SKU-0044</x:v>
      </x:c>
      <x:c r="C1707" s="52" t="n">
        <x:v>10</x:v>
      </x:c>
      <x:c r="D1707" s="40" t="n">
        <x:v>170.74</x:v>
      </x:c>
      <x:c r="E1707" s="44" t="n">
        <x:f>C1707*D1707</x:f>
        <x:v>1707.4</x:v>
      </x:c>
      <x:c r="F1707" s="40" t="n">
        <x:v>126.24</x:v>
      </x:c>
      <x:c r="G1707" s="44" t="n">
        <x:f>C1707*F1707</x:f>
        <x:v>1262.3999999999999</x:v>
      </x:c>
      <x:c r="H1707" s="44" t="n">
        <x:f>E1707-G1707</x:f>
        <x:v>445.0000000000002</x:v>
      </x:c>
      <x:c r="I1707" s="14" t="str">
        <x:v>Internal Use</x:v>
      </x:c>
      <x:c r="J1707" s="14" t="str">
        <x:v>Midwest</x:v>
      </x:c>
    </x:row>
    <x:row r="1708">
      <x:c r="A1708" s="50" t="n">
        <x:v>46215</x:v>
      </x:c>
      <x:c r="B1708" s="14" t="str">
        <x:v>SKU-0004</x:v>
      </x:c>
      <x:c r="C1708" s="52" t="n">
        <x:v>12</x:v>
      </x:c>
      <x:c r="D1708" s="40" t="n">
        <x:v>325.28</x:v>
      </x:c>
      <x:c r="E1708" s="44" t="n">
        <x:f>C1708*D1708</x:f>
        <x:v>3903.3599999999997</x:v>
      </x:c>
      <x:c r="F1708" s="40" t="n">
        <x:v>164.72</x:v>
      </x:c>
      <x:c r="G1708" s="44" t="n">
        <x:f>C1708*F1708</x:f>
        <x:v>1976.6399999999999</x:v>
      </x:c>
      <x:c r="H1708" s="44" t="n">
        <x:f>E1708-G1708</x:f>
        <x:v>1926.7199999999998</x:v>
      </x:c>
      <x:c r="I1708" s="14" t="str">
        <x:v>Internal Use</x:v>
      </x:c>
      <x:c r="J1708" s="14" t="str">
        <x:v>Southeast</x:v>
      </x:c>
    </x:row>
    <x:row r="1709">
      <x:c r="A1709" s="50" t="n">
        <x:v>46010</x:v>
      </x:c>
      <x:c r="B1709" s="14" t="str">
        <x:v>SKU-0011</x:v>
      </x:c>
      <x:c r="C1709" s="52" t="n">
        <x:v>4</x:v>
      </x:c>
      <x:c r="D1709" s="40" t="n">
        <x:v>340.16</x:v>
      </x:c>
      <x:c r="E1709" s="44" t="n">
        <x:f>C1709*D1709</x:f>
        <x:v>1360.64</x:v>
      </x:c>
      <x:c r="F1709" s="40" t="n">
        <x:v>244.6</x:v>
      </x:c>
      <x:c r="G1709" s="44" t="n">
        <x:f>C1709*F1709</x:f>
        <x:v>978.4</x:v>
      </x:c>
      <x:c r="H1709" s="44" t="n">
        <x:f>E1709-G1709</x:f>
        <x:v>382.2400000000001</x:v>
      </x:c>
      <x:c r="I1709" s="14" t="str">
        <x:v>SMB</x:v>
      </x:c>
      <x:c r="J1709" s="14" t="str">
        <x:v>Midwest</x:v>
      </x:c>
    </x:row>
    <x:row r="1710">
      <x:c r="A1710" s="50" t="n">
        <x:v>46137</x:v>
      </x:c>
      <x:c r="B1710" s="14" t="str">
        <x:v>SKU-0140</x:v>
      </x:c>
      <x:c r="C1710" s="52" t="n">
        <x:v>16</x:v>
      </x:c>
      <x:c r="D1710" s="40" t="n">
        <x:v>316.21</x:v>
      </x:c>
      <x:c r="E1710" s="44" t="n">
        <x:f>C1710*D1710</x:f>
        <x:v>5059.36</x:v>
      </x:c>
      <x:c r="F1710" s="40" t="n">
        <x:v>188.55</x:v>
      </x:c>
      <x:c r="G1710" s="44" t="n">
        <x:f>C1710*F1710</x:f>
        <x:v>3016.8</x:v>
      </x:c>
      <x:c r="H1710" s="44" t="n">
        <x:f>E1710-G1710</x:f>
        <x:v>2042.5599999999995</x:v>
      </x:c>
      <x:c r="I1710" s="14" t="str">
        <x:v>Distributor</x:v>
      </x:c>
      <x:c r="J1710" s="14" t="str">
        <x:v>Southeast</x:v>
      </x:c>
    </x:row>
    <x:row r="1711">
      <x:c r="A1711" s="50" t="n">
        <x:v>45886</x:v>
      </x:c>
      <x:c r="B1711" s="14" t="str">
        <x:v>SKU-0079</x:v>
      </x:c>
      <x:c r="C1711" s="52" t="n">
        <x:v>19</x:v>
      </x:c>
      <x:c r="D1711" s="40" t="n">
        <x:v>210.11</x:v>
      </x:c>
      <x:c r="E1711" s="44" t="n">
        <x:f>C1711*D1711</x:f>
        <x:v>3992.09</x:v>
      </x:c>
      <x:c r="F1711" s="40" t="n">
        <x:v>124.08</x:v>
      </x:c>
      <x:c r="G1711" s="44" t="n">
        <x:f>C1711*F1711</x:f>
        <x:v>2357.52</x:v>
      </x:c>
      <x:c r="H1711" s="44" t="n">
        <x:f>E1711-G1711</x:f>
        <x:v>1634.5700000000002</x:v>
      </x:c>
      <x:c r="I1711" s="14" t="str">
        <x:v>Enterprise</x:v>
      </x:c>
      <x:c r="J1711" s="14" t="str">
        <x:v>West</x:v>
      </x:c>
    </x:row>
    <x:row r="1712">
      <x:c r="A1712" s="50" t="n">
        <x:v>46122</x:v>
      </x:c>
      <x:c r="B1712" s="14" t="str">
        <x:v>SKU-0113</x:v>
      </x:c>
      <x:c r="C1712" s="52" t="n">
        <x:v>9</x:v>
      </x:c>
      <x:c r="D1712" s="40" t="n">
        <x:v>261.62</x:v>
      </x:c>
      <x:c r="E1712" s="44" t="n">
        <x:f>C1712*D1712</x:f>
        <x:v>2354.58</x:v>
      </x:c>
      <x:c r="F1712" s="40" t="n">
        <x:v>222.58</x:v>
      </x:c>
      <x:c r="G1712" s="44" t="n">
        <x:f>C1712*F1712</x:f>
        <x:v>2003.22</x:v>
      </x:c>
      <x:c r="H1712" s="44" t="n">
        <x:f>E1712-G1712</x:f>
        <x:v>351.3599999999999</x:v>
      </x:c>
      <x:c r="I1712" s="14" t="str">
        <x:v>Internal Use</x:v>
      </x:c>
      <x:c r="J1712" s="14" t="str">
        <x:v>Midwest</x:v>
      </x:c>
    </x:row>
    <x:row r="1713">
      <x:c r="A1713" s="50" t="n">
        <x:v>46022</x:v>
      </x:c>
      <x:c r="B1713" s="14" t="str">
        <x:v>SKU-0045</x:v>
      </x:c>
      <x:c r="C1713" s="52" t="n">
        <x:v>21</x:v>
      </x:c>
      <x:c r="D1713" s="40" t="n">
        <x:v>103.12</x:v>
      </x:c>
      <x:c r="E1713" s="44" t="n">
        <x:f>C1713*D1713</x:f>
        <x:v>2165.52</x:v>
      </x:c>
      <x:c r="F1713" s="40" t="n">
        <x:v>68.89</x:v>
      </x:c>
      <x:c r="G1713" s="44" t="n">
        <x:f>C1713*F1713</x:f>
        <x:v>1446.69</x:v>
      </x:c>
      <x:c r="H1713" s="44" t="n">
        <x:f>E1713-G1713</x:f>
        <x:v>718.8299999999999</x:v>
      </x:c>
      <x:c r="I1713" s="14" t="str">
        <x:v>SMB</x:v>
      </x:c>
      <x:c r="J1713" s="14" t="str">
        <x:v>Midwest</x:v>
      </x:c>
    </x:row>
    <x:row r="1714">
      <x:c r="A1714" s="50" t="n">
        <x:v>46123</x:v>
      </x:c>
      <x:c r="B1714" s="14" t="str">
        <x:v>SKU-0017</x:v>
      </x:c>
      <x:c r="C1714" s="52" t="n">
        <x:v>10</x:v>
      </x:c>
      <x:c r="D1714" s="40" t="n">
        <x:v>160.26</x:v>
      </x:c>
      <x:c r="E1714" s="44" t="n">
        <x:f>C1714*D1714</x:f>
        <x:v>1602.6</x:v>
      </x:c>
      <x:c r="F1714" s="40" t="n">
        <x:v>71.82</x:v>
      </x:c>
      <x:c r="G1714" s="44" t="n">
        <x:f>C1714*F1714</x:f>
        <x:v>718.1999999999999</x:v>
      </x:c>
      <x:c r="H1714" s="44" t="n">
        <x:f>E1714-G1714</x:f>
        <x:v>884.4</x:v>
      </x:c>
      <x:c r="I1714" s="14" t="str">
        <x:v>Enterprise</x:v>
      </x:c>
      <x:c r="J1714" s="14" t="str">
        <x:v>Northeast</x:v>
      </x:c>
    </x:row>
    <x:row r="1715">
      <x:c r="A1715" s="50" t="n">
        <x:v>46003</x:v>
      </x:c>
      <x:c r="B1715" s="14" t="str">
        <x:v>SKU-0083</x:v>
      </x:c>
      <x:c r="C1715" s="52" t="n">
        <x:v>11</x:v>
      </x:c>
      <x:c r="D1715" s="40" t="n">
        <x:v>197.92</x:v>
      </x:c>
      <x:c r="E1715" s="44" t="n">
        <x:f>C1715*D1715</x:f>
        <x:v>2177.12</x:v>
      </x:c>
      <x:c r="F1715" s="40" t="n">
        <x:v>126.42</x:v>
      </x:c>
      <x:c r="G1715" s="44" t="n">
        <x:f>C1715*F1715</x:f>
        <x:v>1390.6200000000001</x:v>
      </x:c>
      <x:c r="H1715" s="44" t="n">
        <x:f>E1715-G1715</x:f>
        <x:v>786.4999999999998</x:v>
      </x:c>
      <x:c r="I1715" s="14" t="str">
        <x:v>Distributor</x:v>
      </x:c>
      <x:c r="J1715" s="14" t="str">
        <x:v>West</x:v>
      </x:c>
    </x:row>
    <x:row r="1716">
      <x:c r="A1716" s="50" t="n">
        <x:v>46176</x:v>
      </x:c>
      <x:c r="B1716" s="14" t="str">
        <x:v>SKU-0146</x:v>
      </x:c>
      <x:c r="C1716" s="52" t="n">
        <x:v>7</x:v>
      </x:c>
      <x:c r="D1716" s="40" t="n">
        <x:v>477.73</x:v>
      </x:c>
      <x:c r="E1716" s="44" t="n">
        <x:f>C1716*D1716</x:f>
        <x:v>3344.11</x:v>
      </x:c>
      <x:c r="F1716" s="40" t="n">
        <x:v>261.77</x:v>
      </x:c>
      <x:c r="G1716" s="44" t="n">
        <x:f>C1716*F1716</x:f>
        <x:v>1832.3899999999999</x:v>
      </x:c>
      <x:c r="H1716" s="44" t="n">
        <x:f>E1716-G1716</x:f>
        <x:v>1511.7200000000003</x:v>
      </x:c>
      <x:c r="I1716" s="14" t="str">
        <x:v>SMB</x:v>
      </x:c>
      <x:c r="J1716" s="14" t="str">
        <x:v>Northeast</x:v>
      </x:c>
    </x:row>
    <x:row r="1717">
      <x:c r="A1717" s="50" t="n">
        <x:v>46041</x:v>
      </x:c>
      <x:c r="B1717" s="14" t="str">
        <x:v>SKU-0079</x:v>
      </x:c>
      <x:c r="C1717" s="52" t="n">
        <x:v>8</x:v>
      </x:c>
      <x:c r="D1717" s="40" t="n">
        <x:v>235.36</x:v>
      </x:c>
      <x:c r="E1717" s="44" t="n">
        <x:f>C1717*D1717</x:f>
        <x:v>1882.88</x:v>
      </x:c>
      <x:c r="F1717" s="40" t="n">
        <x:v>124.08</x:v>
      </x:c>
      <x:c r="G1717" s="44" t="n">
        <x:f>C1717*F1717</x:f>
        <x:v>992.64</x:v>
      </x:c>
      <x:c r="H1717" s="44" t="n">
        <x:f>E1717-G1717</x:f>
        <x:v>890.2400000000001</x:v>
      </x:c>
      <x:c r="I1717" s="14" t="str">
        <x:v>Enterprise</x:v>
      </x:c>
      <x:c r="J1717" s="14" t="str">
        <x:v>Midwest</x:v>
      </x:c>
    </x:row>
    <x:row r="1718">
      <x:c r="A1718" s="50" t="n">
        <x:v>46228</x:v>
      </x:c>
      <x:c r="B1718" s="14" t="str">
        <x:v>SKU-0116</x:v>
      </x:c>
      <x:c r="C1718" s="52" t="n">
        <x:v>4</x:v>
      </x:c>
      <x:c r="D1718" s="40" t="n">
        <x:v>48.6</x:v>
      </x:c>
      <x:c r="E1718" s="44" t="n">
        <x:f>C1718*D1718</x:f>
        <x:v>194.4</x:v>
      </x:c>
      <x:c r="F1718" s="40" t="n">
        <x:v>36.42</x:v>
      </x:c>
      <x:c r="G1718" s="44" t="n">
        <x:f>C1718*F1718</x:f>
        <x:v>145.68</x:v>
      </x:c>
      <x:c r="H1718" s="44" t="n">
        <x:f>E1718-G1718</x:f>
        <x:v>48.72</x:v>
      </x:c>
      <x:c r="I1718" s="14" t="str">
        <x:v>Enterprise</x:v>
      </x:c>
      <x:c r="J1718" s="14" t="str">
        <x:v>West</x:v>
      </x:c>
    </x:row>
    <x:row r="1719">
      <x:c r="A1719" s="50" t="n">
        <x:v>45969</x:v>
      </x:c>
      <x:c r="B1719" s="14" t="str">
        <x:v>SKU-0065</x:v>
      </x:c>
      <x:c r="C1719" s="52" t="n">
        <x:v>32</x:v>
      </x:c>
      <x:c r="D1719" s="40" t="n">
        <x:v>63.5</x:v>
      </x:c>
      <x:c r="E1719" s="44" t="n">
        <x:f>C1719*D1719</x:f>
        <x:v>2032</x:v>
      </x:c>
      <x:c r="F1719" s="40" t="n">
        <x:v>52.3</x:v>
      </x:c>
      <x:c r="G1719" s="44" t="n">
        <x:f>C1719*F1719</x:f>
        <x:v>1673.6</x:v>
      </x:c>
      <x:c r="H1719" s="44" t="n">
        <x:f>E1719-G1719</x:f>
        <x:v>358.4000000000001</x:v>
      </x:c>
      <x:c r="I1719" s="14" t="str">
        <x:v>SMB</x:v>
      </x:c>
      <x:c r="J1719" s="14" t="str">
        <x:v>Southeast</x:v>
      </x:c>
    </x:row>
    <x:row r="1720">
      <x:c r="A1720" s="50" t="n">
        <x:v>46170</x:v>
      </x:c>
      <x:c r="B1720" s="14" t="str">
        <x:v>SKU-0061</x:v>
      </x:c>
      <x:c r="C1720" s="52" t="n">
        <x:v>14</x:v>
      </x:c>
      <x:c r="D1720" s="40" t="n">
        <x:v>297.02</x:v>
      </x:c>
      <x:c r="E1720" s="44" t="n">
        <x:f>C1720*D1720</x:f>
        <x:v>4158.28</x:v>
      </x:c>
      <x:c r="F1720" s="40" t="n">
        <x:v>202.32</x:v>
      </x:c>
      <x:c r="G1720" s="44" t="n">
        <x:f>C1720*F1720</x:f>
        <x:v>2832.48</x:v>
      </x:c>
      <x:c r="H1720" s="44" t="n">
        <x:f>E1720-G1720</x:f>
        <x:v>1325.7999999999997</x:v>
      </x:c>
      <x:c r="I1720" s="14" t="str">
        <x:v>Internal Use</x:v>
      </x:c>
      <x:c r="J1720" s="14" t="str">
        <x:v>Northeast</x:v>
      </x:c>
    </x:row>
    <x:row r="1721">
      <x:c r="A1721" s="50" t="n">
        <x:v>45960</x:v>
      </x:c>
      <x:c r="B1721" s="14" t="str">
        <x:v>SKU-0101</x:v>
      </x:c>
      <x:c r="C1721" s="52" t="n">
        <x:v>36</x:v>
      </x:c>
      <x:c r="D1721" s="40" t="n">
        <x:v>84.26</x:v>
      </x:c>
      <x:c r="E1721" s="44" t="n">
        <x:f>C1721*D1721</x:f>
        <x:v>3033.36</x:v>
      </x:c>
      <x:c r="F1721" s="40" t="n">
        <x:v>63.93</x:v>
      </x:c>
      <x:c r="G1721" s="44" t="n">
        <x:f>C1721*F1721</x:f>
        <x:v>2301.48</x:v>
      </x:c>
      <x:c r="H1721" s="44" t="n">
        <x:f>E1721-G1721</x:f>
        <x:v>731.8800000000001</x:v>
      </x:c>
      <x:c r="I1721" s="14" t="str">
        <x:v>Enterprise</x:v>
      </x:c>
      <x:c r="J1721" s="14" t="str">
        <x:v>Southeast</x:v>
      </x:c>
    </x:row>
    <x:row r="1722">
      <x:c r="A1722" s="50" t="n">
        <x:v>45954</x:v>
      </x:c>
      <x:c r="B1722" s="14" t="str">
        <x:v>SKU-0043</x:v>
      </x:c>
      <x:c r="C1722" s="52" t="n">
        <x:v>13</x:v>
      </x:c>
      <x:c r="D1722" s="40" t="n">
        <x:v>392.5</x:v>
      </x:c>
      <x:c r="E1722" s="44" t="n">
        <x:f>C1722*D1722</x:f>
        <x:v>5102.5</x:v>
      </x:c>
      <x:c r="F1722" s="40" t="n">
        <x:v>224.89</x:v>
      </x:c>
      <x:c r="G1722" s="44" t="n">
        <x:f>C1722*F1722</x:f>
        <x:v>2923.5699999999997</x:v>
      </x:c>
      <x:c r="H1722" s="44" t="n">
        <x:f>E1722-G1722</x:f>
        <x:v>2178.9300000000003</x:v>
      </x:c>
      <x:c r="I1722" s="14" t="str">
        <x:v>Enterprise</x:v>
      </x:c>
      <x:c r="J1722" s="14" t="str">
        <x:v>Northeast</x:v>
      </x:c>
    </x:row>
    <x:row r="1723">
      <x:c r="A1723" s="50" t="n">
        <x:v>46140</x:v>
      </x:c>
      <x:c r="B1723" s="14" t="str">
        <x:v>SKU-0008</x:v>
      </x:c>
      <x:c r="C1723" s="52" t="n">
        <x:v>28</x:v>
      </x:c>
      <x:c r="D1723" s="40" t="n">
        <x:v>199.48</x:v>
      </x:c>
      <x:c r="E1723" s="44" t="n">
        <x:f>C1723*D1723</x:f>
        <x:v>5585.44</x:v>
      </x:c>
      <x:c r="F1723" s="40" t="n">
        <x:v>143.38</x:v>
      </x:c>
      <x:c r="G1723" s="44" t="n">
        <x:f>C1723*F1723</x:f>
        <x:v>4014.64</x:v>
      </x:c>
      <x:c r="H1723" s="44" t="n">
        <x:f>E1723-G1723</x:f>
        <x:v>1570.7999999999997</x:v>
      </x:c>
      <x:c r="I1723" s="14" t="str">
        <x:v>Internal Use</x:v>
      </x:c>
      <x:c r="J1723" s="14" t="str">
        <x:v>West</x:v>
      </x:c>
    </x:row>
    <x:row r="1724">
      <x:c r="A1724" s="50" t="n">
        <x:v>45885</x:v>
      </x:c>
      <x:c r="B1724" s="14" t="str">
        <x:v>SKU-0032</x:v>
      </x:c>
      <x:c r="C1724" s="52" t="n">
        <x:v>12</x:v>
      </x:c>
      <x:c r="D1724" s="40" t="n">
        <x:v>264.14</x:v>
      </x:c>
      <x:c r="E1724" s="44" t="n">
        <x:f>C1724*D1724</x:f>
        <x:v>3169.68</x:v>
      </x:c>
      <x:c r="F1724" s="40" t="n">
        <x:v>221</x:v>
      </x:c>
      <x:c r="G1724" s="44" t="n">
        <x:f>C1724*F1724</x:f>
        <x:v>2652</x:v>
      </x:c>
      <x:c r="H1724" s="44" t="n">
        <x:f>E1724-G1724</x:f>
        <x:v>517.6799999999998</x:v>
      </x:c>
      <x:c r="I1724" s="14" t="str">
        <x:v>Internal Use</x:v>
      </x:c>
      <x:c r="J1724" s="14" t="str">
        <x:v>Northeast</x:v>
      </x:c>
    </x:row>
    <x:row r="1725">
      <x:c r="A1725" s="50" t="n">
        <x:v>45911</x:v>
      </x:c>
      <x:c r="B1725" s="14" t="str">
        <x:v>SKU-0074</x:v>
      </x:c>
      <x:c r="C1725" s="52" t="n">
        <x:v>19</x:v>
      </x:c>
      <x:c r="D1725" s="40" t="n">
        <x:v>350.57</x:v>
      </x:c>
      <x:c r="E1725" s="44" t="n">
        <x:f>C1725*D1725</x:f>
        <x:v>6660.83</x:v>
      </x:c>
      <x:c r="F1725" s="40" t="n">
        <x:v>206.33</x:v>
      </x:c>
      <x:c r="G1725" s="44" t="n">
        <x:f>C1725*F1725</x:f>
        <x:v>3920.2700000000004</x:v>
      </x:c>
      <x:c r="H1725" s="44" t="n">
        <x:f>E1725-G1725</x:f>
        <x:v>2740.5599999999995</x:v>
      </x:c>
      <x:c r="I1725" s="14" t="str">
        <x:v>Distributor</x:v>
      </x:c>
      <x:c r="J1725" s="14" t="str">
        <x:v>Southeast</x:v>
      </x:c>
    </x:row>
    <x:row r="1726">
      <x:c r="A1726" s="50" t="n">
        <x:v>46181</x:v>
      </x:c>
      <x:c r="B1726" s="14" t="str">
        <x:v>SKU-0022</x:v>
      </x:c>
      <x:c r="C1726" s="52" t="n">
        <x:v>9</x:v>
      </x:c>
      <x:c r="D1726" s="40" t="n">
        <x:v>284.59</x:v>
      </x:c>
      <x:c r="E1726" s="44" t="n">
        <x:f>C1726*D1726</x:f>
        <x:v>2561.31</x:v>
      </x:c>
      <x:c r="F1726" s="40" t="n">
        <x:v>167.48</x:v>
      </x:c>
      <x:c r="G1726" s="44" t="n">
        <x:f>C1726*F1726</x:f>
        <x:v>1507.32</x:v>
      </x:c>
      <x:c r="H1726" s="44" t="n">
        <x:f>E1726-G1726</x:f>
        <x:v>1053.99</x:v>
      </x:c>
      <x:c r="I1726" s="14" t="str">
        <x:v>Internal Use</x:v>
      </x:c>
      <x:c r="J1726" s="14" t="str">
        <x:v>Southeast</x:v>
      </x:c>
    </x:row>
    <x:row r="1727">
      <x:c r="A1727" s="50" t="n">
        <x:v>46041</x:v>
      </x:c>
      <x:c r="B1727" s="14" t="str">
        <x:v>SKU-0050</x:v>
      </x:c>
      <x:c r="C1727" s="52" t="n">
        <x:v>1</x:v>
      </x:c>
      <x:c r="D1727" s="40" t="n">
        <x:v>325.78</x:v>
      </x:c>
      <x:c r="E1727" s="44" t="n">
        <x:f>C1727*D1727</x:f>
        <x:v>325.78</x:v>
      </x:c>
      <x:c r="F1727" s="40" t="n">
        <x:v>150.72</x:v>
      </x:c>
      <x:c r="G1727" s="44" t="n">
        <x:f>C1727*F1727</x:f>
        <x:v>150.72</x:v>
      </x:c>
      <x:c r="H1727" s="44" t="n">
        <x:f>E1727-G1727</x:f>
        <x:v>175.05999999999997</x:v>
      </x:c>
      <x:c r="I1727" s="14" t="str">
        <x:v>Enterprise</x:v>
      </x:c>
      <x:c r="J1727" s="14" t="str">
        <x:v>Northeast</x:v>
      </x:c>
    </x:row>
    <x:row r="1728">
      <x:c r="A1728" s="50" t="n">
        <x:v>45981</x:v>
      </x:c>
      <x:c r="B1728" s="14" t="str">
        <x:v>SKU-0001</x:v>
      </x:c>
      <x:c r="C1728" s="52" t="n">
        <x:v>7</x:v>
      </x:c>
      <x:c r="D1728" s="40" t="n">
        <x:v>305.75</x:v>
      </x:c>
      <x:c r="E1728" s="44" t="n">
        <x:f>C1728*D1728</x:f>
        <x:v>2140.25</x:v>
      </x:c>
      <x:c r="F1728" s="40" t="n">
        <x:v>178.71</x:v>
      </x:c>
      <x:c r="G1728" s="44" t="n">
        <x:f>C1728*F1728</x:f>
        <x:v>1250.97</x:v>
      </x:c>
      <x:c r="H1728" s="44" t="n">
        <x:f>E1728-G1728</x:f>
        <x:v>889.28</x:v>
      </x:c>
      <x:c r="I1728" s="14" t="str">
        <x:v>Enterprise</x:v>
      </x:c>
      <x:c r="J1728" s="14" t="str">
        <x:v>Midwest</x:v>
      </x:c>
    </x:row>
    <x:row r="1729">
      <x:c r="A1729" s="50" t="n">
        <x:v>46048</x:v>
      </x:c>
      <x:c r="B1729" s="14" t="str">
        <x:v>SKU-0072</x:v>
      </x:c>
      <x:c r="C1729" s="52" t="n">
        <x:v>8</x:v>
      </x:c>
      <x:c r="D1729" s="40" t="n">
        <x:v>247.28</x:v>
      </x:c>
      <x:c r="E1729" s="44" t="n">
        <x:f>C1729*D1729</x:f>
        <x:v>1978.24</x:v>
      </x:c>
      <x:c r="F1729" s="40" t="n">
        <x:v>153.62</x:v>
      </x:c>
      <x:c r="G1729" s="44" t="n">
        <x:f>C1729*F1729</x:f>
        <x:v>1228.96</x:v>
      </x:c>
      <x:c r="H1729" s="44" t="n">
        <x:f>E1729-G1729</x:f>
        <x:v>749.28</x:v>
      </x:c>
      <x:c r="I1729" s="14" t="str">
        <x:v>Enterprise</x:v>
      </x:c>
      <x:c r="J1729" s="14" t="str">
        <x:v>West</x:v>
      </x:c>
    </x:row>
    <x:row r="1730">
      <x:c r="A1730" s="50" t="n">
        <x:v>46222</x:v>
      </x:c>
      <x:c r="B1730" s="14" t="str">
        <x:v>SKU-0111</x:v>
      </x:c>
      <x:c r="C1730" s="52" t="n">
        <x:v>7</x:v>
      </x:c>
      <x:c r="D1730" s="40" t="n">
        <x:v>141.66</x:v>
      </x:c>
      <x:c r="E1730" s="44" t="n">
        <x:f>C1730*D1730</x:f>
        <x:v>991.62</x:v>
      </x:c>
      <x:c r="F1730" s="40" t="n">
        <x:v>120.79</x:v>
      </x:c>
      <x:c r="G1730" s="44" t="n">
        <x:f>C1730*F1730</x:f>
        <x:v>845.5300000000001</x:v>
      </x:c>
      <x:c r="H1730" s="44" t="n">
        <x:f>E1730-G1730</x:f>
        <x:v>146.08999999999992</x:v>
      </x:c>
      <x:c r="I1730" s="14" t="str">
        <x:v>Internal Use</x:v>
      </x:c>
      <x:c r="J1730" s="14" t="str">
        <x:v>Midwest</x:v>
      </x:c>
    </x:row>
    <x:row r="1731">
      <x:c r="A1731" s="50" t="n">
        <x:v>45924</x:v>
      </x:c>
      <x:c r="B1731" s="14" t="str">
        <x:v>SKU-0077</x:v>
      </x:c>
      <x:c r="C1731" s="52" t="n">
        <x:v>23</x:v>
      </x:c>
      <x:c r="D1731" s="40" t="n">
        <x:v>16.71</x:v>
      </x:c>
      <x:c r="E1731" s="44" t="n">
        <x:f>C1731*D1731</x:f>
        <x:v>384.33000000000004</x:v>
      </x:c>
      <x:c r="F1731" s="40" t="n">
        <x:v>12.68</x:v>
      </x:c>
      <x:c r="G1731" s="44" t="n">
        <x:f>C1731*F1731</x:f>
        <x:v>291.64</x:v>
      </x:c>
      <x:c r="H1731" s="44" t="n">
        <x:f>E1731-G1731</x:f>
        <x:v>92.69000000000005</x:v>
      </x:c>
      <x:c r="I1731" s="14" t="str">
        <x:v>SMB</x:v>
      </x:c>
      <x:c r="J1731" s="14" t="str">
        <x:v>Midwest</x:v>
      </x:c>
    </x:row>
    <x:row r="1732">
      <x:c r="A1732" s="50" t="n">
        <x:v>46108</x:v>
      </x:c>
      <x:c r="B1732" s="14" t="str">
        <x:v>SKU-0001</x:v>
      </x:c>
      <x:c r="C1732" s="52" t="n">
        <x:v>9</x:v>
      </x:c>
      <x:c r="D1732" s="40" t="n">
        <x:v>292.41</x:v>
      </x:c>
      <x:c r="E1732" s="44" t="n">
        <x:f>C1732*D1732</x:f>
        <x:v>2631.69</x:v>
      </x:c>
      <x:c r="F1732" s="40" t="n">
        <x:v>178.71</x:v>
      </x:c>
      <x:c r="G1732" s="44" t="n">
        <x:f>C1732*F1732</x:f>
        <x:v>1608.39</x:v>
      </x:c>
      <x:c r="H1732" s="44" t="n">
        <x:f>E1732-G1732</x:f>
        <x:v>1023.3</x:v>
      </x:c>
      <x:c r="I1732" s="14" t="str">
        <x:v>Distributor</x:v>
      </x:c>
      <x:c r="J1732" s="14" t="str">
        <x:v>West</x:v>
      </x:c>
    </x:row>
    <x:row r="1733">
      <x:c r="A1733" s="50" t="n">
        <x:v>46147</x:v>
      </x:c>
      <x:c r="B1733" s="14" t="str">
        <x:v>SKU-0011</x:v>
      </x:c>
      <x:c r="C1733" s="52" t="n">
        <x:v>11</x:v>
      </x:c>
      <x:c r="D1733" s="40" t="n">
        <x:v>369.96</x:v>
      </x:c>
      <x:c r="E1733" s="44" t="n">
        <x:f>C1733*D1733</x:f>
        <x:v>4069.56</x:v>
      </x:c>
      <x:c r="F1733" s="40" t="n">
        <x:v>244.6</x:v>
      </x:c>
      <x:c r="G1733" s="44" t="n">
        <x:f>C1733*F1733</x:f>
        <x:v>2690.6</x:v>
      </x:c>
      <x:c r="H1733" s="44" t="n">
        <x:f>E1733-G1733</x:f>
        <x:v>1378.96</x:v>
      </x:c>
      <x:c r="I1733" s="14" t="str">
        <x:v>SMB</x:v>
      </x:c>
      <x:c r="J1733" s="14" t="str">
        <x:v>West</x:v>
      </x:c>
    </x:row>
    <x:row r="1734">
      <x:c r="A1734" s="50" t="n">
        <x:v>46160</x:v>
      </x:c>
      <x:c r="B1734" s="14" t="str">
        <x:v>SKU-0108</x:v>
      </x:c>
      <x:c r="C1734" s="52" t="n">
        <x:v>3</x:v>
      </x:c>
      <x:c r="D1734" s="40" t="n">
        <x:v>302.92</x:v>
      </x:c>
      <x:c r="E1734" s="44" t="n">
        <x:f>C1734*D1734</x:f>
        <x:v>908.76</x:v>
      </x:c>
      <x:c r="F1734" s="40" t="n">
        <x:v>242.94</x:v>
      </x:c>
      <x:c r="G1734" s="44" t="n">
        <x:f>C1734*F1734</x:f>
        <x:v>728.8199999999999</x:v>
      </x:c>
      <x:c r="H1734" s="44" t="n">
        <x:f>E1734-G1734</x:f>
        <x:v>179.94000000000005</x:v>
      </x:c>
      <x:c r="I1734" s="14" t="str">
        <x:v>Internal Use</x:v>
      </x:c>
      <x:c r="J1734" s="14" t="str">
        <x:v>Southeast</x:v>
      </x:c>
    </x:row>
    <x:row r="1735">
      <x:c r="A1735" s="50" t="n">
        <x:v>46190</x:v>
      </x:c>
      <x:c r="B1735" s="14" t="str">
        <x:v>SKU-0100</x:v>
      </x:c>
      <x:c r="C1735" s="52" t="n">
        <x:v>8</x:v>
      </x:c>
      <x:c r="D1735" s="40" t="n">
        <x:v>179.26</x:v>
      </x:c>
      <x:c r="E1735" s="44" t="n">
        <x:f>C1735*D1735</x:f>
        <x:v>1434.08</x:v>
      </x:c>
      <x:c r="F1735" s="40" t="n">
        <x:v>108.23</x:v>
      </x:c>
      <x:c r="G1735" s="44" t="n">
        <x:f>C1735*F1735</x:f>
        <x:v>865.84</x:v>
      </x:c>
      <x:c r="H1735" s="44" t="n">
        <x:f>E1735-G1735</x:f>
        <x:v>568.2399999999999</x:v>
      </x:c>
      <x:c r="I1735" s="14" t="str">
        <x:v>Internal Use</x:v>
      </x:c>
      <x:c r="J1735" s="14" t="str">
        <x:v>Northeast</x:v>
      </x:c>
    </x:row>
    <x:row r="1736">
      <x:c r="A1736" s="50" t="n">
        <x:v>46150</x:v>
      </x:c>
      <x:c r="B1736" s="14" t="str">
        <x:v>SKU-0121</x:v>
      </x:c>
      <x:c r="C1736" s="52" t="n">
        <x:v>8</x:v>
      </x:c>
      <x:c r="D1736" s="40" t="n">
        <x:v>123.06</x:v>
      </x:c>
      <x:c r="E1736" s="44" t="n">
        <x:f>C1736*D1736</x:f>
        <x:v>984.48</x:v>
      </x:c>
      <x:c r="F1736" s="40" t="n">
        <x:v>88.98</x:v>
      </x:c>
      <x:c r="G1736" s="44" t="n">
        <x:f>C1736*F1736</x:f>
        <x:v>711.84</x:v>
      </x:c>
      <x:c r="H1736" s="44" t="n">
        <x:f>E1736-G1736</x:f>
        <x:v>272.64</x:v>
      </x:c>
      <x:c r="I1736" s="14" t="str">
        <x:v>Distributor</x:v>
      </x:c>
      <x:c r="J1736" s="14" t="str">
        <x:v>West</x:v>
      </x:c>
    </x:row>
    <x:row r="1737">
      <x:c r="A1737" s="50" t="n">
        <x:v>46065</x:v>
      </x:c>
      <x:c r="B1737" s="14" t="str">
        <x:v>SKU-0047</x:v>
      </x:c>
      <x:c r="C1737" s="52" t="n">
        <x:v>8</x:v>
      </x:c>
      <x:c r="D1737" s="40" t="n">
        <x:v>340.54</x:v>
      </x:c>
      <x:c r="E1737" s="44" t="n">
        <x:f>C1737*D1737</x:f>
        <x:v>2724.32</x:v>
      </x:c>
      <x:c r="F1737" s="40" t="n">
        <x:v>233.63</x:v>
      </x:c>
      <x:c r="G1737" s="44" t="n">
        <x:f>C1737*F1737</x:f>
        <x:v>1869.04</x:v>
      </x:c>
      <x:c r="H1737" s="44" t="n">
        <x:f>E1737-G1737</x:f>
        <x:v>855.2800000000002</x:v>
      </x:c>
      <x:c r="I1737" s="14" t="str">
        <x:v>Internal Use</x:v>
      </x:c>
      <x:c r="J1737" s="14" t="str">
        <x:v>Northeast</x:v>
      </x:c>
    </x:row>
    <x:row r="1738">
      <x:c r="A1738" s="50" t="n">
        <x:v>45944</x:v>
      </x:c>
      <x:c r="B1738" s="14" t="str">
        <x:v>SKU-0061</x:v>
      </x:c>
      <x:c r="C1738" s="52" t="n">
        <x:v>6</x:v>
      </x:c>
      <x:c r="D1738" s="40" t="n">
        <x:v>339.57</x:v>
      </x:c>
      <x:c r="E1738" s="44" t="n">
        <x:f>C1738*D1738</x:f>
        <x:v>2037.42</x:v>
      </x:c>
      <x:c r="F1738" s="40" t="n">
        <x:v>202.32</x:v>
      </x:c>
      <x:c r="G1738" s="44" t="n">
        <x:f>C1738*F1738</x:f>
        <x:v>1213.92</x:v>
      </x:c>
      <x:c r="H1738" s="44" t="n">
        <x:f>E1738-G1738</x:f>
        <x:v>823.5</x:v>
      </x:c>
      <x:c r="I1738" s="14" t="str">
        <x:v>Internal Use</x:v>
      </x:c>
      <x:c r="J1738" s="14" t="str">
        <x:v>Southeast</x:v>
      </x:c>
    </x:row>
    <x:row r="1739">
      <x:c r="A1739" s="50" t="n">
        <x:v>45887</x:v>
      </x:c>
      <x:c r="B1739" s="14" t="str">
        <x:v>SKU-0098</x:v>
      </x:c>
      <x:c r="C1739" s="52" t="n">
        <x:v>6</x:v>
      </x:c>
      <x:c r="D1739" s="40" t="n">
        <x:v>396.89</x:v>
      </x:c>
      <x:c r="E1739" s="44" t="n">
        <x:f>C1739*D1739</x:f>
        <x:v>2381.34</x:v>
      </x:c>
      <x:c r="F1739" s="40" t="n">
        <x:v>270.95</x:v>
      </x:c>
      <x:c r="G1739" s="44" t="n">
        <x:f>C1739*F1739</x:f>
        <x:v>1625.6999999999998</x:v>
      </x:c>
      <x:c r="H1739" s="44" t="n">
        <x:f>E1739-G1739</x:f>
        <x:v>755.6400000000003</x:v>
      </x:c>
      <x:c r="I1739" s="14" t="str">
        <x:v>Distributor</x:v>
      </x:c>
      <x:c r="J1739" s="14" t="str">
        <x:v>Southeast</x:v>
      </x:c>
    </x:row>
    <x:row r="1740">
      <x:c r="A1740" s="50" t="n">
        <x:v>46116</x:v>
      </x:c>
      <x:c r="B1740" s="14" t="str">
        <x:v>SKU-0019</x:v>
      </x:c>
      <x:c r="C1740" s="52" t="n">
        <x:v>6</x:v>
      </x:c>
      <x:c r="D1740" s="40" t="n">
        <x:v>157.74</x:v>
      </x:c>
      <x:c r="E1740" s="44" t="n">
        <x:f>C1740*D1740</x:f>
        <x:v>946.44</x:v>
      </x:c>
      <x:c r="F1740" s="40" t="n">
        <x:v>81.66</x:v>
      </x:c>
      <x:c r="G1740" s="44" t="n">
        <x:f>C1740*F1740</x:f>
        <x:v>489.96</x:v>
      </x:c>
      <x:c r="H1740" s="44" t="n">
        <x:f>E1740-G1740</x:f>
        <x:v>456.4800000000001</x:v>
      </x:c>
      <x:c r="I1740" s="14" t="str">
        <x:v>Enterprise</x:v>
      </x:c>
      <x:c r="J1740" s="14" t="str">
        <x:v>West</x:v>
      </x:c>
    </x:row>
    <x:row r="1741">
      <x:c r="A1741" s="50" t="n">
        <x:v>46113</x:v>
      </x:c>
      <x:c r="B1741" s="14" t="str">
        <x:v>SKU-0125</x:v>
      </x:c>
      <x:c r="C1741" s="52" t="n">
        <x:v>6</x:v>
      </x:c>
      <x:c r="D1741" s="40" t="n">
        <x:v>63.95</x:v>
      </x:c>
      <x:c r="E1741" s="44" t="n">
        <x:f>C1741*D1741</x:f>
        <x:v>383.70000000000005</x:v>
      </x:c>
      <x:c r="F1741" s="40" t="n">
        <x:v>38.35</x:v>
      </x:c>
      <x:c r="G1741" s="44" t="n">
        <x:f>C1741*F1741</x:f>
        <x:v>230.10000000000002</x:v>
      </x:c>
      <x:c r="H1741" s="44" t="n">
        <x:f>E1741-G1741</x:f>
        <x:v>153.60000000000002</x:v>
      </x:c>
      <x:c r="I1741" s="14" t="str">
        <x:v>Internal Use</x:v>
      </x:c>
      <x:c r="J1741" s="14" t="str">
        <x:v>Midwest</x:v>
      </x:c>
    </x:row>
    <x:row r="1742">
      <x:c r="A1742" s="50" t="n">
        <x:v>46188</x:v>
      </x:c>
      <x:c r="B1742" s="14" t="str">
        <x:v>SKU-0099</x:v>
      </x:c>
      <x:c r="C1742" s="52" t="n">
        <x:v>11</x:v>
      </x:c>
      <x:c r="D1742" s="40" t="n">
        <x:v>205.79</x:v>
      </x:c>
      <x:c r="E1742" s="44" t="n">
        <x:f>C1742*D1742</x:f>
        <x:v>2263.69</x:v>
      </x:c>
      <x:c r="F1742" s="40" t="n">
        <x:v>104</x:v>
      </x:c>
      <x:c r="G1742" s="44" t="n">
        <x:f>C1742*F1742</x:f>
        <x:v>1144</x:v>
      </x:c>
      <x:c r="H1742" s="44" t="n">
        <x:f>E1742-G1742</x:f>
        <x:v>1119.69</x:v>
      </x:c>
      <x:c r="I1742" s="14" t="str">
        <x:v>SMB</x:v>
      </x:c>
      <x:c r="J1742" s="14" t="str">
        <x:v>Midwest</x:v>
      </x:c>
    </x:row>
    <x:row r="1743">
      <x:c r="A1743" s="50" t="n">
        <x:v>46191</x:v>
      </x:c>
      <x:c r="B1743" s="14" t="str">
        <x:v>SKU-0024</x:v>
      </x:c>
      <x:c r="C1743" s="52" t="n">
        <x:v>14</x:v>
      </x:c>
      <x:c r="D1743" s="40" t="n">
        <x:v>226.11</x:v>
      </x:c>
      <x:c r="E1743" s="44" t="n">
        <x:f>C1743*D1743</x:f>
        <x:v>3165.54</x:v>
      </x:c>
      <x:c r="F1743" s="40" t="n">
        <x:v>151.69</x:v>
      </x:c>
      <x:c r="G1743" s="44" t="n">
        <x:f>C1743*F1743</x:f>
        <x:v>2123.66</x:v>
      </x:c>
      <x:c r="H1743" s="44" t="n">
        <x:f>E1743-G1743</x:f>
        <x:v>1041.88</x:v>
      </x:c>
      <x:c r="I1743" s="14" t="str">
        <x:v>Distributor</x:v>
      </x:c>
      <x:c r="J1743" s="14" t="str">
        <x:v>Southeast</x:v>
      </x:c>
    </x:row>
    <x:row r="1744">
      <x:c r="A1744" s="50" t="n">
        <x:v>45952</x:v>
      </x:c>
      <x:c r="B1744" s="14" t="str">
        <x:v>SKU-0042</x:v>
      </x:c>
      <x:c r="C1744" s="52" t="n">
        <x:v>11</x:v>
      </x:c>
      <x:c r="D1744" s="40" t="n">
        <x:v>291.41</x:v>
      </x:c>
      <x:c r="E1744" s="44" t="n">
        <x:f>C1744*D1744</x:f>
        <x:v>3205.51</x:v>
      </x:c>
      <x:c r="F1744" s="40" t="n">
        <x:v>218.51</x:v>
      </x:c>
      <x:c r="G1744" s="44" t="n">
        <x:f>C1744*F1744</x:f>
        <x:v>2403.6099999999997</x:v>
      </x:c>
      <x:c r="H1744" s="44" t="n">
        <x:f>E1744-G1744</x:f>
        <x:v>801.9000000000005</x:v>
      </x:c>
      <x:c r="I1744" s="14" t="str">
        <x:v>Enterprise</x:v>
      </x:c>
      <x:c r="J1744" s="14" t="str">
        <x:v>West</x:v>
      </x:c>
    </x:row>
    <x:row r="1745">
      <x:c r="A1745" s="50" t="n">
        <x:v>46242</x:v>
      </x:c>
      <x:c r="B1745" s="14" t="str">
        <x:v>SKU-0014</x:v>
      </x:c>
      <x:c r="C1745" s="52" t="n">
        <x:v>2</x:v>
      </x:c>
      <x:c r="D1745" s="40" t="n">
        <x:v>269.49</x:v>
      </x:c>
      <x:c r="E1745" s="44" t="n">
        <x:f>C1745*D1745</x:f>
        <x:v>538.98</x:v>
      </x:c>
      <x:c r="F1745" s="40" t="n">
        <x:v>152.14</x:v>
      </x:c>
      <x:c r="G1745" s="44" t="n">
        <x:f>C1745*F1745</x:f>
        <x:v>304.28</x:v>
      </x:c>
      <x:c r="H1745" s="44" t="n">
        <x:f>E1745-G1745</x:f>
        <x:v>234.70000000000005</x:v>
      </x:c>
      <x:c r="I1745" s="14" t="str">
        <x:v>SMB</x:v>
      </x:c>
      <x:c r="J1745" s="14" t="str">
        <x:v>Northeast</x:v>
      </x:c>
    </x:row>
    <x:row r="1746">
      <x:c r="A1746" s="50" t="n">
        <x:v>46057</x:v>
      </x:c>
      <x:c r="B1746" s="14" t="str">
        <x:v>SKU-0142</x:v>
      </x:c>
      <x:c r="C1746" s="52" t="n">
        <x:v>13</x:v>
      </x:c>
      <x:c r="D1746" s="40" t="n">
        <x:v>191.53</x:v>
      </x:c>
      <x:c r="E1746" s="44" t="n">
        <x:f>C1746*D1746</x:f>
        <x:v>2489.89</x:v>
      </x:c>
      <x:c r="F1746" s="40" t="n">
        <x:v>95.95</x:v>
      </x:c>
      <x:c r="G1746" s="44" t="n">
        <x:f>C1746*F1746</x:f>
        <x:v>1247.3500000000001</x:v>
      </x:c>
      <x:c r="H1746" s="44" t="n">
        <x:f>E1746-G1746</x:f>
        <x:v>1242.5399999999997</x:v>
      </x:c>
      <x:c r="I1746" s="14" t="str">
        <x:v>Enterprise</x:v>
      </x:c>
      <x:c r="J1746" s="14" t="str">
        <x:v>Midwest</x:v>
      </x:c>
    </x:row>
    <x:row r="1747">
      <x:c r="A1747" s="50" t="n">
        <x:v>46138</x:v>
      </x:c>
      <x:c r="B1747" s="14" t="str">
        <x:v>SKU-0112</x:v>
      </x:c>
      <x:c r="C1747" s="52" t="n">
        <x:v>3</x:v>
      </x:c>
      <x:c r="D1747" s="40" t="n">
        <x:v>301.95</x:v>
      </x:c>
      <x:c r="E1747" s="44" t="n">
        <x:f>C1747*D1747</x:f>
        <x:v>905.8499999999999</x:v>
      </x:c>
      <x:c r="F1747" s="40" t="n">
        <x:v>175.75</x:v>
      </x:c>
      <x:c r="G1747" s="44" t="n">
        <x:f>C1747*F1747</x:f>
        <x:v>527.25</x:v>
      </x:c>
      <x:c r="H1747" s="44" t="n">
        <x:f>E1747-G1747</x:f>
        <x:v>378.5999999999999</x:v>
      </x:c>
      <x:c r="I1747" s="14" t="str">
        <x:v>Enterprise</x:v>
      </x:c>
      <x:c r="J1747" s="14" t="str">
        <x:v>Northeast</x:v>
      </x:c>
    </x:row>
    <x:row r="1748">
      <x:c r="A1748" s="50" t="n">
        <x:v>46203</x:v>
      </x:c>
      <x:c r="B1748" s="14" t="str">
        <x:v>SKU-0017</x:v>
      </x:c>
      <x:c r="C1748" s="52" t="n">
        <x:v>1</x:v>
      </x:c>
      <x:c r="D1748" s="40" t="n">
        <x:v>164.89</x:v>
      </x:c>
      <x:c r="E1748" s="44" t="n">
        <x:f>C1748*D1748</x:f>
        <x:v>164.89</x:v>
      </x:c>
      <x:c r="F1748" s="40" t="n">
        <x:v>71.82</x:v>
      </x:c>
      <x:c r="G1748" s="44" t="n">
        <x:f>C1748*F1748</x:f>
        <x:v>71.82</x:v>
      </x:c>
      <x:c r="H1748" s="44" t="n">
        <x:f>E1748-G1748</x:f>
        <x:v>93.07</x:v>
      </x:c>
      <x:c r="I1748" s="14" t="str">
        <x:v>Internal Use</x:v>
      </x:c>
      <x:c r="J1748" s="14" t="str">
        <x:v>Midwest</x:v>
      </x:c>
    </x:row>
    <x:row r="1749">
      <x:c r="A1749" s="50" t="n">
        <x:v>46115</x:v>
      </x:c>
      <x:c r="B1749" s="14" t="str">
        <x:v>SKU-0014</x:v>
      </x:c>
      <x:c r="C1749" s="52" t="n">
        <x:v>1</x:v>
      </x:c>
      <x:c r="D1749" s="40" t="n">
        <x:v>300.69</x:v>
      </x:c>
      <x:c r="E1749" s="44" t="n">
        <x:f>C1749*D1749</x:f>
        <x:v>300.69</x:v>
      </x:c>
      <x:c r="F1749" s="40" t="n">
        <x:v>152.14</x:v>
      </x:c>
      <x:c r="G1749" s="44" t="n">
        <x:f>C1749*F1749</x:f>
        <x:v>152.14</x:v>
      </x:c>
      <x:c r="H1749" s="44" t="n">
        <x:f>E1749-G1749</x:f>
        <x:v>148.55</x:v>
      </x:c>
      <x:c r="I1749" s="14" t="str">
        <x:v>SMB</x:v>
      </x:c>
      <x:c r="J1749" s="14" t="str">
        <x:v>Midwest</x:v>
      </x:c>
    </x:row>
    <x:row r="1750">
      <x:c r="A1750" s="50" t="n">
        <x:v>45882</x:v>
      </x:c>
      <x:c r="B1750" s="14" t="str">
        <x:v>SKU-0072</x:v>
      </x:c>
      <x:c r="C1750" s="52" t="n">
        <x:v>2</x:v>
      </x:c>
      <x:c r="D1750" s="40" t="n">
        <x:v>273.26</x:v>
      </x:c>
      <x:c r="E1750" s="44" t="n">
        <x:f>C1750*D1750</x:f>
        <x:v>546.52</x:v>
      </x:c>
      <x:c r="F1750" s="40" t="n">
        <x:v>153.62</x:v>
      </x:c>
      <x:c r="G1750" s="44" t="n">
        <x:f>C1750*F1750</x:f>
        <x:v>307.24</x:v>
      </x:c>
      <x:c r="H1750" s="44" t="n">
        <x:f>E1750-G1750</x:f>
        <x:v>239.27999999999997</x:v>
      </x:c>
      <x:c r="I1750" s="14" t="str">
        <x:v>SMB</x:v>
      </x:c>
      <x:c r="J1750" s="14" t="str">
        <x:v>Southeast</x:v>
      </x:c>
    </x:row>
    <x:row r="1751">
      <x:c r="A1751" s="50" t="n">
        <x:v>46111</x:v>
      </x:c>
      <x:c r="B1751" s="14" t="str">
        <x:v>SKU-0068</x:v>
      </x:c>
      <x:c r="C1751" s="52" t="n">
        <x:v>5</x:v>
      </x:c>
      <x:c r="D1751" s="40" t="n">
        <x:v>231.88</x:v>
      </x:c>
      <x:c r="E1751" s="44" t="n">
        <x:f>C1751*D1751</x:f>
        <x:v>1159.4</x:v>
      </x:c>
      <x:c r="F1751" s="40" t="n">
        <x:v>157.37</x:v>
      </x:c>
      <x:c r="G1751" s="44" t="n">
        <x:f>C1751*F1751</x:f>
        <x:v>786.85</x:v>
      </x:c>
      <x:c r="H1751" s="44" t="n">
        <x:f>E1751-G1751</x:f>
        <x:v>372.55000000000007</x:v>
      </x:c>
      <x:c r="I1751" s="14" t="str">
        <x:v>Internal Use</x:v>
      </x:c>
      <x:c r="J1751" s="14" t="str">
        <x:v>Midwest</x:v>
      </x:c>
    </x:row>
    <x:row r="1752">
      <x:c r="A1752" s="50" t="n">
        <x:v>46126</x:v>
      </x:c>
      <x:c r="B1752" s="14" t="str">
        <x:v>SKU-0002</x:v>
      </x:c>
      <x:c r="C1752" s="52" t="n">
        <x:v>13</x:v>
      </x:c>
      <x:c r="D1752" s="40" t="n">
        <x:v>75.08</x:v>
      </x:c>
      <x:c r="E1752" s="44" t="n">
        <x:f>C1752*D1752</x:f>
        <x:v>976.04</x:v>
      </x:c>
      <x:c r="F1752" s="40" t="n">
        <x:v>66.06</x:v>
      </x:c>
      <x:c r="G1752" s="44" t="n">
        <x:f>C1752*F1752</x:f>
        <x:v>858.78</x:v>
      </x:c>
      <x:c r="H1752" s="44" t="n">
        <x:f>E1752-G1752</x:f>
        <x:v>117.25999999999999</x:v>
      </x:c>
      <x:c r="I1752" s="14" t="str">
        <x:v>Distributor</x:v>
      </x:c>
      <x:c r="J1752" s="14" t="str">
        <x:v>Northeast</x:v>
      </x:c>
    </x:row>
    <x:row r="1753">
      <x:c r="A1753" s="50" t="n">
        <x:v>46117</x:v>
      </x:c>
      <x:c r="B1753" s="14" t="str">
        <x:v>SKU-0046</x:v>
      </x:c>
      <x:c r="C1753" s="52" t="n">
        <x:v>14</x:v>
      </x:c>
      <x:c r="D1753" s="40" t="n">
        <x:v>114.07</x:v>
      </x:c>
      <x:c r="E1753" s="44" t="n">
        <x:f>C1753*D1753</x:f>
        <x:v>1596.98</x:v>
      </x:c>
      <x:c r="F1753" s="40" t="n">
        <x:v>66.68</x:v>
      </x:c>
      <x:c r="G1753" s="44" t="n">
        <x:f>C1753*F1753</x:f>
        <x:v>933.5200000000001</x:v>
      </x:c>
      <x:c r="H1753" s="44" t="n">
        <x:f>E1753-G1753</x:f>
        <x:v>663.4599999999999</x:v>
      </x:c>
      <x:c r="I1753" s="14" t="str">
        <x:v>Enterprise</x:v>
      </x:c>
      <x:c r="J1753" s="14" t="str">
        <x:v>Northeast</x:v>
      </x:c>
    </x:row>
    <x:row r="1754">
      <x:c r="A1754" s="50" t="n">
        <x:v>45996</x:v>
      </x:c>
      <x:c r="B1754" s="14" t="str">
        <x:v>SKU-0093</x:v>
      </x:c>
      <x:c r="C1754" s="52" t="n">
        <x:v>5</x:v>
      </x:c>
      <x:c r="D1754" s="40" t="n">
        <x:v>283.35</x:v>
      </x:c>
      <x:c r="E1754" s="44" t="n">
        <x:f>C1754*D1754</x:f>
        <x:v>1416.75</x:v>
      </x:c>
      <x:c r="F1754" s="40" t="n">
        <x:v>239.3</x:v>
      </x:c>
      <x:c r="G1754" s="44" t="n">
        <x:f>C1754*F1754</x:f>
        <x:v>1196.5</x:v>
      </x:c>
      <x:c r="H1754" s="44" t="n">
        <x:f>E1754-G1754</x:f>
        <x:v>220.25</x:v>
      </x:c>
      <x:c r="I1754" s="14" t="str">
        <x:v>Enterprise</x:v>
      </x:c>
      <x:c r="J1754" s="14" t="str">
        <x:v>Northeast</x:v>
      </x:c>
    </x:row>
    <x:row r="1755">
      <x:c r="A1755" s="50" t="n">
        <x:v>45916</x:v>
      </x:c>
      <x:c r="B1755" s="14" t="str">
        <x:v>SKU-0119</x:v>
      </x:c>
      <x:c r="C1755" s="52" t="n">
        <x:v>25</x:v>
      </x:c>
      <x:c r="D1755" s="40" t="n">
        <x:v>97.75</x:v>
      </x:c>
      <x:c r="E1755" s="44" t="n">
        <x:f>C1755*D1755</x:f>
        <x:v>2443.75</x:v>
      </x:c>
      <x:c r="F1755" s="40" t="n">
        <x:v>52.57</x:v>
      </x:c>
      <x:c r="G1755" s="44" t="n">
        <x:f>C1755*F1755</x:f>
        <x:v>1314.25</x:v>
      </x:c>
      <x:c r="H1755" s="44" t="n">
        <x:f>E1755-G1755</x:f>
        <x:v>1129.5</x:v>
      </x:c>
      <x:c r="I1755" s="14" t="str">
        <x:v>Enterprise</x:v>
      </x:c>
      <x:c r="J1755" s="14" t="str">
        <x:v>West</x:v>
      </x:c>
    </x:row>
    <x:row r="1756">
      <x:c r="A1756" s="50" t="n">
        <x:v>46238</x:v>
      </x:c>
      <x:c r="B1756" s="14" t="str">
        <x:v>SKU-0066</x:v>
      </x:c>
      <x:c r="C1756" s="52" t="n">
        <x:v>33</x:v>
      </x:c>
      <x:c r="D1756" s="40" t="n">
        <x:v>427.54</x:v>
      </x:c>
      <x:c r="E1756" s="44" t="n">
        <x:f>C1756*D1756</x:f>
        <x:v>14108.820000000002</x:v>
      </x:c>
      <x:c r="F1756" s="40" t="n">
        <x:v>244.68</x:v>
      </x:c>
      <x:c r="G1756" s="44" t="n">
        <x:f>C1756*F1756</x:f>
        <x:v>8074.4400000000005</x:v>
      </x:c>
      <x:c r="H1756" s="44" t="n">
        <x:f>E1756-G1756</x:f>
        <x:v>6034.380000000001</x:v>
      </x:c>
      <x:c r="I1756" s="14" t="str">
        <x:v>Distributor</x:v>
      </x:c>
      <x:c r="J1756" s="14" t="str">
        <x:v>Midwest</x:v>
      </x:c>
    </x:row>
    <x:row r="1757">
      <x:c r="A1757" s="50" t="n">
        <x:v>45996</x:v>
      </x:c>
      <x:c r="B1757" s="14" t="str">
        <x:v>SKU-0076</x:v>
      </x:c>
      <x:c r="C1757" s="52" t="n">
        <x:v>14</x:v>
      </x:c>
      <x:c r="D1757" s="40" t="n">
        <x:v>199.42</x:v>
      </x:c>
      <x:c r="E1757" s="44" t="n">
        <x:f>C1757*D1757</x:f>
        <x:v>2791.8799999999997</x:v>
      </x:c>
      <x:c r="F1757" s="40" t="n">
        <x:v>132.93</x:v>
      </x:c>
      <x:c r="G1757" s="44" t="n">
        <x:f>C1757*F1757</x:f>
        <x:v>1861.02</x:v>
      </x:c>
      <x:c r="H1757" s="44" t="n">
        <x:f>E1757-G1757</x:f>
        <x:v>930.8599999999997</x:v>
      </x:c>
      <x:c r="I1757" s="14" t="str">
        <x:v>Internal Use</x:v>
      </x:c>
      <x:c r="J1757" s="14" t="str">
        <x:v>West</x:v>
      </x:c>
    </x:row>
    <x:row r="1758">
      <x:c r="A1758" s="50" t="n">
        <x:v>46173</x:v>
      </x:c>
      <x:c r="B1758" s="14" t="str">
        <x:v>SKU-0143</x:v>
      </x:c>
      <x:c r="C1758" s="52" t="n">
        <x:v>5</x:v>
      </x:c>
      <x:c r="D1758" s="40" t="n">
        <x:v>178.06</x:v>
      </x:c>
      <x:c r="E1758" s="44" t="n">
        <x:f>C1758*D1758</x:f>
        <x:v>890.3</x:v>
      </x:c>
      <x:c r="F1758" s="40" t="n">
        <x:v>123.95</x:v>
      </x:c>
      <x:c r="G1758" s="44" t="n">
        <x:f>C1758*F1758</x:f>
        <x:v>619.75</x:v>
      </x:c>
      <x:c r="H1758" s="44" t="n">
        <x:f>E1758-G1758</x:f>
        <x:v>270.54999999999995</x:v>
      </x:c>
      <x:c r="I1758" s="14" t="str">
        <x:v>Internal Use</x:v>
      </x:c>
      <x:c r="J1758" s="14" t="str">
        <x:v>Northeast</x:v>
      </x:c>
    </x:row>
    <x:row r="1759">
      <x:c r="A1759" s="50" t="n">
        <x:v>45925</x:v>
      </x:c>
      <x:c r="B1759" s="14" t="str">
        <x:v>SKU-0106</x:v>
      </x:c>
      <x:c r="C1759" s="52" t="n">
        <x:v>9</x:v>
      </x:c>
      <x:c r="D1759" s="40" t="n">
        <x:v>296.8</x:v>
      </x:c>
      <x:c r="E1759" s="44" t="n">
        <x:f>C1759*D1759</x:f>
        <x:v>2671.2000000000003</x:v>
      </x:c>
      <x:c r="F1759" s="40" t="n">
        <x:v>220.84</x:v>
      </x:c>
      <x:c r="G1759" s="44" t="n">
        <x:f>C1759*F1759</x:f>
        <x:v>1987.56</x:v>
      </x:c>
      <x:c r="H1759" s="44" t="n">
        <x:f>E1759-G1759</x:f>
        <x:v>683.6400000000003</x:v>
      </x:c>
      <x:c r="I1759" s="14" t="str">
        <x:v>Distributor</x:v>
      </x:c>
      <x:c r="J1759" s="14" t="str">
        <x:v>Northeast</x:v>
      </x:c>
    </x:row>
    <x:row r="1760">
      <x:c r="A1760" s="50" t="n">
        <x:v>45916</x:v>
      </x:c>
      <x:c r="B1760" s="14" t="str">
        <x:v>SKU-0055</x:v>
      </x:c>
      <x:c r="C1760" s="52" t="n">
        <x:v>3</x:v>
      </x:c>
      <x:c r="D1760" s="40" t="n">
        <x:v>328.71</x:v>
      </x:c>
      <x:c r="E1760" s="44" t="n">
        <x:f>C1760*D1760</x:f>
        <x:v>986.1299999999999</x:v>
      </x:c>
      <x:c r="F1760" s="40" t="n">
        <x:v>263.76</x:v>
      </x:c>
      <x:c r="G1760" s="44" t="n">
        <x:f>C1760*F1760</x:f>
        <x:v>791.28</x:v>
      </x:c>
      <x:c r="H1760" s="44" t="n">
        <x:f>E1760-G1760</x:f>
        <x:v>194.8499999999999</x:v>
      </x:c>
      <x:c r="I1760" s="14" t="str">
        <x:v>Internal Use</x:v>
      </x:c>
      <x:c r="J1760" s="14" t="str">
        <x:v>Southeast</x:v>
      </x:c>
    </x:row>
    <x:row r="1761">
      <x:c r="A1761" s="50" t="n">
        <x:v>45915</x:v>
      </x:c>
      <x:c r="B1761" s="14" t="str">
        <x:v>SKU-0047</x:v>
      </x:c>
      <x:c r="C1761" s="52" t="n">
        <x:v>8</x:v>
      </x:c>
      <x:c r="D1761" s="40" t="n">
        <x:v>367.79</x:v>
      </x:c>
      <x:c r="E1761" s="44" t="n">
        <x:f>C1761*D1761</x:f>
        <x:v>2942.32</x:v>
      </x:c>
      <x:c r="F1761" s="40" t="n">
        <x:v>233.63</x:v>
      </x:c>
      <x:c r="G1761" s="44" t="n">
        <x:f>C1761*F1761</x:f>
        <x:v>1869.04</x:v>
      </x:c>
      <x:c r="H1761" s="44" t="n">
        <x:f>E1761-G1761</x:f>
        <x:v>1073.2800000000002</x:v>
      </x:c>
      <x:c r="I1761" s="14" t="str">
        <x:v>Distributor</x:v>
      </x:c>
      <x:c r="J1761" s="14" t="str">
        <x:v>West</x:v>
      </x:c>
    </x:row>
    <x:row r="1762">
      <x:c r="A1762" s="50" t="n">
        <x:v>46148</x:v>
      </x:c>
      <x:c r="B1762" s="14" t="str">
        <x:v>SKU-0066</x:v>
      </x:c>
      <x:c r="C1762" s="52" t="n">
        <x:v>70</x:v>
      </x:c>
      <x:c r="D1762" s="40" t="n">
        <x:v>393.98</x:v>
      </x:c>
      <x:c r="E1762" s="44" t="n">
        <x:f>C1762*D1762</x:f>
        <x:v>27578.600000000002</x:v>
      </x:c>
      <x:c r="F1762" s="40" t="n">
        <x:v>244.68</x:v>
      </x:c>
      <x:c r="G1762" s="44" t="n">
        <x:f>C1762*F1762</x:f>
        <x:v>17127.600000000002</x:v>
      </x:c>
      <x:c r="H1762" s="44" t="n">
        <x:f>E1762-G1762</x:f>
        <x:v>10451</x:v>
      </x:c>
      <x:c r="I1762" s="14" t="str">
        <x:v>SMB</x:v>
      </x:c>
      <x:c r="J1762" s="14" t="str">
        <x:v>West</x:v>
      </x:c>
    </x:row>
    <x:row r="1763">
      <x:c r="A1763" s="50" t="n">
        <x:v>45910</x:v>
      </x:c>
      <x:c r="B1763" s="14" t="str">
        <x:v>SKU-0136</x:v>
      </x:c>
      <x:c r="C1763" s="52" t="n">
        <x:v>7</x:v>
      </x:c>
      <x:c r="D1763" s="40" t="n">
        <x:v>147.2</x:v>
      </x:c>
      <x:c r="E1763" s="44" t="n">
        <x:f>C1763*D1763</x:f>
        <x:v>1030.3999999999999</x:v>
      </x:c>
      <x:c r="F1763" s="40" t="n">
        <x:v>105.97</x:v>
      </x:c>
      <x:c r="G1763" s="44" t="n">
        <x:f>C1763*F1763</x:f>
        <x:v>741.79</x:v>
      </x:c>
      <x:c r="H1763" s="44" t="n">
        <x:f>E1763-G1763</x:f>
        <x:v>288.6099999999999</x:v>
      </x:c>
      <x:c r="I1763" s="14" t="str">
        <x:v>Enterprise</x:v>
      </x:c>
      <x:c r="J1763" s="14" t="str">
        <x:v>West</x:v>
      </x:c>
    </x:row>
    <x:row r="1764">
      <x:c r="A1764" s="50" t="n">
        <x:v>45979</x:v>
      </x:c>
      <x:c r="B1764" s="14" t="str">
        <x:v>SKU-0115</x:v>
      </x:c>
      <x:c r="C1764" s="52" t="n">
        <x:v>10</x:v>
      </x:c>
      <x:c r="D1764" s="40" t="n">
        <x:v>35.66</x:v>
      </x:c>
      <x:c r="E1764" s="44" t="n">
        <x:f>C1764*D1764</x:f>
        <x:v>356.59999999999997</x:v>
      </x:c>
      <x:c r="F1764" s="40" t="n">
        <x:v>27.81</x:v>
      </x:c>
      <x:c r="G1764" s="44" t="n">
        <x:f>C1764*F1764</x:f>
        <x:v>278.09999999999997</x:v>
      </x:c>
      <x:c r="H1764" s="44" t="n">
        <x:f>E1764-G1764</x:f>
        <x:v>78.5</x:v>
      </x:c>
      <x:c r="I1764" s="14" t="str">
        <x:v>Distributor</x:v>
      </x:c>
      <x:c r="J1764" s="14" t="str">
        <x:v>Midwest</x:v>
      </x:c>
    </x:row>
    <x:row r="1765">
      <x:c r="A1765" s="50" t="n">
        <x:v>46137</x:v>
      </x:c>
      <x:c r="B1765" s="14" t="str">
        <x:v>SKU-0139</x:v>
      </x:c>
      <x:c r="C1765" s="52" t="n">
        <x:v>4</x:v>
      </x:c>
      <x:c r="D1765" s="40" t="n">
        <x:v>259.55</x:v>
      </x:c>
      <x:c r="E1765" s="44" t="n">
        <x:f>C1765*D1765</x:f>
        <x:v>1038.2</x:v>
      </x:c>
      <x:c r="F1765" s="40" t="n">
        <x:v>157.6</x:v>
      </x:c>
      <x:c r="G1765" s="44" t="n">
        <x:f>C1765*F1765</x:f>
        <x:v>630.4</x:v>
      </x:c>
      <x:c r="H1765" s="44" t="n">
        <x:f>E1765-G1765</x:f>
        <x:v>407.80000000000007</x:v>
      </x:c>
      <x:c r="I1765" s="14" t="str">
        <x:v>SMB</x:v>
      </x:c>
      <x:c r="J1765" s="14" t="str">
        <x:v>West</x:v>
      </x:c>
    </x:row>
    <x:row r="1766">
      <x:c r="A1766" s="50" t="n">
        <x:v>46087</x:v>
      </x:c>
      <x:c r="B1766" s="14" t="str">
        <x:v>SKU-0077</x:v>
      </x:c>
      <x:c r="C1766" s="52" t="n">
        <x:v>31</x:v>
      </x:c>
      <x:c r="D1766" s="40" t="n">
        <x:v>15.35</x:v>
      </x:c>
      <x:c r="E1766" s="44" t="n">
        <x:f>C1766*D1766</x:f>
        <x:v>475.84999999999997</x:v>
      </x:c>
      <x:c r="F1766" s="40" t="n">
        <x:v>12.68</x:v>
      </x:c>
      <x:c r="G1766" s="44" t="n">
        <x:f>C1766*F1766</x:f>
        <x:v>393.08</x:v>
      </x:c>
      <x:c r="H1766" s="44" t="n">
        <x:f>E1766-G1766</x:f>
        <x:v>82.76999999999998</x:v>
      </x:c>
      <x:c r="I1766" s="14" t="str">
        <x:v>Enterprise</x:v>
      </x:c>
      <x:c r="J1766" s="14" t="str">
        <x:v>West</x:v>
      </x:c>
    </x:row>
    <x:row r="1767">
      <x:c r="A1767" s="50" t="n">
        <x:v>46021</x:v>
      </x:c>
      <x:c r="B1767" s="14" t="str">
        <x:v>SKU-0114</x:v>
      </x:c>
      <x:c r="C1767" s="52" t="n">
        <x:v>14</x:v>
      </x:c>
      <x:c r="D1767" s="40" t="n">
        <x:v>339.94</x:v>
      </x:c>
      <x:c r="E1767" s="44" t="n">
        <x:f>C1767*D1767</x:f>
        <x:v>4759.16</x:v>
      </x:c>
      <x:c r="F1767" s="40" t="n">
        <x:v>232.11</x:v>
      </x:c>
      <x:c r="G1767" s="44" t="n">
        <x:f>C1767*F1767</x:f>
        <x:v>3249.54</x:v>
      </x:c>
      <x:c r="H1767" s="44" t="n">
        <x:f>E1767-G1767</x:f>
        <x:v>1509.62</x:v>
      </x:c>
      <x:c r="I1767" s="14" t="str">
        <x:v>Distributor</x:v>
      </x:c>
      <x:c r="J1767" s="14" t="str">
        <x:v>Midwest</x:v>
      </x:c>
    </x:row>
    <x:row r="1768">
      <x:c r="A1768" s="50" t="n">
        <x:v>46066</x:v>
      </x:c>
      <x:c r="B1768" s="14" t="str">
        <x:v>SKU-0021</x:v>
      </x:c>
      <x:c r="C1768" s="52" t="n">
        <x:v>12</x:v>
      </x:c>
      <x:c r="D1768" s="40" t="n">
        <x:v>307.88</x:v>
      </x:c>
      <x:c r="E1768" s="44" t="n">
        <x:f>C1768*D1768</x:f>
        <x:v>3694.56</x:v>
      </x:c>
      <x:c r="F1768" s="40" t="n">
        <x:v>269.12</x:v>
      </x:c>
      <x:c r="G1768" s="44" t="n">
        <x:f>C1768*F1768</x:f>
        <x:v>3229.44</x:v>
      </x:c>
      <x:c r="H1768" s="44" t="n">
        <x:f>E1768-G1768</x:f>
        <x:v>465.1199999999999</x:v>
      </x:c>
      <x:c r="I1768" s="14" t="str">
        <x:v>Enterprise</x:v>
      </x:c>
      <x:c r="J1768" s="14" t="str">
        <x:v>Midwest</x:v>
      </x:c>
    </x:row>
    <x:row r="1769">
      <x:c r="A1769" s="50" t="n">
        <x:v>45934</x:v>
      </x:c>
      <x:c r="B1769" s="14" t="str">
        <x:v>SKU-0084</x:v>
      </x:c>
      <x:c r="C1769" s="52" t="n">
        <x:v>9</x:v>
      </x:c>
      <x:c r="D1769" s="40" t="n">
        <x:v>225.51</x:v>
      </x:c>
      <x:c r="E1769" s="44" t="n">
        <x:f>C1769*D1769</x:f>
        <x:v>2029.59</x:v>
      </x:c>
      <x:c r="F1769" s="40" t="n">
        <x:v>108.77</x:v>
      </x:c>
      <x:c r="G1769" s="44" t="n">
        <x:f>C1769*F1769</x:f>
        <x:v>978.93</x:v>
      </x:c>
      <x:c r="H1769" s="44" t="n">
        <x:f>E1769-G1769</x:f>
        <x:v>1050.6599999999999</x:v>
      </x:c>
      <x:c r="I1769" s="14" t="str">
        <x:v>Enterprise</x:v>
      </x:c>
      <x:c r="J1769" s="14" t="str">
        <x:v>Southeast</x:v>
      </x:c>
    </x:row>
    <x:row r="1770">
      <x:c r="A1770" s="50" t="n">
        <x:v>46031</x:v>
      </x:c>
      <x:c r="B1770" s="14" t="str">
        <x:v>SKU-0085</x:v>
      </x:c>
      <x:c r="C1770" s="52" t="n">
        <x:v>14</x:v>
      </x:c>
      <x:c r="D1770" s="40" t="n">
        <x:v>381.14</x:v>
      </x:c>
      <x:c r="E1770" s="44" t="n">
        <x:f>C1770*D1770</x:f>
        <x:v>5335.96</x:v>
      </x:c>
      <x:c r="F1770" s="40" t="n">
        <x:v>222.39</x:v>
      </x:c>
      <x:c r="G1770" s="44" t="n">
        <x:f>C1770*F1770</x:f>
        <x:v>3113.46</x:v>
      </x:c>
      <x:c r="H1770" s="44" t="n">
        <x:f>E1770-G1770</x:f>
        <x:v>2222.5</x:v>
      </x:c>
      <x:c r="I1770" s="14" t="str">
        <x:v>SMB</x:v>
      </x:c>
      <x:c r="J1770" s="14" t="str">
        <x:v>Southeast</x:v>
      </x:c>
    </x:row>
    <x:row r="1771">
      <x:c r="A1771" s="50" t="n">
        <x:v>46087</x:v>
      </x:c>
      <x:c r="B1771" s="14" t="str">
        <x:v>SKU-0007</x:v>
      </x:c>
      <x:c r="C1771" s="52" t="n">
        <x:v>14</x:v>
      </x:c>
      <x:c r="D1771" s="40" t="n">
        <x:v>180.35</x:v>
      </x:c>
      <x:c r="E1771" s="44" t="n">
        <x:f>C1771*D1771</x:f>
        <x:v>2524.9</x:v>
      </x:c>
      <x:c r="F1771" s="40" t="n">
        <x:v>123.15</x:v>
      </x:c>
      <x:c r="G1771" s="44" t="n">
        <x:f>C1771*F1771</x:f>
        <x:v>1724.1000000000001</x:v>
      </x:c>
      <x:c r="H1771" s="44" t="n">
        <x:f>E1771-G1771</x:f>
        <x:v>800.8</x:v>
      </x:c>
      <x:c r="I1771" s="14" t="str">
        <x:v>Distributor</x:v>
      </x:c>
      <x:c r="J1771" s="14" t="str">
        <x:v>Northeast</x:v>
      </x:c>
    </x:row>
    <x:row r="1772">
      <x:c r="A1772" s="50" t="n">
        <x:v>45880</x:v>
      </x:c>
      <x:c r="B1772" s="14" t="str">
        <x:v>SKU-0046</x:v>
      </x:c>
      <x:c r="C1772" s="52" t="n">
        <x:v>45</x:v>
      </x:c>
      <x:c r="D1772" s="40" t="n">
        <x:v>114</x:v>
      </x:c>
      <x:c r="E1772" s="44" t="n">
        <x:f>C1772*D1772</x:f>
        <x:v>5130</x:v>
      </x:c>
      <x:c r="F1772" s="40" t="n">
        <x:v>66.68</x:v>
      </x:c>
      <x:c r="G1772" s="44" t="n">
        <x:f>C1772*F1772</x:f>
        <x:v>3000.6000000000004</x:v>
      </x:c>
      <x:c r="H1772" s="44" t="n">
        <x:f>E1772-G1772</x:f>
        <x:v>2129.3999999999996</x:v>
      </x:c>
      <x:c r="I1772" s="14" t="str">
        <x:v>Distributor</x:v>
      </x:c>
      <x:c r="J1772" s="14" t="str">
        <x:v>Midwest</x:v>
      </x:c>
    </x:row>
    <x:row r="1773">
      <x:c r="A1773" s="50" t="n">
        <x:v>45885</x:v>
      </x:c>
      <x:c r="B1773" s="14" t="str">
        <x:v>SKU-0016</x:v>
      </x:c>
      <x:c r="C1773" s="52" t="n">
        <x:v>4</x:v>
      </x:c>
      <x:c r="D1773" s="40" t="n">
        <x:v>418.3</x:v>
      </x:c>
      <x:c r="E1773" s="44" t="n">
        <x:f>C1773*D1773</x:f>
        <x:v>1673.2</x:v>
      </x:c>
      <x:c r="F1773" s="40" t="n">
        <x:v>204.58</x:v>
      </x:c>
      <x:c r="G1773" s="44" t="n">
        <x:f>C1773*F1773</x:f>
        <x:v>818.32</x:v>
      </x:c>
      <x:c r="H1773" s="44" t="n">
        <x:f>E1773-G1773</x:f>
        <x:v>854.88</x:v>
      </x:c>
      <x:c r="I1773" s="14" t="str">
        <x:v>Enterprise</x:v>
      </x:c>
      <x:c r="J1773" s="14" t="str">
        <x:v>Northeast</x:v>
      </x:c>
    </x:row>
    <x:row r="1774">
      <x:c r="A1774" s="50" t="n">
        <x:v>45936</x:v>
      </x:c>
      <x:c r="B1774" s="14" t="str">
        <x:v>SKU-0082</x:v>
      </x:c>
      <x:c r="C1774" s="52" t="n">
        <x:v>1</x:v>
      </x:c>
      <x:c r="D1774" s="40" t="n">
        <x:v>163.28</x:v>
      </x:c>
      <x:c r="E1774" s="44" t="n">
        <x:f>C1774*D1774</x:f>
        <x:v>163.28</x:v>
      </x:c>
      <x:c r="F1774" s="40" t="n">
        <x:v>79.16</x:v>
      </x:c>
      <x:c r="G1774" s="44" t="n">
        <x:f>C1774*F1774</x:f>
        <x:v>79.16</x:v>
      </x:c>
      <x:c r="H1774" s="44" t="n">
        <x:f>E1774-G1774</x:f>
        <x:v>84.12</x:v>
      </x:c>
      <x:c r="I1774" s="14" t="str">
        <x:v>Distributor</x:v>
      </x:c>
      <x:c r="J1774" s="14" t="str">
        <x:v>Midwest</x:v>
      </x:c>
    </x:row>
    <x:row r="1775">
      <x:c r="A1775" s="50" t="n">
        <x:v>46204</x:v>
      </x:c>
      <x:c r="B1775" s="14" t="str">
        <x:v>SKU-0113</x:v>
      </x:c>
      <x:c r="C1775" s="52" t="n">
        <x:v>20</x:v>
      </x:c>
      <x:c r="D1775" s="40" t="n">
        <x:v>277.62</x:v>
      </x:c>
      <x:c r="E1775" s="44" t="n">
        <x:f>C1775*D1775</x:f>
        <x:v>5552.4</x:v>
      </x:c>
      <x:c r="F1775" s="40" t="n">
        <x:v>222.58</x:v>
      </x:c>
      <x:c r="G1775" s="44" t="n">
        <x:f>C1775*F1775</x:f>
        <x:v>4451.6</x:v>
      </x:c>
      <x:c r="H1775" s="44" t="n">
        <x:f>E1775-G1775</x:f>
        <x:v>1100.7999999999993</x:v>
      </x:c>
      <x:c r="I1775" s="14" t="str">
        <x:v>Enterprise</x:v>
      </x:c>
      <x:c r="J1775" s="14" t="str">
        <x:v>West</x:v>
      </x:c>
    </x:row>
    <x:row r="1776">
      <x:c r="A1776" s="50" t="n">
        <x:v>46106</x:v>
      </x:c>
      <x:c r="B1776" s="14" t="str">
        <x:v>SKU-0026</x:v>
      </x:c>
      <x:c r="C1776" s="52" t="n">
        <x:v>54</x:v>
      </x:c>
      <x:c r="D1776" s="40" t="n">
        <x:v>462.31</x:v>
      </x:c>
      <x:c r="E1776" s="44" t="n">
        <x:f>C1776*D1776</x:f>
        <x:v>24964.74</x:v>
      </x:c>
      <x:c r="F1776" s="40" t="n">
        <x:v>249.4</x:v>
      </x:c>
      <x:c r="G1776" s="44" t="n">
        <x:f>C1776*F1776</x:f>
        <x:v>13467.6</x:v>
      </x:c>
      <x:c r="H1776" s="44" t="n">
        <x:f>E1776-G1776</x:f>
        <x:v>11497.140000000001</x:v>
      </x:c>
      <x:c r="I1776" s="14" t="str">
        <x:v>Enterprise</x:v>
      </x:c>
      <x:c r="J1776" s="14" t="str">
        <x:v>Midwest</x:v>
      </x:c>
    </x:row>
    <x:row r="1777">
      <x:c r="A1777" s="50" t="n">
        <x:v>46209</x:v>
      </x:c>
      <x:c r="B1777" s="14" t="str">
        <x:v>SKU-0094</x:v>
      </x:c>
      <x:c r="C1777" s="52" t="n">
        <x:v>13</x:v>
      </x:c>
      <x:c r="D1777" s="40" t="n">
        <x:v>9.03</x:v>
      </x:c>
      <x:c r="E1777" s="44" t="n">
        <x:f>C1777*D1777</x:f>
        <x:v>117.38999999999999</x:v>
      </x:c>
      <x:c r="F1777" s="40" t="n">
        <x:v>4.75</x:v>
      </x:c>
      <x:c r="G1777" s="44" t="n">
        <x:f>C1777*F1777</x:f>
        <x:v>61.75</x:v>
      </x:c>
      <x:c r="H1777" s="44" t="n">
        <x:f>E1777-G1777</x:f>
        <x:v>55.639999999999986</x:v>
      </x:c>
      <x:c r="I1777" s="14" t="str">
        <x:v>Internal Use</x:v>
      </x:c>
      <x:c r="J1777" s="14" t="str">
        <x:v>Midwest</x:v>
      </x:c>
    </x:row>
    <x:row r="1778">
      <x:c r="A1778" s="50" t="n">
        <x:v>46035</x:v>
      </x:c>
      <x:c r="B1778" s="14" t="str">
        <x:v>SKU-0056</x:v>
      </x:c>
      <x:c r="C1778" s="52" t="n">
        <x:v>16</x:v>
      </x:c>
      <x:c r="D1778" s="40" t="n">
        <x:v>290.42</x:v>
      </x:c>
      <x:c r="E1778" s="44" t="n">
        <x:f>C1778*D1778</x:f>
        <x:v>4646.72</x:v>
      </x:c>
      <x:c r="F1778" s="40" t="n">
        <x:v>219.68</x:v>
      </x:c>
      <x:c r="G1778" s="44" t="n">
        <x:f>C1778*F1778</x:f>
        <x:v>3514.88</x:v>
      </x:c>
      <x:c r="H1778" s="44" t="n">
        <x:f>E1778-G1778</x:f>
        <x:v>1131.8400000000001</x:v>
      </x:c>
      <x:c r="I1778" s="14" t="str">
        <x:v>Distributor</x:v>
      </x:c>
      <x:c r="J1778" s="14" t="str">
        <x:v>Southeast</x:v>
      </x:c>
    </x:row>
    <x:row r="1779">
      <x:c r="A1779" s="50" t="n">
        <x:v>45989</x:v>
      </x:c>
      <x:c r="B1779" s="14" t="str">
        <x:v>SKU-0009</x:v>
      </x:c>
      <x:c r="C1779" s="52" t="n">
        <x:v>7</x:v>
      </x:c>
      <x:c r="D1779" s="40" t="n">
        <x:v>17.7</x:v>
      </x:c>
      <x:c r="E1779" s="44" t="n">
        <x:f>C1779*D1779</x:f>
        <x:v>123.89999999999999</x:v>
      </x:c>
      <x:c r="F1779" s="40" t="n">
        <x:v>7.9</x:v>
      </x:c>
      <x:c r="G1779" s="44" t="n">
        <x:f>C1779*F1779</x:f>
        <x:v>55.300000000000004</x:v>
      </x:c>
      <x:c r="H1779" s="44" t="n">
        <x:f>E1779-G1779</x:f>
        <x:v>68.6</x:v>
      </x:c>
      <x:c r="I1779" s="14" t="str">
        <x:v>Distributor</x:v>
      </x:c>
      <x:c r="J1779" s="14" t="str">
        <x:v>Northeast</x:v>
      </x:c>
    </x:row>
    <x:row r="1780">
      <x:c r="A1780" s="50" t="n">
        <x:v>46157</x:v>
      </x:c>
      <x:c r="B1780" s="14" t="str">
        <x:v>SKU-0019</x:v>
      </x:c>
      <x:c r="C1780" s="52" t="n">
        <x:v>4</x:v>
      </x:c>
      <x:c r="D1780" s="40" t="n">
        <x:v>137.88</x:v>
      </x:c>
      <x:c r="E1780" s="44" t="n">
        <x:f>C1780*D1780</x:f>
        <x:v>551.52</x:v>
      </x:c>
      <x:c r="F1780" s="40" t="n">
        <x:v>81.66</x:v>
      </x:c>
      <x:c r="G1780" s="44" t="n">
        <x:f>C1780*F1780</x:f>
        <x:v>326.64</x:v>
      </x:c>
      <x:c r="H1780" s="44" t="n">
        <x:f>E1780-G1780</x:f>
        <x:v>224.88</x:v>
      </x:c>
      <x:c r="I1780" s="14" t="str">
        <x:v>SMB</x:v>
      </x:c>
      <x:c r="J1780" s="14" t="str">
        <x:v>Midwest</x:v>
      </x:c>
    </x:row>
    <x:row r="1781">
      <x:c r="A1781" s="50" t="n">
        <x:v>46159</x:v>
      </x:c>
      <x:c r="B1781" s="14" t="str">
        <x:v>SKU-0045</x:v>
      </x:c>
      <x:c r="C1781" s="52" t="n">
        <x:v>4</x:v>
      </x:c>
      <x:c r="D1781" s="40" t="n">
        <x:v>100.17</x:v>
      </x:c>
      <x:c r="E1781" s="44" t="n">
        <x:f>C1781*D1781</x:f>
        <x:v>400.68</x:v>
      </x:c>
      <x:c r="F1781" s="40" t="n">
        <x:v>68.89</x:v>
      </x:c>
      <x:c r="G1781" s="44" t="n">
        <x:f>C1781*F1781</x:f>
        <x:v>275.56</x:v>
      </x:c>
      <x:c r="H1781" s="44" t="n">
        <x:f>E1781-G1781</x:f>
        <x:v>125.12</x:v>
      </x:c>
      <x:c r="I1781" s="14" t="str">
        <x:v>Distributor</x:v>
      </x:c>
      <x:c r="J1781" s="14" t="str">
        <x:v>Midwest</x:v>
      </x:c>
    </x:row>
    <x:row r="1782">
      <x:c r="A1782" s="50" t="n">
        <x:v>45903</x:v>
      </x:c>
      <x:c r="B1782" s="14" t="str">
        <x:v>SKU-0038</x:v>
      </x:c>
      <x:c r="C1782" s="52" t="n">
        <x:v>7</x:v>
      </x:c>
      <x:c r="D1782" s="40" t="n">
        <x:v>221.74</x:v>
      </x:c>
      <x:c r="E1782" s="44" t="n">
        <x:f>C1782*D1782</x:f>
        <x:v>1552.18</x:v>
      </x:c>
      <x:c r="F1782" s="40" t="n">
        <x:v>160.43</x:v>
      </x:c>
      <x:c r="G1782" s="44" t="n">
        <x:f>C1782*F1782</x:f>
        <x:v>1123.01</x:v>
      </x:c>
      <x:c r="H1782" s="44" t="n">
        <x:f>E1782-G1782</x:f>
        <x:v>429.1700000000001</x:v>
      </x:c>
      <x:c r="I1782" s="14" t="str">
        <x:v>Internal Use</x:v>
      </x:c>
      <x:c r="J1782" s="14" t="str">
        <x:v>Northeast</x:v>
      </x:c>
    </x:row>
    <x:row r="1783">
      <x:c r="A1783" s="50" t="n">
        <x:v>46083</x:v>
      </x:c>
      <x:c r="B1783" s="14" t="str">
        <x:v>SKU-0005</x:v>
      </x:c>
      <x:c r="C1783" s="52" t="n">
        <x:v>49</x:v>
      </x:c>
      <x:c r="D1783" s="40" t="n">
        <x:v>363.77</x:v>
      </x:c>
      <x:c r="E1783" s="44" t="n">
        <x:f>C1783*D1783</x:f>
        <x:v>17824.73</x:v>
      </x:c>
      <x:c r="F1783" s="40" t="n">
        <x:v>176.62</x:v>
      </x:c>
      <x:c r="G1783" s="44" t="n">
        <x:f>C1783*F1783</x:f>
        <x:v>8654.380000000001</x:v>
      </x:c>
      <x:c r="H1783" s="44" t="n">
        <x:f>E1783-G1783</x:f>
        <x:v>9170.349999999999</x:v>
      </x:c>
      <x:c r="I1783" s="14" t="str">
        <x:v>Enterprise</x:v>
      </x:c>
      <x:c r="J1783" s="14" t="str">
        <x:v>Northeast</x:v>
      </x:c>
    </x:row>
    <x:row r="1784">
      <x:c r="A1784" s="50" t="n">
        <x:v>46078</x:v>
      </x:c>
      <x:c r="B1784" s="14" t="str">
        <x:v>SKU-0140</x:v>
      </x:c>
      <x:c r="C1784" s="52" t="n">
        <x:v>15</x:v>
      </x:c>
      <x:c r="D1784" s="40" t="n">
        <x:v>277.23</x:v>
      </x:c>
      <x:c r="E1784" s="44" t="n">
        <x:f>C1784*D1784</x:f>
        <x:v>4158.450000000001</x:v>
      </x:c>
      <x:c r="F1784" s="40" t="n">
        <x:v>188.55</x:v>
      </x:c>
      <x:c r="G1784" s="44" t="n">
        <x:f>C1784*F1784</x:f>
        <x:v>2828.25</x:v>
      </x:c>
      <x:c r="H1784" s="44" t="n">
        <x:f>E1784-G1784</x:f>
        <x:v>1330.2000000000007</x:v>
      </x:c>
      <x:c r="I1784" s="14" t="str">
        <x:v>SMB</x:v>
      </x:c>
      <x:c r="J1784" s="14" t="str">
        <x:v>West</x:v>
      </x:c>
    </x:row>
    <x:row r="1785">
      <x:c r="A1785" s="50" t="n">
        <x:v>46016</x:v>
      </x:c>
      <x:c r="B1785" s="14" t="str">
        <x:v>SKU-0129</x:v>
      </x:c>
      <x:c r="C1785" s="52" t="n">
        <x:v>12</x:v>
      </x:c>
      <x:c r="D1785" s="40" t="n">
        <x:v>303.05</x:v>
      </x:c>
      <x:c r="E1785" s="44" t="n">
        <x:f>C1785*D1785</x:f>
        <x:v>3636.6000000000004</x:v>
      </x:c>
      <x:c r="F1785" s="40" t="n">
        <x:v>178.22</x:v>
      </x:c>
      <x:c r="G1785" s="44" t="n">
        <x:f>C1785*F1785</x:f>
        <x:v>2138.64</x:v>
      </x:c>
      <x:c r="H1785" s="44" t="n">
        <x:f>E1785-G1785</x:f>
        <x:v>1497.9600000000005</x:v>
      </x:c>
      <x:c r="I1785" s="14" t="str">
        <x:v>SMB</x:v>
      </x:c>
      <x:c r="J1785" s="14" t="str">
        <x:v>Southeast</x:v>
      </x:c>
    </x:row>
    <x:row r="1786">
      <x:c r="A1786" s="50" t="n">
        <x:v>46027</x:v>
      </x:c>
      <x:c r="B1786" s="14" t="str">
        <x:v>SKU-0146</x:v>
      </x:c>
      <x:c r="C1786" s="52" t="n">
        <x:v>3</x:v>
      </x:c>
      <x:c r="D1786" s="40" t="n">
        <x:v>512.35</x:v>
      </x:c>
      <x:c r="E1786" s="44" t="n">
        <x:f>C1786*D1786</x:f>
        <x:v>1537.0500000000002</x:v>
      </x:c>
      <x:c r="F1786" s="40" t="n">
        <x:v>261.77</x:v>
      </x:c>
      <x:c r="G1786" s="44" t="n">
        <x:f>C1786*F1786</x:f>
        <x:v>785.31</x:v>
      </x:c>
      <x:c r="H1786" s="44" t="n">
        <x:f>E1786-G1786</x:f>
        <x:v>751.7400000000002</x:v>
      </x:c>
      <x:c r="I1786" s="14" t="str">
        <x:v>SMB</x:v>
      </x:c>
      <x:c r="J1786" s="14" t="str">
        <x:v>Northeast</x:v>
      </x:c>
    </x:row>
    <x:row r="1787">
      <x:c r="A1787" s="50" t="n">
        <x:v>46081</x:v>
      </x:c>
      <x:c r="B1787" s="14" t="str">
        <x:v>SKU-0001</x:v>
      </x:c>
      <x:c r="C1787" s="52" t="n">
        <x:v>8</x:v>
      </x:c>
      <x:c r="D1787" s="40" t="n">
        <x:v>302.75</x:v>
      </x:c>
      <x:c r="E1787" s="44" t="n">
        <x:f>C1787*D1787</x:f>
        <x:v>2422</x:v>
      </x:c>
      <x:c r="F1787" s="40" t="n">
        <x:v>178.71</x:v>
      </x:c>
      <x:c r="G1787" s="44" t="n">
        <x:f>C1787*F1787</x:f>
        <x:v>1429.68</x:v>
      </x:c>
      <x:c r="H1787" s="44" t="n">
        <x:f>E1787-G1787</x:f>
        <x:v>992.3199999999999</x:v>
      </x:c>
      <x:c r="I1787" s="14" t="str">
        <x:v>SMB</x:v>
      </x:c>
      <x:c r="J1787" s="14" t="str">
        <x:v>Midwest</x:v>
      </x:c>
    </x:row>
    <x:row r="1788">
      <x:c r="A1788" s="50" t="n">
        <x:v>45884</x:v>
      </x:c>
      <x:c r="B1788" s="14" t="str">
        <x:v>SKU-0084</x:v>
      </x:c>
      <x:c r="C1788" s="52" t="n">
        <x:v>3</x:v>
      </x:c>
      <x:c r="D1788" s="40" t="n">
        <x:v>233.28</x:v>
      </x:c>
      <x:c r="E1788" s="44" t="n">
        <x:f>C1788*D1788</x:f>
        <x:v>699.84</x:v>
      </x:c>
      <x:c r="F1788" s="40" t="n">
        <x:v>108.77</x:v>
      </x:c>
      <x:c r="G1788" s="44" t="n">
        <x:f>C1788*F1788</x:f>
        <x:v>326.31</x:v>
      </x:c>
      <x:c r="H1788" s="44" t="n">
        <x:f>E1788-G1788</x:f>
        <x:v>373.53000000000003</x:v>
      </x:c>
      <x:c r="I1788" s="14" t="str">
        <x:v>Enterprise</x:v>
      </x:c>
      <x:c r="J1788" s="14" t="str">
        <x:v>West</x:v>
      </x:c>
    </x:row>
    <x:row r="1789">
      <x:c r="A1789" s="50" t="n">
        <x:v>46074</x:v>
      </x:c>
      <x:c r="B1789" s="14" t="str">
        <x:v>SKU-0055</x:v>
      </x:c>
      <x:c r="C1789" s="52" t="n">
        <x:v>6</x:v>
      </x:c>
      <x:c r="D1789" s="40" t="n">
        <x:v>341.39</x:v>
      </x:c>
      <x:c r="E1789" s="44" t="n">
        <x:f>C1789*D1789</x:f>
        <x:v>2048.34</x:v>
      </x:c>
      <x:c r="F1789" s="40" t="n">
        <x:v>263.76</x:v>
      </x:c>
      <x:c r="G1789" s="44" t="n">
        <x:f>C1789*F1789</x:f>
        <x:v>1582.56</x:v>
      </x:c>
      <x:c r="H1789" s="44" t="n">
        <x:f>E1789-G1789</x:f>
        <x:v>465.7800000000002</x:v>
      </x:c>
      <x:c r="I1789" s="14" t="str">
        <x:v>Distributor</x:v>
      </x:c>
      <x:c r="J1789" s="14" t="str">
        <x:v>Northeast</x:v>
      </x:c>
    </x:row>
    <x:row r="1790">
      <x:c r="A1790" s="50" t="n">
        <x:v>46155</x:v>
      </x:c>
      <x:c r="B1790" s="14" t="str">
        <x:v>SKU-0118</x:v>
      </x:c>
      <x:c r="C1790" s="52" t="n">
        <x:v>4</x:v>
      </x:c>
      <x:c r="D1790" s="40" t="n">
        <x:v>547.78</x:v>
      </x:c>
      <x:c r="E1790" s="44" t="n">
        <x:f>C1790*D1790</x:f>
        <x:v>2191.12</x:v>
      </x:c>
      <x:c r="F1790" s="40" t="n">
        <x:v>237.03</x:v>
      </x:c>
      <x:c r="G1790" s="44" t="n">
        <x:f>C1790*F1790</x:f>
        <x:v>948.12</x:v>
      </x:c>
      <x:c r="H1790" s="44" t="n">
        <x:f>E1790-G1790</x:f>
        <x:v>1243</x:v>
      </x:c>
      <x:c r="I1790" s="14" t="str">
        <x:v>SMB</x:v>
      </x:c>
      <x:c r="J1790" s="14" t="str">
        <x:v>Southeast</x:v>
      </x:c>
    </x:row>
    <x:row r="1791">
      <x:c r="A1791" s="50" t="n">
        <x:v>46037</x:v>
      </x:c>
      <x:c r="B1791" s="14" t="str">
        <x:v>SKU-0057</x:v>
      </x:c>
      <x:c r="C1791" s="52" t="n">
        <x:v>6</x:v>
      </x:c>
      <x:c r="D1791" s="40" t="n">
        <x:v>164.12</x:v>
      </x:c>
      <x:c r="E1791" s="44" t="n">
        <x:f>C1791*D1791</x:f>
        <x:v>984.72</x:v>
      </x:c>
      <x:c r="F1791" s="40" t="n">
        <x:v>122.8</x:v>
      </x:c>
      <x:c r="G1791" s="44" t="n">
        <x:f>C1791*F1791</x:f>
        <x:v>736.8</x:v>
      </x:c>
      <x:c r="H1791" s="44" t="n">
        <x:f>E1791-G1791</x:f>
        <x:v>247.92000000000007</x:v>
      </x:c>
      <x:c r="I1791" s="14" t="str">
        <x:v>Enterprise</x:v>
      </x:c>
      <x:c r="J1791" s="14" t="str">
        <x:v>Northeast</x:v>
      </x:c>
    </x:row>
    <x:row r="1792">
      <x:c r="A1792" s="50" t="n">
        <x:v>46226</x:v>
      </x:c>
      <x:c r="B1792" s="14" t="str">
        <x:v>SKU-0108</x:v>
      </x:c>
      <x:c r="C1792" s="52" t="n">
        <x:v>3</x:v>
      </x:c>
      <x:c r="D1792" s="40" t="n">
        <x:v>315.23</x:v>
      </x:c>
      <x:c r="E1792" s="44" t="n">
        <x:f>C1792*D1792</x:f>
        <x:v>945.69</x:v>
      </x:c>
      <x:c r="F1792" s="40" t="n">
        <x:v>242.94</x:v>
      </x:c>
      <x:c r="G1792" s="44" t="n">
        <x:f>C1792*F1792</x:f>
        <x:v>728.8199999999999</x:v>
      </x:c>
      <x:c r="H1792" s="44" t="n">
        <x:f>E1792-G1792</x:f>
        <x:v>216.87000000000012</x:v>
      </x:c>
      <x:c r="I1792" s="14" t="str">
        <x:v>Internal Use</x:v>
      </x:c>
      <x:c r="J1792" s="14" t="str">
        <x:v>Midwest</x:v>
      </x:c>
    </x:row>
    <x:row r="1793">
      <x:c r="A1793" s="50" t="n">
        <x:v>45887</x:v>
      </x:c>
      <x:c r="B1793" s="14" t="str">
        <x:v>SKU-0063</x:v>
      </x:c>
      <x:c r="C1793" s="52" t="n">
        <x:v>3</x:v>
      </x:c>
      <x:c r="D1793" s="40" t="n">
        <x:v>258.99</x:v>
      </x:c>
      <x:c r="E1793" s="44" t="n">
        <x:f>C1793*D1793</x:f>
        <x:v>776.97</x:v>
      </x:c>
      <x:c r="F1793" s="40" t="n">
        <x:v>197.54</x:v>
      </x:c>
      <x:c r="G1793" s="44" t="n">
        <x:f>C1793*F1793</x:f>
        <x:v>592.62</x:v>
      </x:c>
      <x:c r="H1793" s="44" t="n">
        <x:f>E1793-G1793</x:f>
        <x:v>184.35000000000002</x:v>
      </x:c>
      <x:c r="I1793" s="14" t="str">
        <x:v>SMB</x:v>
      </x:c>
      <x:c r="J1793" s="14" t="str">
        <x:v>Northeast</x:v>
      </x:c>
    </x:row>
    <x:row r="1794">
      <x:c r="A1794" s="50" t="n">
        <x:v>46227</x:v>
      </x:c>
      <x:c r="B1794" s="14" t="str">
        <x:v>SKU-0073</x:v>
      </x:c>
      <x:c r="C1794" s="52" t="n">
        <x:v>21</x:v>
      </x:c>
      <x:c r="D1794" s="40" t="n">
        <x:v>70.11</x:v>
      </x:c>
      <x:c r="E1794" s="44" t="n">
        <x:f>C1794*D1794</x:f>
        <x:v>1472.31</x:v>
      </x:c>
      <x:c r="F1794" s="40" t="n">
        <x:v>37.01</x:v>
      </x:c>
      <x:c r="G1794" s="44" t="n">
        <x:f>C1794*F1794</x:f>
        <x:v>777.2099999999999</x:v>
      </x:c>
      <x:c r="H1794" s="44" t="n">
        <x:f>E1794-G1794</x:f>
        <x:v>695.1</x:v>
      </x:c>
      <x:c r="I1794" s="14" t="str">
        <x:v>Internal Use</x:v>
      </x:c>
      <x:c r="J1794" s="14" t="str">
        <x:v>Midwest</x:v>
      </x:c>
    </x:row>
    <x:row r="1795">
      <x:c r="A1795" s="50" t="n">
        <x:v>45975</x:v>
      </x:c>
      <x:c r="B1795" s="14" t="str">
        <x:v>SKU-0145</x:v>
      </x:c>
      <x:c r="C1795" s="52" t="n">
        <x:v>2</x:v>
      </x:c>
      <x:c r="D1795" s="40" t="n">
        <x:v>215.31</x:v>
      </x:c>
      <x:c r="E1795" s="44" t="n">
        <x:f>C1795*D1795</x:f>
        <x:v>430.62</x:v>
      </x:c>
      <x:c r="F1795" s="40" t="n">
        <x:v>142.06</x:v>
      </x:c>
      <x:c r="G1795" s="44" t="n">
        <x:f>C1795*F1795</x:f>
        <x:v>284.12</x:v>
      </x:c>
      <x:c r="H1795" s="44" t="n">
        <x:f>E1795-G1795</x:f>
        <x:v>146.5</x:v>
      </x:c>
      <x:c r="I1795" s="14" t="str">
        <x:v>Internal Use</x:v>
      </x:c>
      <x:c r="J1795" s="14" t="str">
        <x:v>Midwest</x:v>
      </x:c>
    </x:row>
    <x:row r="1796">
      <x:c r="A1796" s="50" t="n">
        <x:v>46082</x:v>
      </x:c>
      <x:c r="B1796" s="14" t="str">
        <x:v>SKU-0043</x:v>
      </x:c>
      <x:c r="C1796" s="52" t="n">
        <x:v>3</x:v>
      </x:c>
      <x:c r="D1796" s="40" t="n">
        <x:v>419.86</x:v>
      </x:c>
      <x:c r="E1796" s="44" t="n">
        <x:f>C1796*D1796</x:f>
        <x:v>1259.58</x:v>
      </x:c>
      <x:c r="F1796" s="40" t="n">
        <x:v>224.89</x:v>
      </x:c>
      <x:c r="G1796" s="44" t="n">
        <x:f>C1796*F1796</x:f>
        <x:v>674.67</x:v>
      </x:c>
      <x:c r="H1796" s="44" t="n">
        <x:f>E1796-G1796</x:f>
        <x:v>584.91</x:v>
      </x:c>
      <x:c r="I1796" s="14" t="str">
        <x:v>Enterprise</x:v>
      </x:c>
      <x:c r="J1796" s="14" t="str">
        <x:v>Southeast</x:v>
      </x:c>
    </x:row>
    <x:row r="1797">
      <x:c r="A1797" s="50" t="n">
        <x:v>46069</x:v>
      </x:c>
      <x:c r="B1797" s="14" t="str">
        <x:v>SKU-0118</x:v>
      </x:c>
      <x:c r="C1797" s="52" t="n">
        <x:v>7</x:v>
      </x:c>
      <x:c r="D1797" s="40" t="n">
        <x:v>517.04</x:v>
      </x:c>
      <x:c r="E1797" s="44" t="n">
        <x:f>C1797*D1797</x:f>
        <x:v>3619.2799999999997</x:v>
      </x:c>
      <x:c r="F1797" s="40" t="n">
        <x:v>237.03</x:v>
      </x:c>
      <x:c r="G1797" s="44" t="n">
        <x:f>C1797*F1797</x:f>
        <x:v>1659.21</x:v>
      </x:c>
      <x:c r="H1797" s="44" t="n">
        <x:f>E1797-G1797</x:f>
        <x:v>1960.0699999999997</x:v>
      </x:c>
      <x:c r="I1797" s="14" t="str">
        <x:v>Internal Use</x:v>
      </x:c>
      <x:c r="J1797" s="14" t="str">
        <x:v>Northeast</x:v>
      </x:c>
    </x:row>
    <x:row r="1798">
      <x:c r="A1798" s="50" t="n">
        <x:v>45880</x:v>
      </x:c>
      <x:c r="B1798" s="14" t="str">
        <x:v>SKU-0033</x:v>
      </x:c>
      <x:c r="C1798" s="52" t="n">
        <x:v>1</x:v>
      </x:c>
      <x:c r="D1798" s="40" t="n">
        <x:v>253.19</x:v>
      </x:c>
      <x:c r="E1798" s="44" t="n">
        <x:f>C1798*D1798</x:f>
        <x:v>253.19</x:v>
      </x:c>
      <x:c r="F1798" s="40" t="n">
        <x:v>185.66</x:v>
      </x:c>
      <x:c r="G1798" s="44" t="n">
        <x:f>C1798*F1798</x:f>
        <x:v>185.66</x:v>
      </x:c>
      <x:c r="H1798" s="44" t="n">
        <x:f>E1798-G1798</x:f>
        <x:v>67.53</x:v>
      </x:c>
      <x:c r="I1798" s="14" t="str">
        <x:v>SMB</x:v>
      </x:c>
      <x:c r="J1798" s="14" t="str">
        <x:v>West</x:v>
      </x:c>
    </x:row>
    <x:row r="1799">
      <x:c r="A1799" s="50" t="n">
        <x:v>45930</x:v>
      </x:c>
      <x:c r="B1799" s="14" t="str">
        <x:v>SKU-0044</x:v>
      </x:c>
      <x:c r="C1799" s="52" t="n">
        <x:v>15</x:v>
      </x:c>
      <x:c r="D1799" s="40" t="n">
        <x:v>166.75</x:v>
      </x:c>
      <x:c r="E1799" s="44" t="n">
        <x:f>C1799*D1799</x:f>
        <x:v>2501.25</x:v>
      </x:c>
      <x:c r="F1799" s="40" t="n">
        <x:v>126.24</x:v>
      </x:c>
      <x:c r="G1799" s="44" t="n">
        <x:f>C1799*F1799</x:f>
        <x:v>1893.6</x:v>
      </x:c>
      <x:c r="H1799" s="44" t="n">
        <x:f>E1799-G1799</x:f>
        <x:v>607.6500000000001</x:v>
      </x:c>
      <x:c r="I1799" s="14" t="str">
        <x:v>Enterprise</x:v>
      </x:c>
      <x:c r="J1799" s="14" t="str">
        <x:v>Midwest</x:v>
      </x:c>
    </x:row>
    <x:row r="1800">
      <x:c r="A1800" s="50" t="n">
        <x:v>45943</x:v>
      </x:c>
      <x:c r="B1800" s="14" t="str">
        <x:v>SKU-0135</x:v>
      </x:c>
      <x:c r="C1800" s="52" t="n">
        <x:v>12</x:v>
      </x:c>
      <x:c r="D1800" s="40" t="n">
        <x:v>352.84</x:v>
      </x:c>
      <x:c r="E1800" s="44" t="n">
        <x:f>C1800*D1800</x:f>
        <x:v>4234.08</x:v>
      </x:c>
      <x:c r="F1800" s="40" t="n">
        <x:v>275.11</x:v>
      </x:c>
      <x:c r="G1800" s="44" t="n">
        <x:f>C1800*F1800</x:f>
        <x:v>3301.32</x:v>
      </x:c>
      <x:c r="H1800" s="44" t="n">
        <x:f>E1800-G1800</x:f>
        <x:v>932.7599999999998</x:v>
      </x:c>
      <x:c r="I1800" s="14" t="str">
        <x:v>Distributor</x:v>
      </x:c>
      <x:c r="J1800" s="14" t="str">
        <x:v>Northeast</x:v>
      </x:c>
    </x:row>
    <x:row r="1801">
      <x:c r="A1801" s="50" t="n">
        <x:v>45934</x:v>
      </x:c>
      <x:c r="B1801" s="14" t="str">
        <x:v>SKU-0112</x:v>
      </x:c>
      <x:c r="C1801" s="52" t="n">
        <x:v>19</x:v>
      </x:c>
      <x:c r="D1801" s="40" t="n">
        <x:v>279.51</x:v>
      </x:c>
      <x:c r="E1801" s="44" t="n">
        <x:f>C1801*D1801</x:f>
        <x:v>5310.69</x:v>
      </x:c>
      <x:c r="F1801" s="40" t="n">
        <x:v>175.75</x:v>
      </x:c>
      <x:c r="G1801" s="44" t="n">
        <x:f>C1801*F1801</x:f>
        <x:v>3339.25</x:v>
      </x:c>
      <x:c r="H1801" s="44" t="n">
        <x:f>E1801-G1801</x:f>
        <x:v>1971.4399999999996</x:v>
      </x:c>
      <x:c r="I1801" s="14" t="str">
        <x:v>Distributor</x:v>
      </x:c>
      <x:c r="J1801" s="14" t="str">
        <x:v>Midwest</x:v>
      </x:c>
    </x:row>
  </x:sheetData>
  <x:pageMargins left="0.7" right="0.7" top="0.75" bottom="0.75" header="0.3" footer="0.3"/>
  <x:tableParts count="1">
    <x:tablePart xmlns:r="http://schemas.openxmlformats.org/officeDocument/2006/relationships" r:id="R8972d9a2b4a44da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22" hidden="0" customWidth="1"/>
    <x:col min="10" max="10" width="24" hidden="0" customWidth="1"/>
  </x:cols>
  <x:sheetData>
    <x:row r="1">
      <x:c r="A1" s="9" t="str">
        <x:v>SKU</x:v>
      </x:c>
      <x:c r="B1" s="9" t="str">
        <x:v>Description</x:v>
      </x:c>
      <x:c r="C1" s="9" t="str">
        <x:v>Current_Avg_Daily_Demand</x:v>
      </x:c>
      <x:c r="D1" s="9" t="str">
        <x:v>30D_Forecast_Units</x:v>
      </x:c>
      <x:c r="E1" s="9" t="str">
        <x:v>60D_Forecast_Units</x:v>
      </x:c>
      <x:c r="F1" s="9" t="str">
        <x:v>90D_Forecast_Units</x:v>
      </x:c>
      <x:c r="G1" s="9" t="str">
        <x:v>Forecast_Growth_%</x:v>
      </x:c>
      <x:c r="H1" s="9" t="str">
        <x:v>Unit_Cost_USD</x:v>
      </x:c>
      <x:c r="I1" s="9" t="str">
        <x:v>90D_Forecast_COGS_USD</x:v>
      </x:c>
      <x:c r="J1" s="9" t="str">
        <x:v>Recommended_Reorder_Units</x:v>
      </x:c>
    </x:row>
    <x:row r="2">
      <x:c r="A2" s="56" t="str">
        <x:f>'Inventory_Snapshot'!A2</x:f>
        <x:v>SKU-0001</x:v>
      </x:c>
      <x:c r="B2" s="56" t="str">
        <x:f>'Inventory_Snapshot'!B2</x:f>
        <x:v>Lubricants Item 001</x:v>
      </x:c>
      <x:c r="C2" s="60" t="n">
        <x:f>'Inventory_Snapshot'!J2</x:f>
        <x:v>3.73</x:v>
      </x:c>
      <x:c r="D2" s="47" t="n">
        <x:f>ROUND(C2*30*(1+G2),0)</x:f>
        <x:v>123</x:v>
      </x:c>
      <x:c r="E2" s="47" t="n">
        <x:f>ROUND(C2*60*(1+G2),0)</x:f>
        <x:v>246</x:v>
      </x:c>
      <x:c r="F2" s="47" t="n">
        <x:f>ROUND(C2*90*(1+G2),0)</x:f>
        <x:v>369</x:v>
      </x:c>
      <x:c r="G2" s="16" t="n">
        <x:v>0.1</x:v>
      </x:c>
      <x:c r="H2" s="58" t="n">
        <x:f>'Inventory_Snapshot'!H2</x:f>
        <x:v>178.71</x:v>
      </x:c>
      <x:c r="I2" s="44" t="n">
        <x:f>F2*H2</x:f>
        <x:v>65943.99</x:v>
      </x:c>
      <x:c r="J2" s="53" t="n">
        <x:f>MAX(0,F2+'Inventory_Snapshot'!M2-'Inventory_Snapshot'!F2-'Inventory_Snapshot'!G2)</x:f>
        <x:v>304</x:v>
      </x:c>
    </x:row>
    <x:row r="3">
      <x:c r="A3" s="56" t="str">
        <x:f>'Inventory_Snapshot'!A3</x:f>
        <x:v>SKU-0002</x:v>
      </x:c>
      <x:c r="B3" s="56" t="str">
        <x:f>'Inventory_Snapshot'!B3</x:f>
        <x:v>Foam Item 002</x:v>
      </x:c>
      <x:c r="C3" s="60" t="n">
        <x:f>'Inventory_Snapshot'!J3</x:f>
        <x:v>6.21</x:v>
      </x:c>
      <x:c r="D3" s="47" t="n">
        <x:f>ROUND(C3*30*(1+G3),0)</x:f>
        <x:v>170</x:v>
      </x:c>
      <x:c r="E3" s="47" t="n">
        <x:f>ROUND(C3*60*(1+G3),0)</x:f>
        <x:v>340</x:v>
      </x:c>
      <x:c r="F3" s="47" t="n">
        <x:f>ROUND(C3*90*(1+G3),0)</x:f>
        <x:v>510</x:v>
      </x:c>
      <x:c r="G3" s="16" t="n">
        <x:v>-0.087</x:v>
      </x:c>
      <x:c r="H3" s="58" t="n">
        <x:f>'Inventory_Snapshot'!H3</x:f>
        <x:v>66.06</x:v>
      </x:c>
      <x:c r="I3" s="44" t="n">
        <x:f>F3*H3</x:f>
        <x:v>33690.6</x:v>
      </x:c>
      <x:c r="J3" s="53" t="n">
        <x:f>MAX(0,F3+'Inventory_Snapshot'!M3-'Inventory_Snapshot'!F3-'Inventory_Snapshot'!G3)</x:f>
        <x:v>109</x:v>
      </x:c>
    </x:row>
    <x:row r="4">
      <x:c r="A4" s="56" t="str">
        <x:f>'Inventory_Snapshot'!A4</x:f>
        <x:v>SKU-0003</x:v>
      </x:c>
      <x:c r="B4" s="56" t="str">
        <x:f>'Inventory_Snapshot'!B4</x:f>
        <x:v>Bearings Item 003</x:v>
      </x:c>
      <x:c r="C4" s="60" t="n">
        <x:f>'Inventory_Snapshot'!J4</x:f>
        <x:v>3.09</x:v>
      </x:c>
      <x:c r="D4" s="47" t="n">
        <x:f>ROUND(C4*30*(1+G4),0)</x:f>
        <x:v>103</x:v>
      </x:c>
      <x:c r="E4" s="47" t="n">
        <x:f>ROUND(C4*60*(1+G4),0)</x:f>
        <x:v>207</x:v>
      </x:c>
      <x:c r="F4" s="47" t="n">
        <x:f>ROUND(C4*90*(1+G4),0)</x:f>
        <x:v>310</x:v>
      </x:c>
      <x:c r="G4" s="16" t="n">
        <x:v>0.115</x:v>
      </x:c>
      <x:c r="H4" s="58" t="n">
        <x:f>'Inventory_Snapshot'!H4</x:f>
        <x:v>141.04</x:v>
      </x:c>
      <x:c r="I4" s="44" t="n">
        <x:f>F4*H4</x:f>
        <x:v>43722.399999999994</x:v>
      </x:c>
      <x:c r="J4" s="53" t="n">
        <x:f>MAX(0,F4+'Inventory_Snapshot'!M4-'Inventory_Snapshot'!F4-'Inventory_Snapshot'!G4)</x:f>
        <x:v>133</x:v>
      </x:c>
    </x:row>
    <x:row r="5">
      <x:c r="A5" s="56" t="str">
        <x:f>'Inventory_Snapshot'!A5</x:f>
        <x:v>SKU-0004</x:v>
      </x:c>
      <x:c r="B5" s="56" t="str">
        <x:f>'Inventory_Snapshot'!B5</x:f>
        <x:v>First Aid Item 004</x:v>
      </x:c>
      <x:c r="C5" s="60" t="n">
        <x:f>'Inventory_Snapshot'!J5</x:f>
        <x:v>19.68</x:v>
      </x:c>
      <x:c r="D5" s="47" t="n">
        <x:f>ROUND(C5*30*(1+G5),0)</x:f>
        <x:v>593</x:v>
      </x:c>
      <x:c r="E5" s="47" t="n">
        <x:f>ROUND(C5*60*(1+G5),0)</x:f>
        <x:v>1187</x:v>
      </x:c>
      <x:c r="F5" s="47" t="n">
        <x:f>ROUND(C5*90*(1+G5),0)</x:f>
        <x:v>1780</x:v>
      </x:c>
      <x:c r="G5" s="16" t="n">
        <x:v>0.005</x:v>
      </x:c>
      <x:c r="H5" s="58" t="n">
        <x:f>'Inventory_Snapshot'!H5</x:f>
        <x:v>164.72</x:v>
      </x:c>
      <x:c r="I5" s="44" t="n">
        <x:f>F5*H5</x:f>
        <x:v>293201.6</x:v>
      </x:c>
      <x:c r="J5" s="53" t="n">
        <x:f>MAX(0,F5+'Inventory_Snapshot'!M5-'Inventory_Snapshot'!F5-'Inventory_Snapshot'!G5)</x:f>
        <x:v>0</x:v>
      </x:c>
    </x:row>
    <x:row r="6">
      <x:c r="A6" s="56" t="str">
        <x:f>'Inventory_Snapshot'!A6</x:f>
        <x:v>SKU-0005</x:v>
      </x:c>
      <x:c r="B6" s="56" t="str">
        <x:f>'Inventory_Snapshot'!B6</x:f>
        <x:v>Sensors Item 005</x:v>
      </x:c>
      <x:c r="C6" s="60" t="n">
        <x:f>'Inventory_Snapshot'!J6</x:f>
        <x:v>9.65</x:v>
      </x:c>
      <x:c r="D6" s="47" t="n">
        <x:f>ROUND(C6*30*(1+G6),0)</x:f>
        <x:v>342</x:v>
      </x:c>
      <x:c r="E6" s="47" t="n">
        <x:f>ROUND(C6*60*(1+G6),0)</x:f>
        <x:v>683</x:v>
      </x:c>
      <x:c r="F6" s="47" t="n">
        <x:f>ROUND(C6*90*(1+G6),0)</x:f>
        <x:v>1025</x:v>
      </x:c>
      <x:c r="G6" s="16" t="n">
        <x:v>0.18</x:v>
      </x:c>
      <x:c r="H6" s="58" t="n">
        <x:f>'Inventory_Snapshot'!H6</x:f>
        <x:v>176.62</x:v>
      </x:c>
      <x:c r="I6" s="44" t="n">
        <x:f>F6*H6</x:f>
        <x:v>181035.5</x:v>
      </x:c>
      <x:c r="J6" s="53" t="n">
        <x:f>MAX(0,F6+'Inventory_Snapshot'!M6-'Inventory_Snapshot'!F6-'Inventory_Snapshot'!G6)</x:f>
        <x:v>574</x:v>
      </x:c>
    </x:row>
    <x:row r="7">
      <x:c r="A7" s="56" t="str">
        <x:f>'Inventory_Snapshot'!A7</x:f>
        <x:v>SKU-0006</x:v>
      </x:c>
      <x:c r="B7" s="56" t="str">
        <x:f>'Inventory_Snapshot'!B7</x:f>
        <x:v>First Aid Item 006</x:v>
      </x:c>
      <x:c r="C7" s="60" t="n">
        <x:f>'Inventory_Snapshot'!J7</x:f>
        <x:v>2.64</x:v>
      </x:c>
      <x:c r="D7" s="47" t="n">
        <x:f>ROUND(C7*30*(1+G7),0)</x:f>
        <x:v>92</x:v>
      </x:c>
      <x:c r="E7" s="47" t="n">
        <x:f>ROUND(C7*60*(1+G7),0)</x:f>
        <x:v>183</x:v>
      </x:c>
      <x:c r="F7" s="47" t="n">
        <x:f>ROUND(C7*90*(1+G7),0)</x:f>
        <x:v>275</x:v>
      </x:c>
      <x:c r="G7" s="16" t="n">
        <x:v>0.156</x:v>
      </x:c>
      <x:c r="H7" s="58" t="n">
        <x:f>'Inventory_Snapshot'!H7</x:f>
        <x:v>241.37</x:v>
      </x:c>
      <x:c r="I7" s="44" t="n">
        <x:f>F7*H7</x:f>
        <x:v>66376.75</x:v>
      </x:c>
      <x:c r="J7" s="53" t="n">
        <x:f>MAX(0,F7+'Inventory_Snapshot'!M7-'Inventory_Snapshot'!F7-'Inventory_Snapshot'!G7)</x:f>
        <x:v>232</x:v>
      </x:c>
    </x:row>
    <x:row r="8">
      <x:c r="A8" s="56" t="str">
        <x:f>'Inventory_Snapshot'!A8</x:f>
        <x:v>SKU-0007</x:v>
      </x:c>
      <x:c r="B8" s="56" t="str">
        <x:f>'Inventory_Snapshot'!B8</x:f>
        <x:v>Fasteners Item 007</x:v>
      </x:c>
      <x:c r="C8" s="60" t="n">
        <x:f>'Inventory_Snapshot'!J8</x:f>
        <x:v>17.93</x:v>
      </x:c>
      <x:c r="D8" s="47" t="n">
        <x:f>ROUND(C8*30*(1+G8),0)</x:f>
        <x:v>574</x:v>
      </x:c>
      <x:c r="E8" s="47" t="n">
        <x:f>ROUND(C8*60*(1+G8),0)</x:f>
        <x:v>1149</x:v>
      </x:c>
      <x:c r="F8" s="47" t="n">
        <x:f>ROUND(C8*90*(1+G8),0)</x:f>
        <x:v>1723</x:v>
      </x:c>
      <x:c r="G8" s="16" t="n">
        <x:v>0.068</x:v>
      </x:c>
      <x:c r="H8" s="58" t="n">
        <x:f>'Inventory_Snapshot'!H8</x:f>
        <x:v>123.15</x:v>
      </x:c>
      <x:c r="I8" s="44" t="n">
        <x:f>F8*H8</x:f>
        <x:v>212187.45</x:v>
      </x:c>
      <x:c r="J8" s="53" t="n">
        <x:f>MAX(0,F8+'Inventory_Snapshot'!M8-'Inventory_Snapshot'!F8-'Inventory_Snapshot'!G8)</x:f>
        <x:v>1501</x:v>
      </x:c>
    </x:row>
    <x:row r="9">
      <x:c r="A9" s="56" t="str">
        <x:f>'Inventory_Snapshot'!A9</x:f>
        <x:v>SKU-0008</x:v>
      </x:c>
      <x:c r="B9" s="56" t="str">
        <x:f>'Inventory_Snapshot'!B9</x:f>
        <x:v>Power Item 008</x:v>
      </x:c>
      <x:c r="C9" s="60" t="n">
        <x:f>'Inventory_Snapshot'!J9</x:f>
        <x:v>3.88</x:v>
      </x:c>
      <x:c r="D9" s="47" t="n">
        <x:f>ROUND(C9*30*(1+G9),0)</x:f>
        <x:v>135</x:v>
      </x:c>
      <x:c r="E9" s="47" t="n">
        <x:f>ROUND(C9*60*(1+G9),0)</x:f>
        <x:v>271</x:v>
      </x:c>
      <x:c r="F9" s="47" t="n">
        <x:f>ROUND(C9*90*(1+G9),0)</x:f>
        <x:v>406</x:v>
      </x:c>
      <x:c r="G9" s="16" t="n">
        <x:v>0.162</x:v>
      </x:c>
      <x:c r="H9" s="58" t="n">
        <x:f>'Inventory_Snapshot'!H9</x:f>
        <x:v>143.38</x:v>
      </x:c>
      <x:c r="I9" s="44" t="n">
        <x:f>F9*H9</x:f>
        <x:v>58212.28</x:v>
      </x:c>
      <x:c r="J9" s="53" t="n">
        <x:f>MAX(0,F9+'Inventory_Snapshot'!M9-'Inventory_Snapshot'!F9-'Inventory_Snapshot'!G9)</x:f>
        <x:v>329</x:v>
      </x:c>
    </x:row>
    <x:row r="10">
      <x:c r="A10" s="56" t="str">
        <x:f>'Inventory_Snapshot'!A10</x:f>
        <x:v>SKU-0009</x:v>
      </x:c>
      <x:c r="B10" s="56" t="str">
        <x:f>'Inventory_Snapshot'!B10</x:f>
        <x:v>First Aid Item 009</x:v>
      </x:c>
      <x:c r="C10" s="60" t="n">
        <x:f>'Inventory_Snapshot'!J10</x:f>
        <x:v>0.74</x:v>
      </x:c>
      <x:c r="D10" s="47" t="n">
        <x:f>ROUND(C10*30*(1+G10),0)</x:f>
        <x:v>20</x:v>
      </x:c>
      <x:c r="E10" s="47" t="n">
        <x:f>ROUND(C10*60*(1+G10),0)</x:f>
        <x:v>41</x:v>
      </x:c>
      <x:c r="F10" s="47" t="n">
        <x:f>ROUND(C10*90*(1+G10),0)</x:f>
        <x:v>61</x:v>
      </x:c>
      <x:c r="G10" s="16" t="n">
        <x:v>-0.082</x:v>
      </x:c>
      <x:c r="H10" s="58" t="n">
        <x:f>'Inventory_Snapshot'!H10</x:f>
        <x:v>7.9</x:v>
      </x:c>
      <x:c r="I10" s="44" t="n">
        <x:f>F10*H10</x:f>
        <x:v>481.90000000000003</x:v>
      </x:c>
      <x:c r="J10" s="53" t="n">
        <x:f>MAX(0,F10+'Inventory_Snapshot'!M10-'Inventory_Snapshot'!F10-'Inventory_Snapshot'!G10)</x:f>
        <x:v>26</x:v>
      </x:c>
    </x:row>
    <x:row r="11">
      <x:c r="A11" s="56" t="str">
        <x:f>'Inventory_Snapshot'!A11</x:f>
        <x:v>SKU-0010</x:v>
      </x:c>
      <x:c r="B11" s="56" t="str">
        <x:f>'Inventory_Snapshot'!B11</x:f>
        <x:v>Sensors Item 010</x:v>
      </x:c>
      <x:c r="C11" s="60" t="n">
        <x:f>'Inventory_Snapshot'!J11</x:f>
        <x:v>12.53</x:v>
      </x:c>
      <x:c r="D11" s="47" t="n">
        <x:f>ROUND(C11*30*(1+G11),0)</x:f>
        <x:v>414</x:v>
      </x:c>
      <x:c r="E11" s="47" t="n">
        <x:f>ROUND(C11*60*(1+G11),0)</x:f>
        <x:v>828</x:v>
      </x:c>
      <x:c r="F11" s="47" t="n">
        <x:f>ROUND(C11*90*(1+G11),0)</x:f>
        <x:v>1243</x:v>
      </x:c>
      <x:c r="G11" s="16" t="n">
        <x:v>0.102</x:v>
      </x:c>
      <x:c r="H11" s="58" t="n">
        <x:f>'Inventory_Snapshot'!H11</x:f>
        <x:v>137.36</x:v>
      </x:c>
      <x:c r="I11" s="44" t="n">
        <x:f>F11*H11</x:f>
        <x:v>170738.48</x:v>
      </x:c>
      <x:c r="J11" s="53" t="n">
        <x:f>MAX(0,F11+'Inventory_Snapshot'!M11-'Inventory_Snapshot'!F11-'Inventory_Snapshot'!G11)</x:f>
        <x:v>0</x:v>
      </x:c>
    </x:row>
    <x:row r="12">
      <x:c r="A12" s="56" t="str">
        <x:f>'Inventory_Snapshot'!A12</x:f>
        <x:v>SKU-0011</x:v>
      </x:c>
      <x:c r="B12" s="56" t="str">
        <x:f>'Inventory_Snapshot'!B12</x:f>
        <x:v>Foam Item 011</x:v>
      </x:c>
      <x:c r="C12" s="60" t="n">
        <x:f>'Inventory_Snapshot'!J12</x:f>
        <x:v>3.95</x:v>
      </x:c>
      <x:c r="D12" s="47" t="n">
        <x:f>ROUND(C12*30*(1+G12),0)</x:f>
        <x:v>106</x:v>
      </x:c>
      <x:c r="E12" s="47" t="n">
        <x:f>ROUND(C12*60*(1+G12),0)</x:f>
        <x:v>213</x:v>
      </x:c>
      <x:c r="F12" s="47" t="n">
        <x:f>ROUND(C12*90*(1+G12),0)</x:f>
        <x:v>319</x:v>
      </x:c>
      <x:c r="G12" s="16" t="n">
        <x:v>-0.102</x:v>
      </x:c>
      <x:c r="H12" s="58" t="n">
        <x:f>'Inventory_Snapshot'!H12</x:f>
        <x:v>244.6</x:v>
      </x:c>
      <x:c r="I12" s="44" t="n">
        <x:f>F12*H12</x:f>
        <x:v>78027.4</x:v>
      </x:c>
      <x:c r="J12" s="53" t="n">
        <x:f>MAX(0,F12+'Inventory_Snapshot'!M12-'Inventory_Snapshot'!F12-'Inventory_Snapshot'!G12)</x:f>
        <x:v>215</x:v>
      </x:c>
    </x:row>
    <x:row r="13">
      <x:c r="A13" s="56" t="str">
        <x:f>'Inventory_Snapshot'!A13</x:f>
        <x:v>SKU-0012</x:v>
      </x:c>
      <x:c r="B13" s="56" t="str">
        <x:f>'Inventory_Snapshot'!B13</x:f>
        <x:v>Accessories Item 012</x:v>
      </x:c>
      <x:c r="C13" s="60" t="n">
        <x:f>'Inventory_Snapshot'!J13</x:f>
        <x:v>5.97</x:v>
      </x:c>
      <x:c r="D13" s="47" t="n">
        <x:f>ROUND(C13*30*(1+G13),0)</x:f>
        <x:v>161</x:v>
      </x:c>
      <x:c r="E13" s="47" t="n">
        <x:f>ROUND(C13*60*(1+G13),0)</x:f>
        <x:v>322</x:v>
      </x:c>
      <x:c r="F13" s="47" t="n">
        <x:f>ROUND(C13*90*(1+G13),0)</x:f>
        <x:v>484</x:v>
      </x:c>
      <x:c r="G13" s="16" t="n">
        <x:v>-0.1</x:v>
      </x:c>
      <x:c r="H13" s="58" t="n">
        <x:f>'Inventory_Snapshot'!H13</x:f>
        <x:v>252.14</x:v>
      </x:c>
      <x:c r="I13" s="44" t="n">
        <x:f>F13*H13</x:f>
        <x:v>122035.76</x:v>
      </x:c>
      <x:c r="J13" s="53" t="n">
        <x:f>MAX(0,F13+'Inventory_Snapshot'!M13-'Inventory_Snapshot'!F13-'Inventory_Snapshot'!G13)</x:f>
        <x:v>246</x:v>
      </x:c>
    </x:row>
    <x:row r="14">
      <x:c r="A14" s="56" t="str">
        <x:f>'Inventory_Snapshot'!A14</x:f>
        <x:v>SKU-0013</x:v>
      </x:c>
      <x:c r="B14" s="56" t="str">
        <x:f>'Inventory_Snapshot'!B14</x:f>
        <x:v>Eyewear Item 013</x:v>
      </x:c>
      <x:c r="C14" s="60" t="n">
        <x:f>'Inventory_Snapshot'!J14</x:f>
        <x:v>2.53</x:v>
      </x:c>
      <x:c r="D14" s="47" t="n">
        <x:f>ROUND(C14*30*(1+G14),0)</x:f>
        <x:v>97</x:v>
      </x:c>
      <x:c r="E14" s="47" t="n">
        <x:f>ROUND(C14*60*(1+G14),0)</x:f>
        <x:v>194</x:v>
      </x:c>
      <x:c r="F14" s="47" t="n">
        <x:f>ROUND(C14*90*(1+G14),0)</x:f>
        <x:v>291</x:v>
      </x:c>
      <x:c r="G14" s="16" t="n">
        <x:v>0.277</x:v>
      </x:c>
      <x:c r="H14" s="58" t="n">
        <x:f>'Inventory_Snapshot'!H14</x:f>
        <x:v>22.2</x:v>
      </x:c>
      <x:c r="I14" s="44" t="n">
        <x:f>F14*H14</x:f>
        <x:v>6460.2</x:v>
      </x:c>
      <x:c r="J14" s="53" t="n">
        <x:f>MAX(0,F14+'Inventory_Snapshot'!M14-'Inventory_Snapshot'!F14-'Inventory_Snapshot'!G14)</x:f>
        <x:v>217</x:v>
      </x:c>
    </x:row>
    <x:row r="15">
      <x:c r="A15" s="56" t="str">
        <x:f>'Inventory_Snapshot'!A15</x:f>
        <x:v>SKU-0014</x:v>
      </x:c>
      <x:c r="B15" s="56" t="str">
        <x:f>'Inventory_Snapshot'!B15</x:f>
        <x:v>Tools Item 014</x:v>
      </x:c>
      <x:c r="C15" s="60" t="n">
        <x:f>'Inventory_Snapshot'!J15</x:f>
        <x:v>7.23</x:v>
      </x:c>
      <x:c r="D15" s="47" t="n">
        <x:f>ROUND(C15*30*(1+G15),0)</x:f>
        <x:v>220</x:v>
      </x:c>
      <x:c r="E15" s="47" t="n">
        <x:f>ROUND(C15*60*(1+G15),0)</x:f>
        <x:v>441</x:v>
      </x:c>
      <x:c r="F15" s="47" t="n">
        <x:f>ROUND(C15*90*(1+G15),0)</x:f>
        <x:v>661</x:v>
      </x:c>
      <x:c r="G15" s="16" t="n">
        <x:v>0.016</x:v>
      </x:c>
      <x:c r="H15" s="58" t="n">
        <x:f>'Inventory_Snapshot'!H15</x:f>
        <x:v>152.14</x:v>
      </x:c>
      <x:c r="I15" s="44" t="n">
        <x:f>F15*H15</x:f>
        <x:v>100564.54</x:v>
      </x:c>
      <x:c r="J15" s="53" t="n">
        <x:f>MAX(0,F15+'Inventory_Snapshot'!M15-'Inventory_Snapshot'!F15-'Inventory_Snapshot'!G15)</x:f>
        <x:v>289</x:v>
      </x:c>
    </x:row>
    <x:row r="16">
      <x:c r="A16" s="56" t="str">
        <x:f>'Inventory_Snapshot'!A16</x:f>
        <x:v>SKU-0015</x:v>
      </x:c>
      <x:c r="B16" s="56" t="str">
        <x:f>'Inventory_Snapshot'!B16</x:f>
        <x:v>Cartons Item 015</x:v>
      </x:c>
      <x:c r="C16" s="60" t="n">
        <x:f>'Inventory_Snapshot'!J16</x:f>
        <x:v>22.06</x:v>
      </x:c>
      <x:c r="D16" s="47" t="n">
        <x:f>ROUND(C16*30*(1+G16),0)</x:f>
        <x:v>645</x:v>
      </x:c>
      <x:c r="E16" s="47" t="n">
        <x:f>ROUND(C16*60*(1+G16),0)</x:f>
        <x:v>1291</x:v>
      </x:c>
      <x:c r="F16" s="47" t="n">
        <x:f>ROUND(C16*90*(1+G16),0)</x:f>
        <x:v>1936</x:v>
      </x:c>
      <x:c r="G16" s="16" t="n">
        <x:v>-0.025</x:v>
      </x:c>
      <x:c r="H16" s="58" t="n">
        <x:f>'Inventory_Snapshot'!H16</x:f>
        <x:v>185.37</x:v>
      </x:c>
      <x:c r="I16" s="44" t="n">
        <x:f>F16*H16</x:f>
        <x:v>358876.32</x:v>
      </x:c>
      <x:c r="J16" s="53" t="n">
        <x:f>MAX(0,F16+'Inventory_Snapshot'!M16-'Inventory_Snapshot'!F16-'Inventory_Snapshot'!G16)</x:f>
        <x:v>439</x:v>
      </x:c>
    </x:row>
    <x:row r="17">
      <x:c r="A17" s="56" t="str">
        <x:f>'Inventory_Snapshot'!A17</x:f>
        <x:v>SKU-0016</x:v>
      </x:c>
      <x:c r="B17" s="56" t="str">
        <x:f>'Inventory_Snapshot'!B17</x:f>
        <x:v>Sensors Item 016</x:v>
      </x:c>
      <x:c r="C17" s="60" t="n">
        <x:f>'Inventory_Snapshot'!J17</x:f>
        <x:v>3.86</x:v>
      </x:c>
      <x:c r="D17" s="47" t="n">
        <x:f>ROUND(C17*30*(1+G17),0)</x:f>
        <x:v>127</x:v>
      </x:c>
      <x:c r="E17" s="47" t="n">
        <x:f>ROUND(C17*60*(1+G17),0)</x:f>
        <x:v>253</x:v>
      </x:c>
      <x:c r="F17" s="47" t="n">
        <x:f>ROUND(C17*90*(1+G17),0)</x:f>
        <x:v>380</x:v>
      </x:c>
      <x:c r="G17" s="16" t="n">
        <x:v>0.094</x:v>
      </x:c>
      <x:c r="H17" s="58" t="n">
        <x:f>'Inventory_Snapshot'!H17</x:f>
        <x:v>204.58</x:v>
      </x:c>
      <x:c r="I17" s="44" t="n">
        <x:f>F17*H17</x:f>
        <x:v>77740.40000000001</x:v>
      </x:c>
      <x:c r="J17" s="53" t="n">
        <x:f>MAX(0,F17+'Inventory_Snapshot'!M17-'Inventory_Snapshot'!F17-'Inventory_Snapshot'!G17)</x:f>
        <x:v>242</x:v>
      </x:c>
    </x:row>
    <x:row r="18">
      <x:c r="A18" s="56" t="str">
        <x:f>'Inventory_Snapshot'!A18</x:f>
        <x:v>SKU-0017</x:v>
      </x:c>
      <x:c r="B18" s="56" t="str">
        <x:f>'Inventory_Snapshot'!B18</x:f>
        <x:v>Foam Item 017</x:v>
      </x:c>
      <x:c r="C18" s="60" t="n">
        <x:f>'Inventory_Snapshot'!J18</x:f>
        <x:v>5.06</x:v>
      </x:c>
      <x:c r="D18" s="47" t="n">
        <x:f>ROUND(C18*30*(1+G18),0)</x:f>
        <x:v>183</x:v>
      </x:c>
      <x:c r="E18" s="47" t="n">
        <x:f>ROUND(C18*60*(1+G18),0)</x:f>
        <x:v>365</x:v>
      </x:c>
      <x:c r="F18" s="47" t="n">
        <x:f>ROUND(C18*90*(1+G18),0)</x:f>
        <x:v>548</x:v>
      </x:c>
      <x:c r="G18" s="16" t="n">
        <x:v>0.203</x:v>
      </x:c>
      <x:c r="H18" s="58" t="n">
        <x:f>'Inventory_Snapshot'!H18</x:f>
        <x:v>71.82</x:v>
      </x:c>
      <x:c r="I18" s="44" t="n">
        <x:f>F18*H18</x:f>
        <x:v>39357.35999999999</x:v>
      </x:c>
      <x:c r="J18" s="53" t="n">
        <x:f>MAX(0,F18+'Inventory_Snapshot'!M18-'Inventory_Snapshot'!F18-'Inventory_Snapshot'!G18)</x:f>
        <x:v>409</x:v>
      </x:c>
    </x:row>
    <x:row r="19">
      <x:c r="A19" s="56" t="str">
        <x:f>'Inventory_Snapshot'!A19</x:f>
        <x:v>SKU-0018</x:v>
      </x:c>
      <x:c r="B19" s="56" t="str">
        <x:f>'Inventory_Snapshot'!B19</x:f>
        <x:v>Sensors Item 018</x:v>
      </x:c>
      <x:c r="C19" s="60" t="n">
        <x:f>'Inventory_Snapshot'!J19</x:f>
        <x:v>7.13</x:v>
      </x:c>
      <x:c r="D19" s="47" t="n">
        <x:f>ROUND(C19*30*(1+G19),0)</x:f>
        <x:v>240</x:v>
      </x:c>
      <x:c r="E19" s="47" t="n">
        <x:f>ROUND(C19*60*(1+G19),0)</x:f>
        <x:v>480</x:v>
      </x:c>
      <x:c r="F19" s="47" t="n">
        <x:f>ROUND(C19*90*(1+G19),0)</x:f>
        <x:v>720</x:v>
      </x:c>
      <x:c r="G19" s="16" t="n">
        <x:v>0.122</x:v>
      </x:c>
      <x:c r="H19" s="58" t="n">
        <x:f>'Inventory_Snapshot'!H19</x:f>
        <x:v>48.65</x:v>
      </x:c>
      <x:c r="I19" s="44" t="n">
        <x:f>F19*H19</x:f>
        <x:v>35028</x:v>
      </x:c>
      <x:c r="J19" s="53" t="n">
        <x:f>MAX(0,F19+'Inventory_Snapshot'!M19-'Inventory_Snapshot'!F19-'Inventory_Snapshot'!G19)</x:f>
        <x:v>674</x:v>
      </x:c>
    </x:row>
    <x:row r="20">
      <x:c r="A20" s="56" t="str">
        <x:f>'Inventory_Snapshot'!A20</x:f>
        <x:v>SKU-0019</x:v>
      </x:c>
      <x:c r="B20" s="56" t="str">
        <x:f>'Inventory_Snapshot'!B20</x:f>
        <x:v>Accessories Item 019</x:v>
      </x:c>
      <x:c r="C20" s="60" t="n">
        <x:f>'Inventory_Snapshot'!J20</x:f>
        <x:v>15.69</x:v>
      </x:c>
      <x:c r="D20" s="47" t="n">
        <x:f>ROUND(C20*30*(1+G20),0)</x:f>
        <x:v>455</x:v>
      </x:c>
      <x:c r="E20" s="47" t="n">
        <x:f>ROUND(C20*60*(1+G20),0)</x:f>
        <x:v>909</x:v>
      </x:c>
      <x:c r="F20" s="47" t="n">
        <x:f>ROUND(C20*90*(1+G20),0)</x:f>
        <x:v>1364</x:v>
      </x:c>
      <x:c r="G20" s="16" t="n">
        <x:v>-0.034</x:v>
      </x:c>
      <x:c r="H20" s="58" t="n">
        <x:f>'Inventory_Snapshot'!H20</x:f>
        <x:v>81.66</x:v>
      </x:c>
      <x:c r="I20" s="44" t="n">
        <x:f>F20*H20</x:f>
        <x:v>111384.23999999999</x:v>
      </x:c>
      <x:c r="J20" s="53" t="n">
        <x:f>MAX(0,F20+'Inventory_Snapshot'!M20-'Inventory_Snapshot'!F20-'Inventory_Snapshot'!G20)</x:f>
        <x:v>571</x:v>
      </x:c>
    </x:row>
    <x:row r="21">
      <x:c r="A21" s="56" t="str">
        <x:f>'Inventory_Snapshot'!A21</x:f>
        <x:v>SKU-0020</x:v>
      </x:c>
      <x:c r="B21" s="56" t="str">
        <x:f>'Inventory_Snapshot'!B21</x:f>
        <x:v>Bearings Item 020</x:v>
      </x:c>
      <x:c r="C21" s="60" t="n">
        <x:f>'Inventory_Snapshot'!J21</x:f>
        <x:v>11.51</x:v>
      </x:c>
      <x:c r="D21" s="47" t="n">
        <x:f>ROUND(C21*30*(1+G21),0)</x:f>
        <x:v>379</x:v>
      </x:c>
      <x:c r="E21" s="47" t="n">
        <x:f>ROUND(C21*60*(1+G21),0)</x:f>
        <x:v>759</x:v>
      </x:c>
      <x:c r="F21" s="47" t="n">
        <x:f>ROUND(C21*90*(1+G21),0)</x:f>
        <x:v>1138</x:v>
      </x:c>
      <x:c r="G21" s="16" t="n">
        <x:v>0.099</x:v>
      </x:c>
      <x:c r="H21" s="58" t="n">
        <x:f>'Inventory_Snapshot'!H21</x:f>
        <x:v>163.22</x:v>
      </x:c>
      <x:c r="I21" s="44" t="n">
        <x:f>F21*H21</x:f>
        <x:v>185744.36</x:v>
      </x:c>
      <x:c r="J21" s="53" t="n">
        <x:f>MAX(0,F21+'Inventory_Snapshot'!M21-'Inventory_Snapshot'!F21-'Inventory_Snapshot'!G21)</x:f>
        <x:v>588</x:v>
      </x:c>
    </x:row>
    <x:row r="22">
      <x:c r="A22" s="56" t="str">
        <x:f>'Inventory_Snapshot'!A22</x:f>
        <x:v>SKU-0021</x:v>
      </x:c>
      <x:c r="B22" s="56" t="str">
        <x:f>'Inventory_Snapshot'!B22</x:f>
        <x:v>Eyewear Item 021</x:v>
      </x:c>
      <x:c r="C22" s="60" t="n">
        <x:f>'Inventory_Snapshot'!J22</x:f>
        <x:v>11.81</x:v>
      </x:c>
      <x:c r="D22" s="47" t="n">
        <x:f>ROUND(C22*30*(1+G22),0)</x:f>
        <x:v>365</x:v>
      </x:c>
      <x:c r="E22" s="47" t="n">
        <x:f>ROUND(C22*60*(1+G22),0)</x:f>
        <x:v>730</x:v>
      </x:c>
      <x:c r="F22" s="47" t="n">
        <x:f>ROUND(C22*90*(1+G22),0)</x:f>
        <x:v>1095</x:v>
      </x:c>
      <x:c r="G22" s="16" t="n">
        <x:v>0.03</x:v>
      </x:c>
      <x:c r="H22" s="58" t="n">
        <x:f>'Inventory_Snapshot'!H22</x:f>
        <x:v>269.12</x:v>
      </x:c>
      <x:c r="I22" s="44" t="n">
        <x:f>F22*H22</x:f>
        <x:v>294686.4</x:v>
      </x:c>
      <x:c r="J22" s="53" t="n">
        <x:f>MAX(0,F22+'Inventory_Snapshot'!M22-'Inventory_Snapshot'!F22-'Inventory_Snapshot'!G22)</x:f>
        <x:v>516</x:v>
      </x:c>
    </x:row>
    <x:row r="23">
      <x:c r="A23" s="56" t="str">
        <x:f>'Inventory_Snapshot'!A23</x:f>
        <x:v>SKU-0022</x:v>
      </x:c>
      <x:c r="B23" s="56" t="str">
        <x:f>'Inventory_Snapshot'!B23</x:f>
        <x:v>Eyewear Item 022</x:v>
      </x:c>
      <x:c r="C23" s="60" t="n">
        <x:f>'Inventory_Snapshot'!J23</x:f>
        <x:v>3.6</x:v>
      </x:c>
      <x:c r="D23" s="47" t="n">
        <x:f>ROUND(C23*30*(1+G23),0)</x:f>
        <x:v>136</x:v>
      </x:c>
      <x:c r="E23" s="47" t="n">
        <x:f>ROUND(C23*60*(1+G23),0)</x:f>
        <x:v>272</x:v>
      </x:c>
      <x:c r="F23" s="47" t="n">
        <x:f>ROUND(C23*90*(1+G23),0)</x:f>
        <x:v>407</x:v>
      </x:c>
      <x:c r="G23" s="16" t="n">
        <x:v>0.257</x:v>
      </x:c>
      <x:c r="H23" s="58" t="n">
        <x:f>'Inventory_Snapshot'!H23</x:f>
        <x:v>167.48</x:v>
      </x:c>
      <x:c r="I23" s="44" t="n">
        <x:f>F23*H23</x:f>
        <x:v>68164.36</x:v>
      </x:c>
      <x:c r="J23" s="53" t="n">
        <x:f>MAX(0,F23+'Inventory_Snapshot'!M23-'Inventory_Snapshot'!F23-'Inventory_Snapshot'!G23)</x:f>
        <x:v>155</x:v>
      </x:c>
    </x:row>
    <x:row r="24">
      <x:c r="A24" s="56" t="str">
        <x:f>'Inventory_Snapshot'!A24</x:f>
        <x:v>SKU-0023</x:v>
      </x:c>
      <x:c r="B24" s="56" t="str">
        <x:f>'Inventory_Snapshot'!B24</x:f>
        <x:v>Foam Item 023</x:v>
      </x:c>
      <x:c r="C24" s="60" t="n">
        <x:f>'Inventory_Snapshot'!J24</x:f>
        <x:v>9.91</x:v>
      </x:c>
      <x:c r="D24" s="47" t="n">
        <x:f>ROUND(C24*30*(1+G24),0)</x:f>
        <x:v>322</x:v>
      </x:c>
      <x:c r="E24" s="47" t="n">
        <x:f>ROUND(C24*60*(1+G24),0)</x:f>
        <x:v>644</x:v>
      </x:c>
      <x:c r="F24" s="47" t="n">
        <x:f>ROUND(C24*90*(1+G24),0)</x:f>
        <x:v>966</x:v>
      </x:c>
      <x:c r="G24" s="16" t="n">
        <x:v>0.083</x:v>
      </x:c>
      <x:c r="H24" s="58" t="n">
        <x:f>'Inventory_Snapshot'!H24</x:f>
        <x:v>76.21</x:v>
      </x:c>
      <x:c r="I24" s="44" t="n">
        <x:f>F24*H24</x:f>
        <x:v>73618.86</x:v>
      </x:c>
      <x:c r="J24" s="53" t="n">
        <x:f>MAX(0,F24+'Inventory_Snapshot'!M24-'Inventory_Snapshot'!F24-'Inventory_Snapshot'!G24)</x:f>
        <x:v>29</x:v>
      </x:c>
    </x:row>
    <x:row r="25">
      <x:c r="A25" s="56" t="str">
        <x:f>'Inventory_Snapshot'!A25</x:f>
        <x:v>SKU-0024</x:v>
      </x:c>
      <x:c r="B25" s="56" t="str">
        <x:f>'Inventory_Snapshot'!B25</x:f>
        <x:v>Gloves Item 024</x:v>
      </x:c>
      <x:c r="C25" s="60" t="n">
        <x:f>'Inventory_Snapshot'!J25</x:f>
        <x:v>4.48</x:v>
      </x:c>
      <x:c r="D25" s="47" t="n">
        <x:f>ROUND(C25*30*(1+G25),0)</x:f>
        <x:v>150</x:v>
      </x:c>
      <x:c r="E25" s="47" t="n">
        <x:f>ROUND(C25*60*(1+G25),0)</x:f>
        <x:v>299</x:v>
      </x:c>
      <x:c r="F25" s="47" t="n">
        <x:f>ROUND(C25*90*(1+G25),0)</x:f>
        <x:v>449</x:v>
      </x:c>
      <x:c r="G25" s="16" t="n">
        <x:v>0.113</x:v>
      </x:c>
      <x:c r="H25" s="58" t="n">
        <x:f>'Inventory_Snapshot'!H25</x:f>
        <x:v>151.69</x:v>
      </x:c>
      <x:c r="I25" s="44" t="n">
        <x:f>F25*H25</x:f>
        <x:v>68108.81</x:v>
      </x:c>
      <x:c r="J25" s="53" t="n">
        <x:f>MAX(0,F25+'Inventory_Snapshot'!M25-'Inventory_Snapshot'!F25-'Inventory_Snapshot'!G25)</x:f>
        <x:v>366</x:v>
      </x:c>
    </x:row>
    <x:row r="26">
      <x:c r="A26" s="56" t="str">
        <x:f>'Inventory_Snapshot'!A26</x:f>
        <x:v>SKU-0025</x:v>
      </x:c>
      <x:c r="B26" s="56" t="str">
        <x:f>'Inventory_Snapshot'!B26</x:f>
        <x:v>Accessories Item 025</x:v>
      </x:c>
      <x:c r="C26" s="60" t="n">
        <x:f>'Inventory_Snapshot'!J26</x:f>
        <x:v>2.07</x:v>
      </x:c>
      <x:c r="D26" s="47" t="n">
        <x:f>ROUND(C26*30*(1+G26),0)</x:f>
        <x:v>77</x:v>
      </x:c>
      <x:c r="E26" s="47" t="n">
        <x:f>ROUND(C26*60*(1+G26),0)</x:f>
        <x:v>154</x:v>
      </x:c>
      <x:c r="F26" s="47" t="n">
        <x:f>ROUND(C26*90*(1+G26),0)</x:f>
        <x:v>231</x:v>
      </x:c>
      <x:c r="G26" s="16" t="n">
        <x:v>0.24</x:v>
      </x:c>
      <x:c r="H26" s="58" t="n">
        <x:f>'Inventory_Snapshot'!H26</x:f>
        <x:v>275.52</x:v>
      </x:c>
      <x:c r="I26" s="44" t="n">
        <x:f>F26*H26</x:f>
        <x:v>63645.119999999995</x:v>
      </x:c>
      <x:c r="J26" s="53" t="n">
        <x:f>MAX(0,F26+'Inventory_Snapshot'!M26-'Inventory_Snapshot'!F26-'Inventory_Snapshot'!G26)</x:f>
        <x:v>206</x:v>
      </x:c>
    </x:row>
    <x:row r="27">
      <x:c r="A27" s="56" t="str">
        <x:f>'Inventory_Snapshot'!A27</x:f>
        <x:v>SKU-0026</x:v>
      </x:c>
      <x:c r="B27" s="56" t="str">
        <x:f>'Inventory_Snapshot'!B27</x:f>
        <x:v>Foam Item 026</x:v>
      </x:c>
      <x:c r="C27" s="60" t="n">
        <x:f>'Inventory_Snapshot'!J27</x:f>
        <x:v>11.27</x:v>
      </x:c>
      <x:c r="D27" s="47" t="n">
        <x:f>ROUND(C27*30*(1+G27),0)</x:f>
        <x:v>406</x:v>
      </x:c>
      <x:c r="E27" s="47" t="n">
        <x:f>ROUND(C27*60*(1+G27),0)</x:f>
        <x:v>812</x:v>
      </x:c>
      <x:c r="F27" s="47" t="n">
        <x:f>ROUND(C27*90*(1+G27),0)</x:f>
        <x:v>1218</x:v>
      </x:c>
      <x:c r="G27" s="16" t="n">
        <x:v>0.201</x:v>
      </x:c>
      <x:c r="H27" s="58" t="n">
        <x:f>'Inventory_Snapshot'!H27</x:f>
        <x:v>249.4</x:v>
      </x:c>
      <x:c r="I27" s="44" t="n">
        <x:f>F27*H27</x:f>
        <x:v>303769.2</x:v>
      </x:c>
      <x:c r="J27" s="53" t="n">
        <x:f>MAX(0,F27+'Inventory_Snapshot'!M27-'Inventory_Snapshot'!F27-'Inventory_Snapshot'!G27)</x:f>
        <x:v>420</x:v>
      </x:c>
    </x:row>
    <x:row r="28">
      <x:c r="A28" s="56" t="str">
        <x:f>'Inventory_Snapshot'!A28</x:f>
        <x:v>SKU-0027</x:v>
      </x:c>
      <x:c r="B28" s="56" t="str">
        <x:f>'Inventory_Snapshot'!B28</x:f>
        <x:v>Cleaning Item 027</x:v>
      </x:c>
      <x:c r="C28" s="60" t="n">
        <x:f>'Inventory_Snapshot'!J28</x:f>
        <x:v>8.06</x:v>
      </x:c>
      <x:c r="D28" s="47" t="n">
        <x:f>ROUND(C28*30*(1+G28),0)</x:f>
        <x:v>239</x:v>
      </x:c>
      <x:c r="E28" s="47" t="n">
        <x:f>ROUND(C28*60*(1+G28),0)</x:f>
        <x:v>479</x:v>
      </x:c>
      <x:c r="F28" s="47" t="n">
        <x:f>ROUND(C28*90*(1+G28),0)</x:f>
        <x:v>718</x:v>
      </x:c>
      <x:c r="G28" s="16" t="n">
        <x:v>-0.01</x:v>
      </x:c>
      <x:c r="H28" s="58" t="n">
        <x:f>'Inventory_Snapshot'!H28</x:f>
        <x:v>138.07</x:v>
      </x:c>
      <x:c r="I28" s="44" t="n">
        <x:f>F28*H28</x:f>
        <x:v>99134.26</x:v>
      </x:c>
      <x:c r="J28" s="53" t="n">
        <x:f>MAX(0,F28+'Inventory_Snapshot'!M28-'Inventory_Snapshot'!F28-'Inventory_Snapshot'!G28)</x:f>
        <x:v>438</x:v>
      </x:c>
    </x:row>
    <x:row r="29">
      <x:c r="A29" s="56" t="str">
        <x:f>'Inventory_Snapshot'!A29</x:f>
        <x:v>SKU-0028</x:v>
      </x:c>
      <x:c r="B29" s="56" t="str">
        <x:f>'Inventory_Snapshot'!B29</x:f>
        <x:v>Bearings Item 028</x:v>
      </x:c>
      <x:c r="C29" s="60" t="n">
        <x:f>'Inventory_Snapshot'!J29</x:f>
        <x:v>7.25</x:v>
      </x:c>
      <x:c r="D29" s="47" t="n">
        <x:f>ROUND(C29*30*(1+G29),0)</x:f>
        <x:v>275</x:v>
      </x:c>
      <x:c r="E29" s="47" t="n">
        <x:f>ROUND(C29*60*(1+G29),0)</x:f>
        <x:v>550</x:v>
      </x:c>
      <x:c r="F29" s="47" t="n">
        <x:f>ROUND(C29*90*(1+G29),0)</x:f>
        <x:v>825</x:v>
      </x:c>
      <x:c r="G29" s="16" t="n">
        <x:v>0.265</x:v>
      </x:c>
      <x:c r="H29" s="58" t="n">
        <x:f>'Inventory_Snapshot'!H29</x:f>
        <x:v>274.39</x:v>
      </x:c>
      <x:c r="I29" s="44" t="n">
        <x:f>F29*H29</x:f>
        <x:v>226371.75</x:v>
      </x:c>
      <x:c r="J29" s="53" t="n">
        <x:f>MAX(0,F29+'Inventory_Snapshot'!M29-'Inventory_Snapshot'!F29-'Inventory_Snapshot'!G29)</x:f>
        <x:v>773</x:v>
      </x:c>
    </x:row>
    <x:row r="30">
      <x:c r="A30" s="56" t="str">
        <x:f>'Inventory_Snapshot'!A30</x:f>
        <x:v>SKU-0029</x:v>
      </x:c>
      <x:c r="B30" s="56" t="str">
        <x:f>'Inventory_Snapshot'!B30</x:f>
        <x:v>Filters Item 029</x:v>
      </x:c>
      <x:c r="C30" s="60" t="n">
        <x:f>'Inventory_Snapshot'!J30</x:f>
        <x:v>15.03</x:v>
      </x:c>
      <x:c r="D30" s="47" t="n">
        <x:f>ROUND(C30*30*(1+G30),0)</x:f>
        <x:v>453</x:v>
      </x:c>
      <x:c r="E30" s="47" t="n">
        <x:f>ROUND(C30*60*(1+G30),0)</x:f>
        <x:v>905</x:v>
      </x:c>
      <x:c r="F30" s="47" t="n">
        <x:f>ROUND(C30*90*(1+G30),0)</x:f>
        <x:v>1358</x:v>
      </x:c>
      <x:c r="G30" s="16" t="n">
        <x:v>0.004</x:v>
      </x:c>
      <x:c r="H30" s="58" t="n">
        <x:f>'Inventory_Snapshot'!H30</x:f>
        <x:v>12.5</x:v>
      </x:c>
      <x:c r="I30" s="44" t="n">
        <x:f>F30*H30</x:f>
        <x:v>16975</x:v>
      </x:c>
      <x:c r="J30" s="53" t="n">
        <x:f>MAX(0,F30+'Inventory_Snapshot'!M30-'Inventory_Snapshot'!F30-'Inventory_Snapshot'!G30)</x:f>
        <x:v>0</x:v>
      </x:c>
    </x:row>
    <x:row r="31">
      <x:c r="A31" s="56" t="str">
        <x:f>'Inventory_Snapshot'!A31</x:f>
        <x:v>SKU-0030</x:v>
      </x:c>
      <x:c r="B31" s="56" t="str">
        <x:f>'Inventory_Snapshot'!B31</x:f>
        <x:v>Power Item 030</x:v>
      </x:c>
      <x:c r="C31" s="60" t="n">
        <x:f>'Inventory_Snapshot'!J31</x:f>
        <x:v>3.73</x:v>
      </x:c>
      <x:c r="D31" s="47" t="n">
        <x:f>ROUND(C31*30*(1+G31),0)</x:f>
        <x:v>101</x:v>
      </x:c>
      <x:c r="E31" s="47" t="n">
        <x:f>ROUND(C31*60*(1+G31),0)</x:f>
        <x:v>202</x:v>
      </x:c>
      <x:c r="F31" s="47" t="n">
        <x:f>ROUND(C31*90*(1+G31),0)</x:f>
        <x:v>302</x:v>
      </x:c>
      <x:c r="G31" s="16" t="n">
        <x:v>-0.099</x:v>
      </x:c>
      <x:c r="H31" s="58" t="n">
        <x:f>'Inventory_Snapshot'!H31</x:f>
        <x:v>191.77</x:v>
      </x:c>
      <x:c r="I31" s="44" t="n">
        <x:f>F31*H31</x:f>
        <x:v>57914.54</x:v>
      </x:c>
      <x:c r="J31" s="53" t="n">
        <x:f>MAX(0,F31+'Inventory_Snapshot'!M31-'Inventory_Snapshot'!F31-'Inventory_Snapshot'!G31)</x:f>
        <x:v>0</x:v>
      </x:c>
    </x:row>
    <x:row r="32">
      <x:c r="A32" s="56" t="str">
        <x:f>'Inventory_Snapshot'!A32</x:f>
        <x:v>SKU-0031</x:v>
      </x:c>
      <x:c r="B32" s="56" t="str">
        <x:f>'Inventory_Snapshot'!B32</x:f>
        <x:v>Labels Item 031</x:v>
      </x:c>
      <x:c r="C32" s="60" t="n">
        <x:f>'Inventory_Snapshot'!J32</x:f>
        <x:v>4.89</x:v>
      </x:c>
      <x:c r="D32" s="47" t="n">
        <x:f>ROUND(C32*30*(1+G32),0)</x:f>
        <x:v>135</x:v>
      </x:c>
      <x:c r="E32" s="47" t="n">
        <x:f>ROUND(C32*60*(1+G32),0)</x:f>
        <x:v>269</x:v>
      </x:c>
      <x:c r="F32" s="47" t="n">
        <x:f>ROUND(C32*90*(1+G32),0)</x:f>
        <x:v>404</x:v>
      </x:c>
      <x:c r="G32" s="16" t="n">
        <x:v>-0.082</x:v>
      </x:c>
      <x:c r="H32" s="58" t="n">
        <x:f>'Inventory_Snapshot'!H32</x:f>
        <x:v>247.09</x:v>
      </x:c>
      <x:c r="I32" s="44" t="n">
        <x:f>F32*H32</x:f>
        <x:v>99824.36</x:v>
      </x:c>
      <x:c r="J32" s="53" t="n">
        <x:f>MAX(0,F32+'Inventory_Snapshot'!M32-'Inventory_Snapshot'!F32-'Inventory_Snapshot'!G32)</x:f>
        <x:v>154</x:v>
      </x:c>
    </x:row>
    <x:row r="33">
      <x:c r="A33" s="56" t="str">
        <x:f>'Inventory_Snapshot'!A33</x:f>
        <x:v>SKU-0032</x:v>
      </x:c>
      <x:c r="B33" s="56" t="str">
        <x:f>'Inventory_Snapshot'!B33</x:f>
        <x:v>Foam Item 032</x:v>
      </x:c>
      <x:c r="C33" s="60" t="n">
        <x:f>'Inventory_Snapshot'!J33</x:f>
        <x:v>4.47</x:v>
      </x:c>
      <x:c r="D33" s="47" t="n">
        <x:f>ROUND(C33*30*(1+G33),0)</x:f>
        <x:v>146</x:v>
      </x:c>
      <x:c r="E33" s="47" t="n">
        <x:f>ROUND(C33*60*(1+G33),0)</x:f>
        <x:v>291</x:v>
      </x:c>
      <x:c r="F33" s="47" t="n">
        <x:f>ROUND(C33*90*(1+G33),0)</x:f>
        <x:v>437</x:v>
      </x:c>
      <x:c r="G33" s="16" t="n">
        <x:v>0.086</x:v>
      </x:c>
      <x:c r="H33" s="58" t="n">
        <x:f>'Inventory_Snapshot'!H33</x:f>
        <x:v>221</x:v>
      </x:c>
      <x:c r="I33" s="44" t="n">
        <x:f>F33*H33</x:f>
        <x:v>96577</x:v>
      </x:c>
      <x:c r="J33" s="53" t="n">
        <x:f>MAX(0,F33+'Inventory_Snapshot'!M33-'Inventory_Snapshot'!F33-'Inventory_Snapshot'!G33)</x:f>
        <x:v>310</x:v>
      </x:c>
    </x:row>
    <x:row r="34">
      <x:c r="A34" s="56" t="str">
        <x:f>'Inventory_Snapshot'!A34</x:f>
        <x:v>SKU-0033</x:v>
      </x:c>
      <x:c r="B34" s="56" t="str">
        <x:f>'Inventory_Snapshot'!B34</x:f>
        <x:v>Labels Item 033</x:v>
      </x:c>
      <x:c r="C34" s="60" t="n">
        <x:f>'Inventory_Snapshot'!J34</x:f>
        <x:v>3.74</x:v>
      </x:c>
      <x:c r="D34" s="47" t="n">
        <x:f>ROUND(C34*30*(1+G34),0)</x:f>
        <x:v>106</x:v>
      </x:c>
      <x:c r="E34" s="47" t="n">
        <x:f>ROUND(C34*60*(1+G34),0)</x:f>
        <x:v>213</x:v>
      </x:c>
      <x:c r="F34" s="47" t="n">
        <x:f>ROUND(C34*90*(1+G34),0)</x:f>
        <x:v>319</x:v>
      </x:c>
      <x:c r="G34" s="16" t="n">
        <x:v>-0.053</x:v>
      </x:c>
      <x:c r="H34" s="58" t="n">
        <x:f>'Inventory_Snapshot'!H34</x:f>
        <x:v>185.66</x:v>
      </x:c>
      <x:c r="I34" s="44" t="n">
        <x:f>F34*H34</x:f>
        <x:v>59225.54</x:v>
      </x:c>
      <x:c r="J34" s="53" t="n">
        <x:f>MAX(0,F34+'Inventory_Snapshot'!M34-'Inventory_Snapshot'!F34-'Inventory_Snapshot'!G34)</x:f>
        <x:v>190</x:v>
      </x:c>
    </x:row>
    <x:row r="35">
      <x:c r="A35" s="56" t="str">
        <x:f>'Inventory_Snapshot'!A35</x:f>
        <x:v>SKU-0034</x:v>
      </x:c>
      <x:c r="B35" s="56" t="str">
        <x:f>'Inventory_Snapshot'!B35</x:f>
        <x:v>Cleaning Item 034</x:v>
      </x:c>
      <x:c r="C35" s="60" t="n">
        <x:f>'Inventory_Snapshot'!J35</x:f>
        <x:v>12.25</x:v>
      </x:c>
      <x:c r="D35" s="47" t="n">
        <x:f>ROUND(C35*30*(1+G35),0)</x:f>
        <x:v>434</x:v>
      </x:c>
      <x:c r="E35" s="47" t="n">
        <x:f>ROUND(C35*60*(1+G35),0)</x:f>
        <x:v>869</x:v>
      </x:c>
      <x:c r="F35" s="47" t="n">
        <x:f>ROUND(C35*90*(1+G35),0)</x:f>
        <x:v>1303</x:v>
      </x:c>
      <x:c r="G35" s="16" t="n">
        <x:v>0.182</x:v>
      </x:c>
      <x:c r="H35" s="58" t="n">
        <x:f>'Inventory_Snapshot'!H35</x:f>
        <x:v>34.51</x:v>
      </x:c>
      <x:c r="I35" s="44" t="n">
        <x:f>F35*H35</x:f>
        <x:v>44966.53</x:v>
      </x:c>
      <x:c r="J35" s="53" t="n">
        <x:f>MAX(0,F35+'Inventory_Snapshot'!M35-'Inventory_Snapshot'!F35-'Inventory_Snapshot'!G35)</x:f>
        <x:v>607</x:v>
      </x:c>
    </x:row>
    <x:row r="36">
      <x:c r="A36" s="56" t="str">
        <x:f>'Inventory_Snapshot'!A36</x:f>
        <x:v>SKU-0035</x:v>
      </x:c>
      <x:c r="B36" s="56" t="str">
        <x:f>'Inventory_Snapshot'!B36</x:f>
        <x:v>Cleaning Item 035</x:v>
      </x:c>
      <x:c r="C36" s="60" t="n">
        <x:f>'Inventory_Snapshot'!J36</x:f>
        <x:v>7.78</x:v>
      </x:c>
      <x:c r="D36" s="47" t="n">
        <x:f>ROUND(C36*30*(1+G36),0)</x:f>
        <x:v>221</x:v>
      </x:c>
      <x:c r="E36" s="47" t="n">
        <x:f>ROUND(C36*60*(1+G36),0)</x:f>
        <x:v>441</x:v>
      </x:c>
      <x:c r="F36" s="47" t="n">
        <x:f>ROUND(C36*90*(1+G36),0)</x:f>
        <x:v>662</x:v>
      </x:c>
      <x:c r="G36" s="16" t="n">
        <x:v>-0.055</x:v>
      </x:c>
      <x:c r="H36" s="58" t="n">
        <x:f>'Inventory_Snapshot'!H36</x:f>
        <x:v>170.72</x:v>
      </x:c>
      <x:c r="I36" s="44" t="n">
        <x:f>F36*H36</x:f>
        <x:v>113016.64</x:v>
      </x:c>
      <x:c r="J36" s="53" t="n">
        <x:f>MAX(0,F36+'Inventory_Snapshot'!M36-'Inventory_Snapshot'!F36-'Inventory_Snapshot'!G36)</x:f>
        <x:v>237</x:v>
      </x:c>
    </x:row>
    <x:row r="37">
      <x:c r="A37" s="56" t="str">
        <x:f>'Inventory_Snapshot'!A37</x:f>
        <x:v>SKU-0036</x:v>
      </x:c>
      <x:c r="B37" s="56" t="str">
        <x:f>'Inventory_Snapshot'!B37</x:f>
        <x:v>Cables Item 036</x:v>
      </x:c>
      <x:c r="C37" s="60" t="n">
        <x:f>'Inventory_Snapshot'!J37</x:f>
        <x:v>6.75</x:v>
      </x:c>
      <x:c r="D37" s="47" t="n">
        <x:f>ROUND(C37*30*(1+G37),0)</x:f>
        <x:v>183</x:v>
      </x:c>
      <x:c r="E37" s="47" t="n">
        <x:f>ROUND(C37*60*(1+G37),0)</x:f>
        <x:v>365</x:v>
      </x:c>
      <x:c r="F37" s="47" t="n">
        <x:f>ROUND(C37*90*(1+G37),0)</x:f>
        <x:v>548</x:v>
      </x:c>
      <x:c r="G37" s="16" t="n">
        <x:v>-0.098</x:v>
      </x:c>
      <x:c r="H37" s="58" t="n">
        <x:f>'Inventory_Snapshot'!H37</x:f>
        <x:v>122.19</x:v>
      </x:c>
      <x:c r="I37" s="44" t="n">
        <x:f>F37*H37</x:f>
        <x:v>66960.12</x:v>
      </x:c>
      <x:c r="J37" s="53" t="n">
        <x:f>MAX(0,F37+'Inventory_Snapshot'!M37-'Inventory_Snapshot'!F37-'Inventory_Snapshot'!G37)</x:f>
        <x:v>285</x:v>
      </x:c>
    </x:row>
    <x:row r="38">
      <x:c r="A38" s="56" t="str">
        <x:f>'Inventory_Snapshot'!A38</x:f>
        <x:v>SKU-0037</x:v>
      </x:c>
      <x:c r="B38" s="56" t="str">
        <x:f>'Inventory_Snapshot'!B38</x:f>
        <x:v>Gears Item 037</x:v>
      </x:c>
      <x:c r="C38" s="60" t="n">
        <x:f>'Inventory_Snapshot'!J38</x:f>
        <x:v>3.39</x:v>
      </x:c>
      <x:c r="D38" s="47" t="n">
        <x:f>ROUND(C38*30*(1+G38),0)</x:f>
        <x:v>112</x:v>
      </x:c>
      <x:c r="E38" s="47" t="n">
        <x:f>ROUND(C38*60*(1+G38),0)</x:f>
        <x:v>224</x:v>
      </x:c>
      <x:c r="F38" s="47" t="n">
        <x:f>ROUND(C38*90*(1+G38),0)</x:f>
        <x:v>336</x:v>
      </x:c>
      <x:c r="G38" s="16" t="n">
        <x:v>0.1</x:v>
      </x:c>
      <x:c r="H38" s="58" t="n">
        <x:f>'Inventory_Snapshot'!H38</x:f>
        <x:v>115.83</x:v>
      </x:c>
      <x:c r="I38" s="44" t="n">
        <x:f>F38*H38</x:f>
        <x:v>38918.88</x:v>
      </x:c>
      <x:c r="J38" s="53" t="n">
        <x:f>MAX(0,F38+'Inventory_Snapshot'!M38-'Inventory_Snapshot'!F38-'Inventory_Snapshot'!G38)</x:f>
        <x:v>121</x:v>
      </x:c>
    </x:row>
    <x:row r="39">
      <x:c r="A39" s="56" t="str">
        <x:f>'Inventory_Snapshot'!A39</x:f>
        <x:v>SKU-0038</x:v>
      </x:c>
      <x:c r="B39" s="56" t="str">
        <x:f>'Inventory_Snapshot'!B39</x:f>
        <x:v>Filters Item 038</x:v>
      </x:c>
      <x:c r="C39" s="60" t="n">
        <x:f>'Inventory_Snapshot'!J39</x:f>
        <x:v>5.89</x:v>
      </x:c>
      <x:c r="D39" s="47" t="n">
        <x:f>ROUND(C39*30*(1+G39),0)</x:f>
        <x:v>199</x:v>
      </x:c>
      <x:c r="E39" s="47" t="n">
        <x:f>ROUND(C39*60*(1+G39),0)</x:f>
        <x:v>398</x:v>
      </x:c>
      <x:c r="F39" s="47" t="n">
        <x:f>ROUND(C39*90*(1+G39),0)</x:f>
        <x:v>597</x:v>
      </x:c>
      <x:c r="G39" s="16" t="n">
        <x:v>0.126</x:v>
      </x:c>
      <x:c r="H39" s="58" t="n">
        <x:f>'Inventory_Snapshot'!H39</x:f>
        <x:v>160.43</x:v>
      </x:c>
      <x:c r="I39" s="44" t="n">
        <x:f>F39*H39</x:f>
        <x:v>95776.71</x:v>
      </x:c>
      <x:c r="J39" s="53" t="n">
        <x:f>MAX(0,F39+'Inventory_Snapshot'!M39-'Inventory_Snapshot'!F39-'Inventory_Snapshot'!G39)</x:f>
        <x:v>97</x:v>
      </x:c>
    </x:row>
    <x:row r="40">
      <x:c r="A40" s="56" t="str">
        <x:f>'Inventory_Snapshot'!A40</x:f>
        <x:v>SKU-0039</x:v>
      </x:c>
      <x:c r="B40" s="56" t="str">
        <x:f>'Inventory_Snapshot'!B40</x:f>
        <x:v>First Aid Item 039</x:v>
      </x:c>
      <x:c r="C40" s="60" t="n">
        <x:f>'Inventory_Snapshot'!J40</x:f>
        <x:v>6.16</x:v>
      </x:c>
      <x:c r="D40" s="47" t="n">
        <x:f>ROUND(C40*30*(1+G40),0)</x:f>
        <x:v>202</x:v>
      </x:c>
      <x:c r="E40" s="47" t="n">
        <x:f>ROUND(C40*60*(1+G40),0)</x:f>
        <x:v>405</x:v>
      </x:c>
      <x:c r="F40" s="47" t="n">
        <x:f>ROUND(C40*90*(1+G40),0)</x:f>
        <x:v>607</x:v>
      </x:c>
      <x:c r="G40" s="16" t="n">
        <x:v>0.095</x:v>
      </x:c>
      <x:c r="H40" s="58" t="n">
        <x:f>'Inventory_Snapshot'!H40</x:f>
        <x:v>125.1</x:v>
      </x:c>
      <x:c r="I40" s="44" t="n">
        <x:f>F40*H40</x:f>
        <x:v>75935.7</x:v>
      </x:c>
      <x:c r="J40" s="53" t="n">
        <x:f>MAX(0,F40+'Inventory_Snapshot'!M40-'Inventory_Snapshot'!F40-'Inventory_Snapshot'!G40)</x:f>
        <x:v>566</x:v>
      </x:c>
    </x:row>
    <x:row r="41">
      <x:c r="A41" s="56" t="str">
        <x:f>'Inventory_Snapshot'!A41</x:f>
        <x:v>SKU-0040</x:v>
      </x:c>
      <x:c r="B41" s="56" t="str">
        <x:f>'Inventory_Snapshot'!B41</x:f>
        <x:v>Cleaning Item 040</x:v>
      </x:c>
      <x:c r="C41" s="60" t="n">
        <x:f>'Inventory_Snapshot'!J41</x:f>
        <x:v>2.72</x:v>
      </x:c>
      <x:c r="D41" s="47" t="n">
        <x:f>ROUND(C41*30*(1+G41),0)</x:f>
        <x:v>92</x:v>
      </x:c>
      <x:c r="E41" s="47" t="n">
        <x:f>ROUND(C41*60*(1+G41),0)</x:f>
        <x:v>184</x:v>
      </x:c>
      <x:c r="F41" s="47" t="n">
        <x:f>ROUND(C41*90*(1+G41),0)</x:f>
        <x:v>277</x:v>
      </x:c>
      <x:c r="G41" s="16" t="n">
        <x:v>0.13</x:v>
      </x:c>
      <x:c r="H41" s="58" t="n">
        <x:f>'Inventory_Snapshot'!H41</x:f>
        <x:v>229.61</x:v>
      </x:c>
      <x:c r="I41" s="44" t="n">
        <x:f>F41*H41</x:f>
        <x:v>63601.97</x:v>
      </x:c>
      <x:c r="J41" s="53" t="n">
        <x:f>MAX(0,F41+'Inventory_Snapshot'!M41-'Inventory_Snapshot'!F41-'Inventory_Snapshot'!G41)</x:f>
        <x:v>106</x:v>
      </x:c>
    </x:row>
    <x:row r="42">
      <x:c r="A42" s="56" t="str">
        <x:f>'Inventory_Snapshot'!A42</x:f>
        <x:v>SKU-0041</x:v>
      </x:c>
      <x:c r="B42" s="56" t="str">
        <x:f>'Inventory_Snapshot'!B42</x:f>
        <x:v>Paper Item 041</x:v>
      </x:c>
      <x:c r="C42" s="60" t="n">
        <x:f>'Inventory_Snapshot'!J42</x:f>
        <x:v>12.36</x:v>
      </x:c>
      <x:c r="D42" s="47" t="n">
        <x:f>ROUND(C42*30*(1+G42),0)</x:f>
        <x:v>451</x:v>
      </x:c>
      <x:c r="E42" s="47" t="n">
        <x:f>ROUND(C42*60*(1+G42),0)</x:f>
        <x:v>901</x:v>
      </x:c>
      <x:c r="F42" s="47" t="n">
        <x:f>ROUND(C42*90*(1+G42),0)</x:f>
        <x:v>1352</x:v>
      </x:c>
      <x:c r="G42" s="16" t="n">
        <x:v>0.215</x:v>
      </x:c>
      <x:c r="H42" s="58" t="n">
        <x:f>'Inventory_Snapshot'!H42</x:f>
        <x:v>117.51</x:v>
      </x:c>
      <x:c r="I42" s="44" t="n">
        <x:f>F42*H42</x:f>
        <x:v>158873.52000000002</x:v>
      </x:c>
      <x:c r="J42" s="53" t="n">
        <x:f>MAX(0,F42+'Inventory_Snapshot'!M42-'Inventory_Snapshot'!F42-'Inventory_Snapshot'!G42)</x:f>
        <x:v>1069</x:v>
      </x:c>
    </x:row>
    <x:row r="43">
      <x:c r="A43" s="56" t="str">
        <x:f>'Inventory_Snapshot'!A43</x:f>
        <x:v>SKU-0042</x:v>
      </x:c>
      <x:c r="B43" s="56" t="str">
        <x:f>'Inventory_Snapshot'!B43</x:f>
        <x:v>Lubricants Item 042</x:v>
      </x:c>
      <x:c r="C43" s="60" t="n">
        <x:f>'Inventory_Snapshot'!J43</x:f>
        <x:v>5.58</x:v>
      </x:c>
      <x:c r="D43" s="47" t="n">
        <x:f>ROUND(C43*30*(1+G43),0)</x:f>
        <x:v>163</x:v>
      </x:c>
      <x:c r="E43" s="47" t="n">
        <x:f>ROUND(C43*60*(1+G43),0)</x:f>
        <x:v>325</x:v>
      </x:c>
      <x:c r="F43" s="47" t="n">
        <x:f>ROUND(C43*90*(1+G43),0)</x:f>
        <x:v>488</x:v>
      </x:c>
      <x:c r="G43" s="16" t="n">
        <x:v>-0.029</x:v>
      </x:c>
      <x:c r="H43" s="58" t="n">
        <x:f>'Inventory_Snapshot'!H43</x:f>
        <x:v>218.51</x:v>
      </x:c>
      <x:c r="I43" s="44" t="n">
        <x:f>F43*H43</x:f>
        <x:v>106632.87999999999</x:v>
      </x:c>
      <x:c r="J43" s="53" t="n">
        <x:f>MAX(0,F43+'Inventory_Snapshot'!M43-'Inventory_Snapshot'!F43-'Inventory_Snapshot'!G43)</x:f>
        <x:v>312</x:v>
      </x:c>
    </x:row>
    <x:row r="44">
      <x:c r="A44" s="56" t="str">
        <x:f>'Inventory_Snapshot'!A44</x:f>
        <x:v>SKU-0043</x:v>
      </x:c>
      <x:c r="B44" s="56" t="str">
        <x:f>'Inventory_Snapshot'!B44</x:f>
        <x:v>Controllers Item 043</x:v>
      </x:c>
      <x:c r="C44" s="60" t="n">
        <x:f>'Inventory_Snapshot'!J44</x:f>
        <x:v>9.3</x:v>
      </x:c>
      <x:c r="D44" s="47" t="n">
        <x:f>ROUND(C44*30*(1+G44),0)</x:f>
        <x:v>319</x:v>
      </x:c>
      <x:c r="E44" s="47" t="n">
        <x:f>ROUND(C44*60*(1+G44),0)</x:f>
        <x:v>639</x:v>
      </x:c>
      <x:c r="F44" s="47" t="n">
        <x:f>ROUND(C44*90*(1+G44),0)</x:f>
        <x:v>958</x:v>
      </x:c>
      <x:c r="G44" s="16" t="n">
        <x:v>0.145</x:v>
      </x:c>
      <x:c r="H44" s="58" t="n">
        <x:f>'Inventory_Snapshot'!H44</x:f>
        <x:v>224.89</x:v>
      </x:c>
      <x:c r="I44" s="44" t="n">
        <x:f>F44*H44</x:f>
        <x:v>215444.62</x:v>
      </x:c>
      <x:c r="J44" s="53" t="n">
        <x:f>MAX(0,F44+'Inventory_Snapshot'!M44-'Inventory_Snapshot'!F44-'Inventory_Snapshot'!G44)</x:f>
        <x:v>328</x:v>
      </x:c>
    </x:row>
    <x:row r="45">
      <x:c r="A45" s="56" t="str">
        <x:f>'Inventory_Snapshot'!A45</x:f>
        <x:v>SKU-0044</x:v>
      </x:c>
      <x:c r="B45" s="56" t="str">
        <x:f>'Inventory_Snapshot'!B45</x:f>
        <x:v>Tools Item 044</x:v>
      </x:c>
      <x:c r="C45" s="60" t="n">
        <x:f>'Inventory_Snapshot'!J45</x:f>
        <x:v>7.83</x:v>
      </x:c>
      <x:c r="D45" s="47" t="n">
        <x:f>ROUND(C45*30*(1+G45),0)</x:f>
        <x:v>221</x:v>
      </x:c>
      <x:c r="E45" s="47" t="n">
        <x:f>ROUND(C45*60*(1+G45),0)</x:f>
        <x:v>443</x:v>
      </x:c>
      <x:c r="F45" s="47" t="n">
        <x:f>ROUND(C45*90*(1+G45),0)</x:f>
        <x:v>664</x:v>
      </x:c>
      <x:c r="G45" s="16" t="n">
        <x:v>-0.058</x:v>
      </x:c>
      <x:c r="H45" s="58" t="n">
        <x:f>'Inventory_Snapshot'!H45</x:f>
        <x:v>126.24</x:v>
      </x:c>
      <x:c r="I45" s="44" t="n">
        <x:f>F45*H45</x:f>
        <x:v>83823.36</x:v>
      </x:c>
      <x:c r="J45" s="53" t="n">
        <x:f>MAX(0,F45+'Inventory_Snapshot'!M45-'Inventory_Snapshot'!F45-'Inventory_Snapshot'!G45)</x:f>
        <x:v>60</x:v>
      </x:c>
    </x:row>
    <x:row r="46">
      <x:c r="A46" s="56" t="str">
        <x:f>'Inventory_Snapshot'!A46</x:f>
        <x:v>SKU-0045</x:v>
      </x:c>
      <x:c r="B46" s="56" t="str">
        <x:f>'Inventory_Snapshot'!B46</x:f>
        <x:v>Brackets Item 045</x:v>
      </x:c>
      <x:c r="C46" s="60" t="n">
        <x:f>'Inventory_Snapshot'!J46</x:f>
        <x:v>1.32</x:v>
      </x:c>
      <x:c r="D46" s="47" t="n">
        <x:f>ROUND(C46*30*(1+G46),0)</x:f>
        <x:v>39</x:v>
      </x:c>
      <x:c r="E46" s="47" t="n">
        <x:f>ROUND(C46*60*(1+G46),0)</x:f>
        <x:v>78</x:v>
      </x:c>
      <x:c r="F46" s="47" t="n">
        <x:f>ROUND(C46*90*(1+G46),0)</x:f>
        <x:v>117</x:v>
      </x:c>
      <x:c r="G46" s="16" t="n">
        <x:v>-0.019</x:v>
      </x:c>
      <x:c r="H46" s="58" t="n">
        <x:f>'Inventory_Snapshot'!H46</x:f>
        <x:v>68.89</x:v>
      </x:c>
      <x:c r="I46" s="44" t="n">
        <x:f>F46*H46</x:f>
        <x:v>8060.13</x:v>
      </x:c>
      <x:c r="J46" s="53" t="n">
        <x:f>MAX(0,F46+'Inventory_Snapshot'!M46-'Inventory_Snapshot'!F46-'Inventory_Snapshot'!G46)</x:f>
        <x:v>118</x:v>
      </x:c>
    </x:row>
    <x:row r="47">
      <x:c r="A47" s="56" t="str">
        <x:f>'Inventory_Snapshot'!A47</x:f>
        <x:v>SKU-0046</x:v>
      </x:c>
      <x:c r="B47" s="56" t="str">
        <x:f>'Inventory_Snapshot'!B47</x:f>
        <x:v>Cables Item 046</x:v>
      </x:c>
      <x:c r="C47" s="60" t="n">
        <x:f>'Inventory_Snapshot'!J47</x:f>
        <x:v>4.58</x:v>
      </x:c>
      <x:c r="D47" s="47" t="n">
        <x:f>ROUND(C47*30*(1+G47),0)</x:f>
        <x:v>136</x:v>
      </x:c>
      <x:c r="E47" s="47" t="n">
        <x:f>ROUND(C47*60*(1+G47),0)</x:f>
        <x:v>272</x:v>
      </x:c>
      <x:c r="F47" s="47" t="n">
        <x:f>ROUND(C47*90*(1+G47),0)</x:f>
        <x:v>408</x:v>
      </x:c>
      <x:c r="G47" s="16" t="n">
        <x:v>-0.009</x:v>
      </x:c>
      <x:c r="H47" s="58" t="n">
        <x:f>'Inventory_Snapshot'!H47</x:f>
        <x:v>66.68</x:v>
      </x:c>
      <x:c r="I47" s="44" t="n">
        <x:f>F47*H47</x:f>
        <x:v>27205.440000000002</x:v>
      </x:c>
      <x:c r="J47" s="53" t="n">
        <x:f>MAX(0,F47+'Inventory_Snapshot'!M47-'Inventory_Snapshot'!F47-'Inventory_Snapshot'!G47)</x:f>
        <x:v>237</x:v>
      </x:c>
    </x:row>
    <x:row r="48">
      <x:c r="A48" s="56" t="str">
        <x:f>'Inventory_Snapshot'!A48</x:f>
        <x:v>SKU-0047</x:v>
      </x:c>
      <x:c r="B48" s="56" t="str">
        <x:f>'Inventory_Snapshot'!B48</x:f>
        <x:v>Paper Item 047</x:v>
      </x:c>
      <x:c r="C48" s="60" t="n">
        <x:f>'Inventory_Snapshot'!J48</x:f>
        <x:v>9.49</x:v>
      </x:c>
      <x:c r="D48" s="47" t="n">
        <x:f>ROUND(C48*30*(1+G48),0)</x:f>
        <x:v>306</x:v>
      </x:c>
      <x:c r="E48" s="47" t="n">
        <x:f>ROUND(C48*60*(1+G48),0)</x:f>
        <x:v>612</x:v>
      </x:c>
      <x:c r="F48" s="47" t="n">
        <x:f>ROUND(C48*90*(1+G48),0)</x:f>
        <x:v>918</x:v>
      </x:c>
      <x:c r="G48" s="16" t="n">
        <x:v>0.075</x:v>
      </x:c>
      <x:c r="H48" s="58" t="n">
        <x:f>'Inventory_Snapshot'!H48</x:f>
        <x:v>233.63</x:v>
      </x:c>
      <x:c r="I48" s="44" t="n">
        <x:f>F48*H48</x:f>
        <x:v>214472.34</x:v>
      </x:c>
      <x:c r="J48" s="53" t="n">
        <x:f>MAX(0,F48+'Inventory_Snapshot'!M48-'Inventory_Snapshot'!F48-'Inventory_Snapshot'!G48)</x:f>
        <x:v>488</x:v>
      </x:c>
    </x:row>
    <x:row r="49">
      <x:c r="A49" s="56" t="str">
        <x:f>'Inventory_Snapshot'!A49</x:f>
        <x:v>SKU-0048</x:v>
      </x:c>
      <x:c r="B49" s="56" t="str">
        <x:f>'Inventory_Snapshot'!B49</x:f>
        <x:v>Power Item 048</x:v>
      </x:c>
      <x:c r="C49" s="60" t="n">
        <x:f>'Inventory_Snapshot'!J49</x:f>
        <x:v>4.9</x:v>
      </x:c>
      <x:c r="D49" s="47" t="n">
        <x:f>ROUND(C49*30*(1+G49),0)</x:f>
        <x:v>146</x:v>
      </x:c>
      <x:c r="E49" s="47" t="n">
        <x:f>ROUND(C49*60*(1+G49),0)</x:f>
        <x:v>292</x:v>
      </x:c>
      <x:c r="F49" s="47" t="n">
        <x:f>ROUND(C49*90*(1+G49),0)</x:f>
        <x:v>437</x:v>
      </x:c>
      <x:c r="G49" s="16" t="n">
        <x:v>-0.008</x:v>
      </x:c>
      <x:c r="H49" s="58" t="n">
        <x:f>'Inventory_Snapshot'!H49</x:f>
        <x:v>211.59</x:v>
      </x:c>
      <x:c r="I49" s="44" t="n">
        <x:f>F49*H49</x:f>
        <x:v>92464.83</x:v>
      </x:c>
      <x:c r="J49" s="53" t="n">
        <x:f>MAX(0,F49+'Inventory_Snapshot'!M49-'Inventory_Snapshot'!F49-'Inventory_Snapshot'!G49)</x:f>
        <x:v>290</x:v>
      </x:c>
    </x:row>
    <x:row r="50">
      <x:c r="A50" s="56" t="str">
        <x:f>'Inventory_Snapshot'!A50</x:f>
        <x:v>SKU-0049</x:v>
      </x:c>
      <x:c r="B50" s="56" t="str">
        <x:f>'Inventory_Snapshot'!B50</x:f>
        <x:v>Eyewear Item 049</x:v>
      </x:c>
      <x:c r="C50" s="60" t="n">
        <x:f>'Inventory_Snapshot'!J50</x:f>
        <x:v>6.52</x:v>
      </x:c>
      <x:c r="D50" s="47" t="n">
        <x:f>ROUND(C50*30*(1+G50),0)</x:f>
        <x:v>189</x:v>
      </x:c>
      <x:c r="E50" s="47" t="n">
        <x:f>ROUND(C50*60*(1+G50),0)</x:f>
        <x:v>378</x:v>
      </x:c>
      <x:c r="F50" s="47" t="n">
        <x:f>ROUND(C50*90*(1+G50),0)</x:f>
        <x:v>566</x:v>
      </x:c>
      <x:c r="G50" s="16" t="n">
        <x:v>-0.035</x:v>
      </x:c>
      <x:c r="H50" s="58" t="n">
        <x:f>'Inventory_Snapshot'!H50</x:f>
        <x:v>63.39</x:v>
      </x:c>
      <x:c r="I50" s="44" t="n">
        <x:f>F50*H50</x:f>
        <x:v>35878.74</x:v>
      </x:c>
      <x:c r="J50" s="53" t="n">
        <x:f>MAX(0,F50+'Inventory_Snapshot'!M50-'Inventory_Snapshot'!F50-'Inventory_Snapshot'!G50)</x:f>
        <x:v>139</x:v>
      </x:c>
    </x:row>
    <x:row r="51">
      <x:c r="A51" s="56" t="str">
        <x:f>'Inventory_Snapshot'!A51</x:f>
        <x:v>SKU-0050</x:v>
      </x:c>
      <x:c r="B51" s="56" t="str">
        <x:f>'Inventory_Snapshot'!B51</x:f>
        <x:v>Ink Item 050</x:v>
      </x:c>
      <x:c r="C51" s="60" t="n">
        <x:f>'Inventory_Snapshot'!J51</x:f>
        <x:v>17.86</x:v>
      </x:c>
      <x:c r="D51" s="47" t="n">
        <x:f>ROUND(C51*30*(1+G51),0)</x:f>
        <x:v>500</x:v>
      </x:c>
      <x:c r="E51" s="47" t="n">
        <x:f>ROUND(C51*60*(1+G51),0)</x:f>
        <x:v>1000</x:v>
      </x:c>
      <x:c r="F51" s="47" t="n">
        <x:f>ROUND(C51*90*(1+G51),0)</x:f>
        <x:v>1500</x:v>
      </x:c>
      <x:c r="G51" s="16" t="n">
        <x:v>-0.067</x:v>
      </x:c>
      <x:c r="H51" s="58" t="n">
        <x:f>'Inventory_Snapshot'!H51</x:f>
        <x:v>150.72</x:v>
      </x:c>
      <x:c r="I51" s="44" t="n">
        <x:f>F51*H51</x:f>
        <x:v>226080</x:v>
      </x:c>
      <x:c r="J51" s="53" t="n">
        <x:f>MAX(0,F51+'Inventory_Snapshot'!M51-'Inventory_Snapshot'!F51-'Inventory_Snapshot'!G51)</x:f>
        <x:v>45</x:v>
      </x:c>
    </x:row>
    <x:row r="52">
      <x:c r="A52" s="56" t="str">
        <x:f>'Inventory_Snapshot'!A52</x:f>
        <x:v>SKU-0051</x:v>
      </x:c>
      <x:c r="B52" s="56" t="str">
        <x:f>'Inventory_Snapshot'!B52</x:f>
        <x:v>Ink Item 051</x:v>
      </x:c>
      <x:c r="C52" s="60" t="n">
        <x:f>'Inventory_Snapshot'!J52</x:f>
        <x:v>2.89</x:v>
      </x:c>
      <x:c r="D52" s="47" t="n">
        <x:f>ROUND(C52*30*(1+G52),0)</x:f>
        <x:v>102</x:v>
      </x:c>
      <x:c r="E52" s="47" t="n">
        <x:f>ROUND(C52*60*(1+G52),0)</x:f>
        <x:v>205</x:v>
      </x:c>
      <x:c r="F52" s="47" t="n">
        <x:f>ROUND(C52*90*(1+G52),0)</x:f>
        <x:v>307</x:v>
      </x:c>
      <x:c r="G52" s="16" t="n">
        <x:v>0.18</x:v>
      </x:c>
      <x:c r="H52" s="58" t="n">
        <x:f>'Inventory_Snapshot'!H52</x:f>
        <x:v>74.69</x:v>
      </x:c>
      <x:c r="I52" s="44" t="n">
        <x:f>F52*H52</x:f>
        <x:v>22929.829999999998</x:v>
      </x:c>
      <x:c r="J52" s="53" t="n">
        <x:f>MAX(0,F52+'Inventory_Snapshot'!M52-'Inventory_Snapshot'!F52-'Inventory_Snapshot'!G52)</x:f>
        <x:v>167</x:v>
      </x:c>
    </x:row>
    <x:row r="53">
      <x:c r="A53" s="56" t="str">
        <x:f>'Inventory_Snapshot'!A53</x:f>
        <x:v>SKU-0052</x:v>
      </x:c>
      <x:c r="B53" s="56" t="str">
        <x:f>'Inventory_Snapshot'!B53</x:f>
        <x:v>Controllers Item 052</x:v>
      </x:c>
      <x:c r="C53" s="60" t="n">
        <x:f>'Inventory_Snapshot'!J53</x:f>
        <x:v>3.75</x:v>
      </x:c>
      <x:c r="D53" s="47" t="n">
        <x:f>ROUND(C53*30*(1+G53),0)</x:f>
        <x:v>123</x:v>
      </x:c>
      <x:c r="E53" s="47" t="n">
        <x:f>ROUND(C53*60*(1+G53),0)</x:f>
        <x:v>245</x:v>
      </x:c>
      <x:c r="F53" s="47" t="n">
        <x:f>ROUND(C53*90*(1+G53),0)</x:f>
        <x:v>368</x:v>
      </x:c>
      <x:c r="G53" s="16" t="n">
        <x:v>0.09</x:v>
      </x:c>
      <x:c r="H53" s="58" t="n">
        <x:f>'Inventory_Snapshot'!H53</x:f>
        <x:v>210.35</x:v>
      </x:c>
      <x:c r="I53" s="44" t="n">
        <x:f>F53*H53</x:f>
        <x:v>77408.8</x:v>
      </x:c>
      <x:c r="J53" s="53" t="n">
        <x:f>MAX(0,F53+'Inventory_Snapshot'!M53-'Inventory_Snapshot'!F53-'Inventory_Snapshot'!G53)</x:f>
        <x:v>106</x:v>
      </x:c>
    </x:row>
    <x:row r="54">
      <x:c r="A54" s="56" t="str">
        <x:f>'Inventory_Snapshot'!A54</x:f>
        <x:v>SKU-0053</x:v>
      </x:c>
      <x:c r="B54" s="56" t="str">
        <x:f>'Inventory_Snapshot'!B54</x:f>
        <x:v>Cables Item 053</x:v>
      </x:c>
      <x:c r="C54" s="60" t="n">
        <x:f>'Inventory_Snapshot'!J54</x:f>
        <x:v>2.79</x:v>
      </x:c>
      <x:c r="D54" s="47" t="n">
        <x:f>ROUND(C54*30*(1+G54),0)</x:f>
        <x:v>77</x:v>
      </x:c>
      <x:c r="E54" s="47" t="n">
        <x:f>ROUND(C54*60*(1+G54),0)</x:f>
        <x:v>155</x:v>
      </x:c>
      <x:c r="F54" s="47" t="n">
        <x:f>ROUND(C54*90*(1+G54),0)</x:f>
        <x:v>232</x:v>
      </x:c>
      <x:c r="G54" s="16" t="n">
        <x:v>-0.076</x:v>
      </x:c>
      <x:c r="H54" s="58" t="n">
        <x:f>'Inventory_Snapshot'!H54</x:f>
        <x:v>235.39</x:v>
      </x:c>
      <x:c r="I54" s="44" t="n">
        <x:f>F54*H54</x:f>
        <x:v>54610.479999999996</x:v>
      </x:c>
      <x:c r="J54" s="53" t="n">
        <x:f>MAX(0,F54+'Inventory_Snapshot'!M54-'Inventory_Snapshot'!F54-'Inventory_Snapshot'!G54)</x:f>
        <x:v>165</x:v>
      </x:c>
    </x:row>
    <x:row r="55">
      <x:c r="A55" s="56" t="str">
        <x:f>'Inventory_Snapshot'!A55</x:f>
        <x:v>SKU-0054</x:v>
      </x:c>
      <x:c r="B55" s="56" t="str">
        <x:f>'Inventory_Snapshot'!B55</x:f>
        <x:v>Accessories Item 054</x:v>
      </x:c>
      <x:c r="C55" s="60" t="n">
        <x:f>'Inventory_Snapshot'!J55</x:f>
        <x:v>2.01</x:v>
      </x:c>
      <x:c r="D55" s="47" t="n">
        <x:f>ROUND(C55*30*(1+G55),0)</x:f>
        <x:v>63</x:v>
      </x:c>
      <x:c r="E55" s="47" t="n">
        <x:f>ROUND(C55*60*(1+G55),0)</x:f>
        <x:v>127</x:v>
      </x:c>
      <x:c r="F55" s="47" t="n">
        <x:f>ROUND(C55*90*(1+G55),0)</x:f>
        <x:v>190</x:v>
      </x:c>
      <x:c r="G55" s="16" t="n">
        <x:v>0.049</x:v>
      </x:c>
      <x:c r="H55" s="58" t="n">
        <x:f>'Inventory_Snapshot'!H55</x:f>
        <x:v>49.06</x:v>
      </x:c>
      <x:c r="I55" s="44" t="n">
        <x:f>F55*H55</x:f>
        <x:v>9321.4</x:v>
      </x:c>
      <x:c r="J55" s="53" t="n">
        <x:f>MAX(0,F55+'Inventory_Snapshot'!M55-'Inventory_Snapshot'!F55-'Inventory_Snapshot'!G55)</x:f>
        <x:v>78</x:v>
      </x:c>
    </x:row>
    <x:row r="56">
      <x:c r="A56" s="56" t="str">
        <x:f>'Inventory_Snapshot'!A56</x:f>
        <x:v>SKU-0055</x:v>
      </x:c>
      <x:c r="B56" s="56" t="str">
        <x:f>'Inventory_Snapshot'!B56</x:f>
        <x:v>Brackets Item 055</x:v>
      </x:c>
      <x:c r="C56" s="60" t="n">
        <x:f>'Inventory_Snapshot'!J56</x:f>
        <x:v>13.89</x:v>
      </x:c>
      <x:c r="D56" s="47" t="n">
        <x:f>ROUND(C56*30*(1+G56),0)</x:f>
        <x:v>525</x:v>
      </x:c>
      <x:c r="E56" s="47" t="n">
        <x:f>ROUND(C56*60*(1+G56),0)</x:f>
        <x:v>1051</x:v>
      </x:c>
      <x:c r="F56" s="47" t="n">
        <x:f>ROUND(C56*90*(1+G56),0)</x:f>
        <x:v>1576</x:v>
      </x:c>
      <x:c r="G56" s="16" t="n">
        <x:v>0.261</x:v>
      </x:c>
      <x:c r="H56" s="58" t="n">
        <x:f>'Inventory_Snapshot'!H56</x:f>
        <x:v>263.76</x:v>
      </x:c>
      <x:c r="I56" s="44" t="n">
        <x:f>F56*H56</x:f>
        <x:v>415685.76</x:v>
      </x:c>
      <x:c r="J56" s="53" t="n">
        <x:f>MAX(0,F56+'Inventory_Snapshot'!M56-'Inventory_Snapshot'!F56-'Inventory_Snapshot'!G56)</x:f>
        <x:v>648</x:v>
      </x:c>
    </x:row>
    <x:row r="57">
      <x:c r="A57" s="56" t="str">
        <x:f>'Inventory_Snapshot'!A57</x:f>
        <x:v>SKU-0056</x:v>
      </x:c>
      <x:c r="B57" s="56" t="str">
        <x:f>'Inventory_Snapshot'!B57</x:f>
        <x:v>Lubricants Item 056</x:v>
      </x:c>
      <x:c r="C57" s="60" t="n">
        <x:f>'Inventory_Snapshot'!J57</x:f>
        <x:v>2.86</x:v>
      </x:c>
      <x:c r="D57" s="47" t="n">
        <x:f>ROUND(C57*30*(1+G57),0)</x:f>
        <x:v>88</x:v>
      </x:c>
      <x:c r="E57" s="47" t="n">
        <x:f>ROUND(C57*60*(1+G57),0)</x:f>
        <x:v>176</x:v>
      </x:c>
      <x:c r="F57" s="47" t="n">
        <x:f>ROUND(C57*90*(1+G57),0)</x:f>
        <x:v>264</x:v>
      </x:c>
      <x:c r="G57" s="16" t="n">
        <x:v>0.024</x:v>
      </x:c>
      <x:c r="H57" s="58" t="n">
        <x:f>'Inventory_Snapshot'!H57</x:f>
        <x:v>219.68</x:v>
      </x:c>
      <x:c r="I57" s="44" t="n">
        <x:f>F57*H57</x:f>
        <x:v>57995.520000000004</x:v>
      </x:c>
      <x:c r="J57" s="53" t="n">
        <x:f>MAX(0,F57+'Inventory_Snapshot'!M57-'Inventory_Snapshot'!F57-'Inventory_Snapshot'!G57)</x:f>
        <x:v>0</x:v>
      </x:c>
    </x:row>
    <x:row r="58">
      <x:c r="A58" s="56" t="str">
        <x:f>'Inventory_Snapshot'!A58</x:f>
        <x:v>SKU-0057</x:v>
      </x:c>
      <x:c r="B58" s="56" t="str">
        <x:f>'Inventory_Snapshot'!B58</x:f>
        <x:v>Storage Item 057</x:v>
      </x:c>
      <x:c r="C58" s="60" t="n">
        <x:f>'Inventory_Snapshot'!J58</x:f>
        <x:v>10.43</x:v>
      </x:c>
      <x:c r="D58" s="47" t="n">
        <x:f>ROUND(C58*30*(1+G58),0)</x:f>
        <x:v>351</x:v>
      </x:c>
      <x:c r="E58" s="47" t="n">
        <x:f>ROUND(C58*60*(1+G58),0)</x:f>
        <x:v>702</x:v>
      </x:c>
      <x:c r="F58" s="47" t="n">
        <x:f>ROUND(C58*90*(1+G58),0)</x:f>
        <x:v>1052</x:v>
      </x:c>
      <x:c r="G58" s="16" t="n">
        <x:v>0.121</x:v>
      </x:c>
      <x:c r="H58" s="58" t="n">
        <x:f>'Inventory_Snapshot'!H58</x:f>
        <x:v>122.8</x:v>
      </x:c>
      <x:c r="I58" s="44" t="n">
        <x:f>F58*H58</x:f>
        <x:v>129185.59999999999</x:v>
      </x:c>
      <x:c r="J58" s="53" t="n">
        <x:f>MAX(0,F58+'Inventory_Snapshot'!M58-'Inventory_Snapshot'!F58-'Inventory_Snapshot'!G58)</x:f>
        <x:v>292</x:v>
      </x:c>
    </x:row>
    <x:row r="59">
      <x:c r="A59" s="56" t="str">
        <x:f>'Inventory_Snapshot'!A59</x:f>
        <x:v>SKU-0058</x:v>
      </x:c>
      <x:c r="B59" s="56" t="str">
        <x:f>'Inventory_Snapshot'!B59</x:f>
        <x:v>First Aid Item 058</x:v>
      </x:c>
      <x:c r="C59" s="60" t="n">
        <x:f>'Inventory_Snapshot'!J59</x:f>
        <x:v>8.63</x:v>
      </x:c>
      <x:c r="D59" s="47" t="n">
        <x:f>ROUND(C59*30*(1+G59),0)</x:f>
        <x:v>248</x:v>
      </x:c>
      <x:c r="E59" s="47" t="n">
        <x:f>ROUND(C59*60*(1+G59),0)</x:f>
        <x:v>497</x:v>
      </x:c>
      <x:c r="F59" s="47" t="n">
        <x:f>ROUND(C59*90*(1+G59),0)</x:f>
        <x:v>745</x:v>
      </x:c>
      <x:c r="G59" s="16" t="n">
        <x:v>-0.041</x:v>
      </x:c>
      <x:c r="H59" s="58" t="n">
        <x:f>'Inventory_Snapshot'!H59</x:f>
        <x:v>226.78</x:v>
      </x:c>
      <x:c r="I59" s="44" t="n">
        <x:f>F59*H59</x:f>
        <x:v>168951.1</x:v>
      </x:c>
      <x:c r="J59" s="53" t="n">
        <x:f>MAX(0,F59+'Inventory_Snapshot'!M59-'Inventory_Snapshot'!F59-'Inventory_Snapshot'!G59)</x:f>
        <x:v>384</x:v>
      </x:c>
    </x:row>
    <x:row r="60">
      <x:c r="A60" s="56" t="str">
        <x:f>'Inventory_Snapshot'!A60</x:f>
        <x:v>SKU-0059</x:v>
      </x:c>
      <x:c r="B60" s="56" t="str">
        <x:f>'Inventory_Snapshot'!B60</x:f>
        <x:v>Cartons Item 059</x:v>
      </x:c>
      <x:c r="C60" s="60" t="n">
        <x:f>'Inventory_Snapshot'!J60</x:f>
        <x:v>6.04</x:v>
      </x:c>
      <x:c r="D60" s="47" t="n">
        <x:f>ROUND(C60*30*(1+G60),0)</x:f>
        <x:v>160</x:v>
      </x:c>
      <x:c r="E60" s="47" t="n">
        <x:f>ROUND(C60*60*(1+G60),0)</x:f>
        <x:v>320</x:v>
      </x:c>
      <x:c r="F60" s="47" t="n">
        <x:f>ROUND(C60*90*(1+G60),0)</x:f>
        <x:v>481</x:v>
      </x:c>
      <x:c r="G60" s="16" t="n">
        <x:v>-0.116</x:v>
      </x:c>
      <x:c r="H60" s="58" t="n">
        <x:f>'Inventory_Snapshot'!H60</x:f>
        <x:v>247.15</x:v>
      </x:c>
      <x:c r="I60" s="44" t="n">
        <x:f>F60*H60</x:f>
        <x:v>118879.15000000001</x:v>
      </x:c>
      <x:c r="J60" s="53" t="n">
        <x:f>MAX(0,F60+'Inventory_Snapshot'!M60-'Inventory_Snapshot'!F60-'Inventory_Snapshot'!G60)</x:f>
        <x:v>29</x:v>
      </x:c>
    </x:row>
    <x:row r="61">
      <x:c r="A61" s="56" t="str">
        <x:f>'Inventory_Snapshot'!A61</x:f>
        <x:v>SKU-0060</x:v>
      </x:c>
      <x:c r="B61" s="56" t="str">
        <x:f>'Inventory_Snapshot'!B61</x:f>
        <x:v>Bearings Item 060</x:v>
      </x:c>
      <x:c r="C61" s="60" t="n">
        <x:f>'Inventory_Snapshot'!J61</x:f>
        <x:v>7.26</x:v>
      </x:c>
      <x:c r="D61" s="47" t="n">
        <x:f>ROUND(C61*30*(1+G61),0)</x:f>
        <x:v>203</x:v>
      </x:c>
      <x:c r="E61" s="47" t="n">
        <x:f>ROUND(C61*60*(1+G61),0)</x:f>
        <x:v>406</x:v>
      </x:c>
      <x:c r="F61" s="47" t="n">
        <x:f>ROUND(C61*90*(1+G61),0)</x:f>
        <x:v>608</x:v>
      </x:c>
      <x:c r="G61" s="16" t="n">
        <x:v>-0.069</x:v>
      </x:c>
      <x:c r="H61" s="58" t="n">
        <x:f>'Inventory_Snapshot'!H61</x:f>
        <x:v>61.36</x:v>
      </x:c>
      <x:c r="I61" s="44" t="n">
        <x:f>F61*H61</x:f>
        <x:v>37306.88</x:v>
      </x:c>
      <x:c r="J61" s="53" t="n">
        <x:f>MAX(0,F61+'Inventory_Snapshot'!M61-'Inventory_Snapshot'!F61-'Inventory_Snapshot'!G61)</x:f>
        <x:v>227</x:v>
      </x:c>
    </x:row>
    <x:row r="62">
      <x:c r="A62" s="56" t="str">
        <x:f>'Inventory_Snapshot'!A62</x:f>
        <x:v>SKU-0061</x:v>
      </x:c>
      <x:c r="B62" s="56" t="str">
        <x:f>'Inventory_Snapshot'!B62</x:f>
        <x:v>Cartons Item 061</x:v>
      </x:c>
      <x:c r="C62" s="60" t="n">
        <x:f>'Inventory_Snapshot'!J62</x:f>
        <x:v>2.45</x:v>
      </x:c>
      <x:c r="D62" s="47" t="n">
        <x:f>ROUND(C62*30*(1+G62),0)</x:f>
        <x:v>83</x:v>
      </x:c>
      <x:c r="E62" s="47" t="n">
        <x:f>ROUND(C62*60*(1+G62),0)</x:f>
        <x:v>166</x:v>
      </x:c>
      <x:c r="F62" s="47" t="n">
        <x:f>ROUND(C62*90*(1+G62),0)</x:f>
        <x:v>249</x:v>
      </x:c>
      <x:c r="G62" s="16" t="n">
        <x:v>0.131</x:v>
      </x:c>
      <x:c r="H62" s="58" t="n">
        <x:f>'Inventory_Snapshot'!H62</x:f>
        <x:v>202.32</x:v>
      </x:c>
      <x:c r="I62" s="44" t="n">
        <x:f>F62*H62</x:f>
        <x:v>50377.68</x:v>
      </x:c>
      <x:c r="J62" s="53" t="n">
        <x:f>MAX(0,F62+'Inventory_Snapshot'!M62-'Inventory_Snapshot'!F62-'Inventory_Snapshot'!G62)</x:f>
        <x:v>208</x:v>
      </x:c>
    </x:row>
    <x:row r="63">
      <x:c r="A63" s="56" t="str">
        <x:f>'Inventory_Snapshot'!A63</x:f>
        <x:v>SKU-0062</x:v>
      </x:c>
      <x:c r="B63" s="56" t="str">
        <x:f>'Inventory_Snapshot'!B63</x:f>
        <x:v>Sensors Item 062</x:v>
      </x:c>
      <x:c r="C63" s="60" t="n">
        <x:f>'Inventory_Snapshot'!J63</x:f>
        <x:v>7.84</x:v>
      </x:c>
      <x:c r="D63" s="47" t="n">
        <x:f>ROUND(C63*30*(1+G63),0)</x:f>
        <x:v>208</x:v>
      </x:c>
      <x:c r="E63" s="47" t="n">
        <x:f>ROUND(C63*60*(1+G63),0)</x:f>
        <x:v>416</x:v>
      </x:c>
      <x:c r="F63" s="47" t="n">
        <x:f>ROUND(C63*90*(1+G63),0)</x:f>
        <x:v>624</x:v>
      </x:c>
      <x:c r="G63" s="16" t="n">
        <x:v>-0.115</x:v>
      </x:c>
      <x:c r="H63" s="58" t="n">
        <x:f>'Inventory_Snapshot'!H63</x:f>
        <x:v>63.99</x:v>
      </x:c>
      <x:c r="I63" s="44" t="n">
        <x:f>F63*H63</x:f>
        <x:v>39929.76</x:v>
      </x:c>
      <x:c r="J63" s="53" t="n">
        <x:f>MAX(0,F63+'Inventory_Snapshot'!M63-'Inventory_Snapshot'!F63-'Inventory_Snapshot'!G63)</x:f>
        <x:v>575</x:v>
      </x:c>
    </x:row>
    <x:row r="64">
      <x:c r="A64" s="56" t="str">
        <x:f>'Inventory_Snapshot'!A64</x:f>
        <x:v>SKU-0063</x:v>
      </x:c>
      <x:c r="B64" s="56" t="str">
        <x:f>'Inventory_Snapshot'!B64</x:f>
        <x:v>Accessories Item 063</x:v>
      </x:c>
      <x:c r="C64" s="60" t="n">
        <x:f>'Inventory_Snapshot'!J64</x:f>
        <x:v>5.59</x:v>
      </x:c>
      <x:c r="D64" s="47" t="n">
        <x:f>ROUND(C64*30*(1+G64),0)</x:f>
        <x:v>150</x:v>
      </x:c>
      <x:c r="E64" s="47" t="n">
        <x:f>ROUND(C64*60*(1+G64),0)</x:f>
        <x:v>300</x:v>
      </x:c>
      <x:c r="F64" s="47" t="n">
        <x:f>ROUND(C64*90*(1+G64),0)</x:f>
        <x:v>450</x:v>
      </x:c>
      <x:c r="G64" s="16" t="n">
        <x:v>-0.106</x:v>
      </x:c>
      <x:c r="H64" s="58" t="n">
        <x:f>'Inventory_Snapshot'!H64</x:f>
        <x:v>197.54</x:v>
      </x:c>
      <x:c r="I64" s="44" t="n">
        <x:f>F64*H64</x:f>
        <x:v>88893</x:v>
      </x:c>
      <x:c r="J64" s="53" t="n">
        <x:f>MAX(0,F64+'Inventory_Snapshot'!M64-'Inventory_Snapshot'!F64-'Inventory_Snapshot'!G64)</x:f>
        <x:v>45</x:v>
      </x:c>
    </x:row>
    <x:row r="65">
      <x:c r="A65" s="56" t="str">
        <x:f>'Inventory_Snapshot'!A65</x:f>
        <x:v>SKU-0064</x:v>
      </x:c>
      <x:c r="B65" s="56" t="str">
        <x:f>'Inventory_Snapshot'!B65</x:f>
        <x:v>Eyewear Item 064</x:v>
      </x:c>
      <x:c r="C65" s="60" t="n">
        <x:f>'Inventory_Snapshot'!J65</x:f>
        <x:v>1.96</x:v>
      </x:c>
      <x:c r="D65" s="47" t="n">
        <x:f>ROUND(C65*30*(1+G65),0)</x:f>
        <x:v>57</x:v>
      </x:c>
      <x:c r="E65" s="47" t="n">
        <x:f>ROUND(C65*60*(1+G65),0)</x:f>
        <x:v>113</x:v>
      </x:c>
      <x:c r="F65" s="47" t="n">
        <x:f>ROUND(C65*90*(1+G65),0)</x:f>
        <x:v>170</x:v>
      </x:c>
      <x:c r="G65" s="16" t="n">
        <x:v>-0.037</x:v>
      </x:c>
      <x:c r="H65" s="58" t="n">
        <x:f>'Inventory_Snapshot'!H65</x:f>
        <x:v>62.55</x:v>
      </x:c>
      <x:c r="I65" s="44" t="n">
        <x:f>F65*H65</x:f>
        <x:v>10633.5</x:v>
      </x:c>
      <x:c r="J65" s="53" t="n">
        <x:f>MAX(0,F65+'Inventory_Snapshot'!M65-'Inventory_Snapshot'!F65-'Inventory_Snapshot'!G65)</x:f>
        <x:v>42</x:v>
      </x:c>
    </x:row>
    <x:row r="66">
      <x:c r="A66" s="56" t="str">
        <x:f>'Inventory_Snapshot'!A66</x:f>
        <x:v>SKU-0065</x:v>
      </x:c>
      <x:c r="B66" s="56" t="str">
        <x:f>'Inventory_Snapshot'!B66</x:f>
        <x:v>Bearings Item 065</x:v>
      </x:c>
      <x:c r="C66" s="60" t="n">
        <x:f>'Inventory_Snapshot'!J66</x:f>
        <x:v>7.13</x:v>
      </x:c>
      <x:c r="D66" s="47" t="n">
        <x:f>ROUND(C66*30*(1+G66),0)</x:f>
        <x:v>193</x:v>
      </x:c>
      <x:c r="E66" s="47" t="n">
        <x:f>ROUND(C66*60*(1+G66),0)</x:f>
        <x:v>385</x:v>
      </x:c>
      <x:c r="F66" s="47" t="n">
        <x:f>ROUND(C66*90*(1+G66),0)</x:f>
        <x:v>578</x:v>
      </x:c>
      <x:c r="G66" s="16" t="n">
        <x:v>-0.1</x:v>
      </x:c>
      <x:c r="H66" s="58" t="n">
        <x:f>'Inventory_Snapshot'!H66</x:f>
        <x:v>52.3</x:v>
      </x:c>
      <x:c r="I66" s="44" t="n">
        <x:f>F66*H66</x:f>
        <x:v>30229.399999999998</x:v>
      </x:c>
      <x:c r="J66" s="53" t="n">
        <x:f>MAX(0,F66+'Inventory_Snapshot'!M66-'Inventory_Snapshot'!F66-'Inventory_Snapshot'!G66)</x:f>
        <x:v>302</x:v>
      </x:c>
    </x:row>
    <x:row r="67">
      <x:c r="A67" s="56" t="str">
        <x:f>'Inventory_Snapshot'!A67</x:f>
        <x:v>SKU-0066</x:v>
      </x:c>
      <x:c r="B67" s="56" t="str">
        <x:f>'Inventory_Snapshot'!B67</x:f>
        <x:v>Tape Item 066</x:v>
      </x:c>
      <x:c r="C67" s="60" t="n">
        <x:f>'Inventory_Snapshot'!J67</x:f>
        <x:v>10.78</x:v>
      </x:c>
      <x:c r="D67" s="47" t="n">
        <x:f>ROUND(C67*30*(1+G67),0)</x:f>
        <x:v>406</x:v>
      </x:c>
      <x:c r="E67" s="47" t="n">
        <x:f>ROUND(C67*60*(1+G67),0)</x:f>
        <x:v>812</x:v>
      </x:c>
      <x:c r="F67" s="47" t="n">
        <x:f>ROUND(C67*90*(1+G67),0)</x:f>
        <x:v>1218</x:v>
      </x:c>
      <x:c r="G67" s="16" t="n">
        <x:v>0.255</x:v>
      </x:c>
      <x:c r="H67" s="58" t="n">
        <x:f>'Inventory_Snapshot'!H67</x:f>
        <x:v>244.68</x:v>
      </x:c>
      <x:c r="I67" s="44" t="n">
        <x:f>F67*H67</x:f>
        <x:v>298020.24</x:v>
      </x:c>
      <x:c r="J67" s="53" t="n">
        <x:f>MAX(0,F67+'Inventory_Snapshot'!M67-'Inventory_Snapshot'!F67-'Inventory_Snapshot'!G67)</x:f>
        <x:v>0</x:v>
      </x:c>
    </x:row>
    <x:row r="68">
      <x:c r="A68" s="56" t="str">
        <x:f>'Inventory_Snapshot'!A68</x:f>
        <x:v>SKU-0067</x:v>
      </x:c>
      <x:c r="B68" s="56" t="str">
        <x:f>'Inventory_Snapshot'!B68</x:f>
        <x:v>Paper Item 067</x:v>
      </x:c>
      <x:c r="C68" s="60" t="n">
        <x:f>'Inventory_Snapshot'!J68</x:f>
        <x:v>6.91</x:v>
      </x:c>
      <x:c r="D68" s="47" t="n">
        <x:f>ROUND(C68*30*(1+G68),0)</x:f>
        <x:v>240</x:v>
      </x:c>
      <x:c r="E68" s="47" t="n">
        <x:f>ROUND(C68*60*(1+G68),0)</x:f>
        <x:v>480</x:v>
      </x:c>
      <x:c r="F68" s="47" t="n">
        <x:f>ROUND(C68*90*(1+G68),0)</x:f>
        <x:v>720</x:v>
      </x:c>
      <x:c r="G68" s="16" t="n">
        <x:v>0.158</x:v>
      </x:c>
      <x:c r="H68" s="58" t="n">
        <x:f>'Inventory_Snapshot'!H68</x:f>
        <x:v>113.7</x:v>
      </x:c>
      <x:c r="I68" s="44" t="n">
        <x:f>F68*H68</x:f>
        <x:v>81864</x:v>
      </x:c>
      <x:c r="J68" s="53" t="n">
        <x:f>MAX(0,F68+'Inventory_Snapshot'!M68-'Inventory_Snapshot'!F68-'Inventory_Snapshot'!G68)</x:f>
        <x:v>192</x:v>
      </x:c>
    </x:row>
    <x:row r="69">
      <x:c r="A69" s="56" t="str">
        <x:f>'Inventory_Snapshot'!A69</x:f>
        <x:v>SKU-0068</x:v>
      </x:c>
      <x:c r="B69" s="56" t="str">
        <x:f>'Inventory_Snapshot'!B69</x:f>
        <x:v>Cables Item 068</x:v>
      </x:c>
      <x:c r="C69" s="60" t="n">
        <x:f>'Inventory_Snapshot'!J69</x:f>
        <x:v>15.71</x:v>
      </x:c>
      <x:c r="D69" s="47" t="n">
        <x:f>ROUND(C69*30*(1+G69),0)</x:f>
        <x:v>456</x:v>
      </x:c>
      <x:c r="E69" s="47" t="n">
        <x:f>ROUND(C69*60*(1+G69),0)</x:f>
        <x:v>912</x:v>
      </x:c>
      <x:c r="F69" s="47" t="n">
        <x:f>ROUND(C69*90*(1+G69),0)</x:f>
        <x:v>1369</x:v>
      </x:c>
      <x:c r="G69" s="16" t="n">
        <x:v>-0.032</x:v>
      </x:c>
      <x:c r="H69" s="58" t="n">
        <x:f>'Inventory_Snapshot'!H69</x:f>
        <x:v>157.37</x:v>
      </x:c>
      <x:c r="I69" s="44" t="n">
        <x:f>F69*H69</x:f>
        <x:v>215439.53</x:v>
      </x:c>
      <x:c r="J69" s="53" t="n">
        <x:f>MAX(0,F69+'Inventory_Snapshot'!M69-'Inventory_Snapshot'!F69-'Inventory_Snapshot'!G69)</x:f>
        <x:v>426</x:v>
      </x:c>
    </x:row>
    <x:row r="70">
      <x:c r="A70" s="56" t="str">
        <x:f>'Inventory_Snapshot'!A70</x:f>
        <x:v>SKU-0069</x:v>
      </x:c>
      <x:c r="B70" s="56" t="str">
        <x:f>'Inventory_Snapshot'!B70</x:f>
        <x:v>Accessories Item 069</x:v>
      </x:c>
      <x:c r="C70" s="60" t="n">
        <x:f>'Inventory_Snapshot'!J70</x:f>
        <x:v>1.58</x:v>
      </x:c>
      <x:c r="D70" s="47" t="n">
        <x:f>ROUND(C70*30*(1+G70),0)</x:f>
        <x:v>44</x:v>
      </x:c>
      <x:c r="E70" s="47" t="n">
        <x:f>ROUND(C70*60*(1+G70),0)</x:f>
        <x:v>88</x:v>
      </x:c>
      <x:c r="F70" s="47" t="n">
        <x:f>ROUND(C70*90*(1+G70),0)</x:f>
        <x:v>133</x:v>
      </x:c>
      <x:c r="G70" s="16" t="n">
        <x:v>-0.068</x:v>
      </x:c>
      <x:c r="H70" s="58" t="n">
        <x:f>'Inventory_Snapshot'!H70</x:f>
        <x:v>277.23</x:v>
      </x:c>
      <x:c r="I70" s="44" t="n">
        <x:f>F70*H70</x:f>
        <x:v>36871.590000000004</x:v>
      </x:c>
      <x:c r="J70" s="53" t="n">
        <x:f>MAX(0,F70+'Inventory_Snapshot'!M70-'Inventory_Snapshot'!F70-'Inventory_Snapshot'!G70)</x:f>
        <x:v>77</x:v>
      </x:c>
    </x:row>
    <x:row r="71">
      <x:c r="A71" s="56" t="str">
        <x:f>'Inventory_Snapshot'!A71</x:f>
        <x:v>SKU-0070</x:v>
      </x:c>
      <x:c r="B71" s="56" t="str">
        <x:f>'Inventory_Snapshot'!B71</x:f>
        <x:v>Fasteners Item 070</x:v>
      </x:c>
      <x:c r="C71" s="60" t="n">
        <x:f>'Inventory_Snapshot'!J71</x:f>
        <x:v>4.33</x:v>
      </x:c>
      <x:c r="D71" s="47" t="n">
        <x:f>ROUND(C71*30*(1+G71),0)</x:f>
        <x:v>152</x:v>
      </x:c>
      <x:c r="E71" s="47" t="n">
        <x:f>ROUND(C71*60*(1+G71),0)</x:f>
        <x:v>303</x:v>
      </x:c>
      <x:c r="F71" s="47" t="n">
        <x:f>ROUND(C71*90*(1+G71),0)</x:f>
        <x:v>455</x:v>
      </x:c>
      <x:c r="G71" s="16" t="n">
        <x:v>0.167</x:v>
      </x:c>
      <x:c r="H71" s="58" t="n">
        <x:f>'Inventory_Snapshot'!H71</x:f>
        <x:v>69.06</x:v>
      </x:c>
      <x:c r="I71" s="44" t="n">
        <x:f>F71*H71</x:f>
        <x:v>31422.3</x:v>
      </x:c>
      <x:c r="J71" s="53" t="n">
        <x:f>MAX(0,F71+'Inventory_Snapshot'!M71-'Inventory_Snapshot'!F71-'Inventory_Snapshot'!G71)</x:f>
        <x:v>255</x:v>
      </x:c>
    </x:row>
    <x:row r="72">
      <x:c r="A72" s="56" t="str">
        <x:f>'Inventory_Snapshot'!A72</x:f>
        <x:v>SKU-0071</x:v>
      </x:c>
      <x:c r="B72" s="56" t="str">
        <x:f>'Inventory_Snapshot'!B72</x:f>
        <x:v>Cables Item 071</x:v>
      </x:c>
      <x:c r="C72" s="60" t="n">
        <x:f>'Inventory_Snapshot'!J72</x:f>
        <x:v>11.32</x:v>
      </x:c>
      <x:c r="D72" s="47" t="n">
        <x:f>ROUND(C72*30*(1+G72),0)</x:f>
        <x:v>366</x:v>
      </x:c>
      <x:c r="E72" s="47" t="n">
        <x:f>ROUND(C72*60*(1+G72),0)</x:f>
        <x:v>733</x:v>
      </x:c>
      <x:c r="F72" s="47" t="n">
        <x:f>ROUND(C72*90*(1+G72),0)</x:f>
        <x:v>1099</x:v>
      </x:c>
      <x:c r="G72" s="16" t="n">
        <x:v>0.079</x:v>
      </x:c>
      <x:c r="H72" s="58" t="n">
        <x:f>'Inventory_Snapshot'!H72</x:f>
        <x:v>198.68</x:v>
      </x:c>
      <x:c r="I72" s="44" t="n">
        <x:f>F72*H72</x:f>
        <x:v>218349.32</x:v>
      </x:c>
      <x:c r="J72" s="53" t="n">
        <x:f>MAX(0,F72+'Inventory_Snapshot'!M72-'Inventory_Snapshot'!F72-'Inventory_Snapshot'!G72)</x:f>
        <x:v>401</x:v>
      </x:c>
    </x:row>
    <x:row r="73">
      <x:c r="A73" s="56" t="str">
        <x:f>'Inventory_Snapshot'!A73</x:f>
        <x:v>SKU-0072</x:v>
      </x:c>
      <x:c r="B73" s="56" t="str">
        <x:f>'Inventory_Snapshot'!B73</x:f>
        <x:v>Tape Item 072</x:v>
      </x:c>
      <x:c r="C73" s="60" t="n">
        <x:f>'Inventory_Snapshot'!J73</x:f>
        <x:v>8.81</x:v>
      </x:c>
      <x:c r="D73" s="47" t="n">
        <x:f>ROUND(C73*30*(1+G73),0)</x:f>
        <x:v>322</x:v>
      </x:c>
      <x:c r="E73" s="47" t="n">
        <x:f>ROUND(C73*60*(1+G73),0)</x:f>
        <x:v>645</x:v>
      </x:c>
      <x:c r="F73" s="47" t="n">
        <x:f>ROUND(C73*90*(1+G73),0)</x:f>
        <x:v>967</x:v>
      </x:c>
      <x:c r="G73" s="16" t="n">
        <x:v>0.22</x:v>
      </x:c>
      <x:c r="H73" s="58" t="n">
        <x:f>'Inventory_Snapshot'!H73</x:f>
        <x:v>153.62</x:v>
      </x:c>
      <x:c r="I73" s="44" t="n">
        <x:f>F73*H73</x:f>
        <x:v>148550.54</x:v>
      </x:c>
      <x:c r="J73" s="53" t="n">
        <x:f>MAX(0,F73+'Inventory_Snapshot'!M73-'Inventory_Snapshot'!F73-'Inventory_Snapshot'!G73)</x:f>
        <x:v>477</x:v>
      </x:c>
    </x:row>
    <x:row r="74">
      <x:c r="A74" s="56" t="str">
        <x:f>'Inventory_Snapshot'!A74</x:f>
        <x:v>SKU-0073</x:v>
      </x:c>
      <x:c r="B74" s="56" t="str">
        <x:f>'Inventory_Snapshot'!B74</x:f>
        <x:v>First Aid Item 073</x:v>
      </x:c>
      <x:c r="C74" s="60" t="n">
        <x:f>'Inventory_Snapshot'!J74</x:f>
        <x:v>9.6</x:v>
      </x:c>
      <x:c r="D74" s="47" t="n">
        <x:f>ROUND(C74*30*(1+G74),0)</x:f>
        <x:v>268</x:v>
      </x:c>
      <x:c r="E74" s="47" t="n">
        <x:f>ROUND(C74*60*(1+G74),0)</x:f>
        <x:v>536</x:v>
      </x:c>
      <x:c r="F74" s="47" t="n">
        <x:f>ROUND(C74*90*(1+G74),0)</x:f>
        <x:v>804</x:v>
      </x:c>
      <x:c r="G74" s="16" t="n">
        <x:v>-0.069</x:v>
      </x:c>
      <x:c r="H74" s="58" t="n">
        <x:f>'Inventory_Snapshot'!H74</x:f>
        <x:v>37.01</x:v>
      </x:c>
      <x:c r="I74" s="44" t="n">
        <x:f>F74*H74</x:f>
        <x:v>29756.039999999997</x:v>
      </x:c>
      <x:c r="J74" s="53" t="n">
        <x:f>MAX(0,F74+'Inventory_Snapshot'!M74-'Inventory_Snapshot'!F74-'Inventory_Snapshot'!G74)</x:f>
        <x:v>818</x:v>
      </x:c>
    </x:row>
    <x:row r="75">
      <x:c r="A75" s="56" t="str">
        <x:f>'Inventory_Snapshot'!A75</x:f>
        <x:v>SKU-0074</x:v>
      </x:c>
      <x:c r="B75" s="56" t="str">
        <x:f>'Inventory_Snapshot'!B75</x:f>
        <x:v>Gloves Item 074</x:v>
      </x:c>
      <x:c r="C75" s="60" t="n">
        <x:f>'Inventory_Snapshot'!J75</x:f>
        <x:v>1.98</x:v>
      </x:c>
      <x:c r="D75" s="47" t="n">
        <x:f>ROUND(C75*30*(1+G75),0)</x:f>
        <x:v>73</x:v>
      </x:c>
      <x:c r="E75" s="47" t="n">
        <x:f>ROUND(C75*60*(1+G75),0)</x:f>
        <x:v>146</x:v>
      </x:c>
      <x:c r="F75" s="47" t="n">
        <x:f>ROUND(C75*90*(1+G75),0)</x:f>
        <x:v>219</x:v>
      </x:c>
      <x:c r="G75" s="16" t="n">
        <x:v>0.23</x:v>
      </x:c>
      <x:c r="H75" s="58" t="n">
        <x:f>'Inventory_Snapshot'!H75</x:f>
        <x:v>206.33</x:v>
      </x:c>
      <x:c r="I75" s="44" t="n">
        <x:f>F75*H75</x:f>
        <x:v>45186.270000000004</x:v>
      </x:c>
      <x:c r="J75" s="53" t="n">
        <x:f>MAX(0,F75+'Inventory_Snapshot'!M75-'Inventory_Snapshot'!F75-'Inventory_Snapshot'!G75)</x:f>
        <x:v>137</x:v>
      </x:c>
    </x:row>
    <x:row r="76">
      <x:c r="A76" s="56" t="str">
        <x:f>'Inventory_Snapshot'!A76</x:f>
        <x:v>SKU-0075</x:v>
      </x:c>
      <x:c r="B76" s="56" t="str">
        <x:f>'Inventory_Snapshot'!B76</x:f>
        <x:v>Power Item 075</x:v>
      </x:c>
      <x:c r="C76" s="60" t="n">
        <x:f>'Inventory_Snapshot'!J76</x:f>
        <x:v>1.24</x:v>
      </x:c>
      <x:c r="D76" s="47" t="n">
        <x:f>ROUND(C76*30*(1+G76),0)</x:f>
        <x:v>36</x:v>
      </x:c>
      <x:c r="E76" s="47" t="n">
        <x:f>ROUND(C76*60*(1+G76),0)</x:f>
        <x:v>73</x:v>
      </x:c>
      <x:c r="F76" s="47" t="n">
        <x:f>ROUND(C76*90*(1+G76),0)</x:f>
        <x:v>109</x:v>
      </x:c>
      <x:c r="G76" s="16" t="n">
        <x:v>-0.023</x:v>
      </x:c>
      <x:c r="H76" s="58" t="n">
        <x:f>'Inventory_Snapshot'!H76</x:f>
        <x:v>13.66</x:v>
      </x:c>
      <x:c r="I76" s="44" t="n">
        <x:f>F76*H76</x:f>
        <x:v>1488.94</x:v>
      </x:c>
      <x:c r="J76" s="53" t="n">
        <x:f>MAX(0,F76+'Inventory_Snapshot'!M76-'Inventory_Snapshot'!F76-'Inventory_Snapshot'!G76)</x:f>
        <x:v>75</x:v>
      </x:c>
    </x:row>
    <x:row r="77">
      <x:c r="A77" s="56" t="str">
        <x:f>'Inventory_Snapshot'!A77</x:f>
        <x:v>SKU-0076</x:v>
      </x:c>
      <x:c r="B77" s="56" t="str">
        <x:f>'Inventory_Snapshot'!B77</x:f>
        <x:v>Storage Item 076</x:v>
      </x:c>
      <x:c r="C77" s="60" t="n">
        <x:f>'Inventory_Snapshot'!J77</x:f>
        <x:v>4.68</x:v>
      </x:c>
      <x:c r="D77" s="47" t="n">
        <x:f>ROUND(C77*30*(1+G77),0)</x:f>
        <x:v>164</x:v>
      </x:c>
      <x:c r="E77" s="47" t="n">
        <x:f>ROUND(C77*60*(1+G77),0)</x:f>
        <x:v>328</x:v>
      </x:c>
      <x:c r="F77" s="47" t="n">
        <x:f>ROUND(C77*90*(1+G77),0)</x:f>
        <x:v>492</x:v>
      </x:c>
      <x:c r="G77" s="16" t="n">
        <x:v>0.167</x:v>
      </x:c>
      <x:c r="H77" s="58" t="n">
        <x:f>'Inventory_Snapshot'!H77</x:f>
        <x:v>132.93</x:v>
      </x:c>
      <x:c r="I77" s="44" t="n">
        <x:f>F77*H77</x:f>
        <x:v>65401.560000000005</x:v>
      </x:c>
      <x:c r="J77" s="53" t="n">
        <x:f>MAX(0,F77+'Inventory_Snapshot'!M77-'Inventory_Snapshot'!F77-'Inventory_Snapshot'!G77)</x:f>
        <x:v>225</x:v>
      </x:c>
    </x:row>
    <x:row r="78">
      <x:c r="A78" s="56" t="str">
        <x:f>'Inventory_Snapshot'!A78</x:f>
        <x:v>SKU-0077</x:v>
      </x:c>
      <x:c r="B78" s="56" t="str">
        <x:f>'Inventory_Snapshot'!B78</x:f>
        <x:v>Brackets Item 077</x:v>
      </x:c>
      <x:c r="C78" s="60" t="n">
        <x:f>'Inventory_Snapshot'!J78</x:f>
        <x:v>4.62</x:v>
      </x:c>
      <x:c r="D78" s="47" t="n">
        <x:f>ROUND(C78*30*(1+G78),0)</x:f>
        <x:v>124</x:v>
      </x:c>
      <x:c r="E78" s="47" t="n">
        <x:f>ROUND(C78*60*(1+G78),0)</x:f>
        <x:v>249</x:v>
      </x:c>
      <x:c r="F78" s="47" t="n">
        <x:f>ROUND(C78*90*(1+G78),0)</x:f>
        <x:v>373</x:v>
      </x:c>
      <x:c r="G78" s="16" t="n">
        <x:v>-0.103</x:v>
      </x:c>
      <x:c r="H78" s="58" t="n">
        <x:f>'Inventory_Snapshot'!H78</x:f>
        <x:v>12.68</x:v>
      </x:c>
      <x:c r="I78" s="44" t="n">
        <x:f>F78*H78</x:f>
        <x:v>4729.64</x:v>
      </x:c>
      <x:c r="J78" s="53" t="n">
        <x:f>MAX(0,F78+'Inventory_Snapshot'!M78-'Inventory_Snapshot'!F78-'Inventory_Snapshot'!G78)</x:f>
        <x:v>124</x:v>
      </x:c>
    </x:row>
    <x:row r="79">
      <x:c r="A79" s="56" t="str">
        <x:f>'Inventory_Snapshot'!A79</x:f>
        <x:v>SKU-0078</x:v>
      </x:c>
      <x:c r="B79" s="56" t="str">
        <x:f>'Inventory_Snapshot'!B79</x:f>
        <x:v>PPE Item 078</x:v>
      </x:c>
      <x:c r="C79" s="60" t="n">
        <x:f>'Inventory_Snapshot'!J79</x:f>
        <x:v>7.59</x:v>
      </x:c>
      <x:c r="D79" s="47" t="n">
        <x:f>ROUND(C79*30*(1+G79),0)</x:f>
        <x:v>271</x:v>
      </x:c>
      <x:c r="E79" s="47" t="n">
        <x:f>ROUND(C79*60*(1+G79),0)</x:f>
        <x:v>542</x:v>
      </x:c>
      <x:c r="F79" s="47" t="n">
        <x:f>ROUND(C79*90*(1+G79),0)</x:f>
        <x:v>814</x:v>
      </x:c>
      <x:c r="G79" s="16" t="n">
        <x:v>0.191</x:v>
      </x:c>
      <x:c r="H79" s="58" t="n">
        <x:f>'Inventory_Snapshot'!H79</x:f>
        <x:v>17.54</x:v>
      </x:c>
      <x:c r="I79" s="44" t="n">
        <x:f>F79*H79</x:f>
        <x:v>14277.56</x:v>
      </x:c>
      <x:c r="J79" s="53" t="n">
        <x:f>MAX(0,F79+'Inventory_Snapshot'!M79-'Inventory_Snapshot'!F79-'Inventory_Snapshot'!G79)</x:f>
        <x:v>382</x:v>
      </x:c>
    </x:row>
    <x:row r="80">
      <x:c r="A80" s="56" t="str">
        <x:f>'Inventory_Snapshot'!A80</x:f>
        <x:v>SKU-0079</x:v>
      </x:c>
      <x:c r="B80" s="56" t="str">
        <x:f>'Inventory_Snapshot'!B80</x:f>
        <x:v>Eyewear Item 079</x:v>
      </x:c>
      <x:c r="C80" s="60" t="n">
        <x:f>'Inventory_Snapshot'!J80</x:f>
        <x:v>3.83</x:v>
      </x:c>
      <x:c r="D80" s="47" t="n">
        <x:f>ROUND(C80*30*(1+G80),0)</x:f>
        <x:v>107</x:v>
      </x:c>
      <x:c r="E80" s="47" t="n">
        <x:f>ROUND(C80*60*(1+G80),0)</x:f>
        <x:v>214</x:v>
      </x:c>
      <x:c r="F80" s="47" t="n">
        <x:f>ROUND(C80*90*(1+G80),0)</x:f>
        <x:v>321</x:v>
      </x:c>
      <x:c r="G80" s="16" t="n">
        <x:v>-0.068</x:v>
      </x:c>
      <x:c r="H80" s="58" t="n">
        <x:f>'Inventory_Snapshot'!H80</x:f>
        <x:v>124.08</x:v>
      </x:c>
      <x:c r="I80" s="44" t="n">
        <x:f>F80*H80</x:f>
        <x:v>39829.68</x:v>
      </x:c>
      <x:c r="J80" s="53" t="n">
        <x:f>MAX(0,F80+'Inventory_Snapshot'!M80-'Inventory_Snapshot'!F80-'Inventory_Snapshot'!G80)</x:f>
        <x:v>177</x:v>
      </x:c>
    </x:row>
    <x:row r="81">
      <x:c r="A81" s="56" t="str">
        <x:f>'Inventory_Snapshot'!A81</x:f>
        <x:v>SKU-0080</x:v>
      </x:c>
      <x:c r="B81" s="56" t="str">
        <x:f>'Inventory_Snapshot'!B81</x:f>
        <x:v>Fasteners Item 080</x:v>
      </x:c>
      <x:c r="C81" s="60" t="n">
        <x:f>'Inventory_Snapshot'!J81</x:f>
        <x:v>4.62</x:v>
      </x:c>
      <x:c r="D81" s="47" t="n">
        <x:f>ROUND(C81*30*(1+G81),0)</x:f>
        <x:v>127</x:v>
      </x:c>
      <x:c r="E81" s="47" t="n">
        <x:f>ROUND(C81*60*(1+G81),0)</x:f>
        <x:v>254</x:v>
      </x:c>
      <x:c r="F81" s="47" t="n">
        <x:f>ROUND(C81*90*(1+G81),0)</x:f>
        <x:v>381</x:v>
      </x:c>
      <x:c r="G81" s="16" t="n">
        <x:v>-0.083</x:v>
      </x:c>
      <x:c r="H81" s="58" t="n">
        <x:f>'Inventory_Snapshot'!H81</x:f>
        <x:v>115.72</x:v>
      </x:c>
      <x:c r="I81" s="44" t="n">
        <x:f>F81*H81</x:f>
        <x:v>44089.32</x:v>
      </x:c>
      <x:c r="J81" s="53" t="n">
        <x:f>MAX(0,F81+'Inventory_Snapshot'!M81-'Inventory_Snapshot'!F81-'Inventory_Snapshot'!G81)</x:f>
        <x:v>0</x:v>
      </x:c>
    </x:row>
    <x:row r="82">
      <x:c r="A82" s="56" t="str">
        <x:f>'Inventory_Snapshot'!A82</x:f>
        <x:v>SKU-0081</x:v>
      </x:c>
      <x:c r="B82" s="56" t="str">
        <x:f>'Inventory_Snapshot'!B82</x:f>
        <x:v>Accessories Item 081</x:v>
      </x:c>
      <x:c r="C82" s="60" t="n">
        <x:f>'Inventory_Snapshot'!J82</x:f>
        <x:v>24.86</x:v>
      </x:c>
      <x:c r="D82" s="47" t="n">
        <x:f>ROUND(C82*30*(1+G82),0)</x:f>
        <x:v>756</x:v>
      </x:c>
      <x:c r="E82" s="47" t="n">
        <x:f>ROUND(C82*60*(1+G82),0)</x:f>
        <x:v>1512</x:v>
      </x:c>
      <x:c r="F82" s="47" t="n">
        <x:f>ROUND(C82*90*(1+G82),0)</x:f>
        <x:v>2269</x:v>
      </x:c>
      <x:c r="G82" s="16" t="n">
        <x:v>0.014</x:v>
      </x:c>
      <x:c r="H82" s="58" t="n">
        <x:f>'Inventory_Snapshot'!H82</x:f>
        <x:v>198.25</x:v>
      </x:c>
      <x:c r="I82" s="44" t="n">
        <x:f>F82*H82</x:f>
        <x:v>449829.25</x:v>
      </x:c>
      <x:c r="J82" s="53" t="n">
        <x:f>MAX(0,F82+'Inventory_Snapshot'!M82-'Inventory_Snapshot'!F82-'Inventory_Snapshot'!G82)</x:f>
        <x:v>1813</x:v>
      </x:c>
    </x:row>
    <x:row r="83">
      <x:c r="A83" s="56" t="str">
        <x:f>'Inventory_Snapshot'!A83</x:f>
        <x:v>SKU-0082</x:v>
      </x:c>
      <x:c r="B83" s="56" t="str">
        <x:f>'Inventory_Snapshot'!B83</x:f>
        <x:v>Labels Item 082</x:v>
      </x:c>
      <x:c r="C83" s="60" t="n">
        <x:f>'Inventory_Snapshot'!J83</x:f>
        <x:v>4.7</x:v>
      </x:c>
      <x:c r="D83" s="47" t="n">
        <x:f>ROUND(C83*30*(1+G83),0)</x:f>
        <x:v>127</x:v>
      </x:c>
      <x:c r="E83" s="47" t="n">
        <x:f>ROUND(C83*60*(1+G83),0)</x:f>
        <x:v>254</x:v>
      </x:c>
      <x:c r="F83" s="47" t="n">
        <x:f>ROUND(C83*90*(1+G83),0)</x:f>
        <x:v>380</x:v>
      </x:c>
      <x:c r="G83" s="16" t="n">
        <x:v>-0.101</x:v>
      </x:c>
      <x:c r="H83" s="58" t="n">
        <x:f>'Inventory_Snapshot'!H83</x:f>
        <x:v>79.16</x:v>
      </x:c>
      <x:c r="I83" s="44" t="n">
        <x:f>F83*H83</x:f>
        <x:v>30080.8</x:v>
      </x:c>
      <x:c r="J83" s="53" t="n">
        <x:f>MAX(0,F83+'Inventory_Snapshot'!M83-'Inventory_Snapshot'!F83-'Inventory_Snapshot'!G83)</x:f>
        <x:v>230</x:v>
      </x:c>
    </x:row>
    <x:row r="84">
      <x:c r="A84" s="56" t="str">
        <x:f>'Inventory_Snapshot'!A84</x:f>
        <x:v>SKU-0083</x:v>
      </x:c>
      <x:c r="B84" s="56" t="str">
        <x:f>'Inventory_Snapshot'!B84</x:f>
        <x:v>Brackets Item 083</x:v>
      </x:c>
      <x:c r="C84" s="60" t="n">
        <x:f>'Inventory_Snapshot'!J84</x:f>
        <x:v>7.26</x:v>
      </x:c>
      <x:c r="D84" s="47" t="n">
        <x:f>ROUND(C84*30*(1+G84),0)</x:f>
        <x:v>214</x:v>
      </x:c>
      <x:c r="E84" s="47" t="n">
        <x:f>ROUND(C84*60*(1+G84),0)</x:f>
        <x:v>427</x:v>
      </x:c>
      <x:c r="F84" s="47" t="n">
        <x:f>ROUND(C84*90*(1+G84),0)</x:f>
        <x:v>641</x:v>
      </x:c>
      <x:c r="G84" s="16" t="n">
        <x:v>-0.019</x:v>
      </x:c>
      <x:c r="H84" s="58" t="n">
        <x:f>'Inventory_Snapshot'!H84</x:f>
        <x:v>126.42</x:v>
      </x:c>
      <x:c r="I84" s="44" t="n">
        <x:f>F84*H84</x:f>
        <x:v>81035.22</x:v>
      </x:c>
      <x:c r="J84" s="53" t="n">
        <x:f>MAX(0,F84+'Inventory_Snapshot'!M84-'Inventory_Snapshot'!F84-'Inventory_Snapshot'!G84)</x:f>
        <x:v>468</x:v>
      </x:c>
    </x:row>
    <x:row r="85">
      <x:c r="A85" s="56" t="str">
        <x:f>'Inventory_Snapshot'!A85</x:f>
        <x:v>SKU-0084</x:v>
      </x:c>
      <x:c r="B85" s="56" t="str">
        <x:f>'Inventory_Snapshot'!B85</x:f>
        <x:v>Filters Item 084</x:v>
      </x:c>
      <x:c r="C85" s="60" t="n">
        <x:f>'Inventory_Snapshot'!J85</x:f>
        <x:v>9.39</x:v>
      </x:c>
      <x:c r="D85" s="47" t="n">
        <x:f>ROUND(C85*30*(1+G85),0)</x:f>
        <x:v>270</x:v>
      </x:c>
      <x:c r="E85" s="47" t="n">
        <x:f>ROUND(C85*60*(1+G85),0)</x:f>
        <x:v>540</x:v>
      </x:c>
      <x:c r="F85" s="47" t="n">
        <x:f>ROUND(C85*90*(1+G85),0)</x:f>
        <x:v>810</x:v>
      </x:c>
      <x:c r="G85" s="16" t="n">
        <x:v>-0.041</x:v>
      </x:c>
      <x:c r="H85" s="58" t="n">
        <x:f>'Inventory_Snapshot'!H85</x:f>
        <x:v>108.77</x:v>
      </x:c>
      <x:c r="I85" s="44" t="n">
        <x:f>F85*H85</x:f>
        <x:v>88103.7</x:v>
      </x:c>
      <x:c r="J85" s="53" t="n">
        <x:f>MAX(0,F85+'Inventory_Snapshot'!M85-'Inventory_Snapshot'!F85-'Inventory_Snapshot'!G85)</x:f>
        <x:v>122</x:v>
      </x:c>
    </x:row>
    <x:row r="86">
      <x:c r="A86" s="56" t="str">
        <x:f>'Inventory_Snapshot'!A86</x:f>
        <x:v>SKU-0085</x:v>
      </x:c>
      <x:c r="B86" s="56" t="str">
        <x:f>'Inventory_Snapshot'!B86</x:f>
        <x:v>Storage Item 085</x:v>
      </x:c>
      <x:c r="C86" s="60" t="n">
        <x:f>'Inventory_Snapshot'!J86</x:f>
        <x:v>3.56</x:v>
      </x:c>
      <x:c r="D86" s="47" t="n">
        <x:f>ROUND(C86*30*(1+G86),0)</x:f>
        <x:v>123</x:v>
      </x:c>
      <x:c r="E86" s="47" t="n">
        <x:f>ROUND(C86*60*(1+G86),0)</x:f>
        <x:v>246</x:v>
      </x:c>
      <x:c r="F86" s="47" t="n">
        <x:f>ROUND(C86*90*(1+G86),0)</x:f>
        <x:v>369</x:v>
      </x:c>
      <x:c r="G86" s="16" t="n">
        <x:v>0.153</x:v>
      </x:c>
      <x:c r="H86" s="58" t="n">
        <x:f>'Inventory_Snapshot'!H86</x:f>
        <x:v>222.39</x:v>
      </x:c>
      <x:c r="I86" s="44" t="n">
        <x:f>F86*H86</x:f>
        <x:v>82061.90999999999</x:v>
      </x:c>
      <x:c r="J86" s="53" t="n">
        <x:f>MAX(0,F86+'Inventory_Snapshot'!M86-'Inventory_Snapshot'!F86-'Inventory_Snapshot'!G86)</x:f>
        <x:v>115</x:v>
      </x:c>
    </x:row>
    <x:row r="87">
      <x:c r="A87" s="56" t="str">
        <x:f>'Inventory_Snapshot'!A87</x:f>
        <x:v>SKU-0086</x:v>
      </x:c>
      <x:c r="B87" s="56" t="str">
        <x:f>'Inventory_Snapshot'!B87</x:f>
        <x:v>Controllers Item 086</x:v>
      </x:c>
      <x:c r="C87" s="60" t="n">
        <x:f>'Inventory_Snapshot'!J87</x:f>
        <x:v>2.94</x:v>
      </x:c>
      <x:c r="D87" s="47" t="n">
        <x:f>ROUND(C87*30*(1+G87),0)</x:f>
        <x:v>107</x:v>
      </x:c>
      <x:c r="E87" s="47" t="n">
        <x:f>ROUND(C87*60*(1+G87),0)</x:f>
        <x:v>213</x:v>
      </x:c>
      <x:c r="F87" s="47" t="n">
        <x:f>ROUND(C87*90*(1+G87),0)</x:f>
        <x:v>320</x:v>
      </x:c>
      <x:c r="G87" s="16" t="n">
        <x:v>0.21</x:v>
      </x:c>
      <x:c r="H87" s="58" t="n">
        <x:f>'Inventory_Snapshot'!H87</x:f>
        <x:v>148.45</x:v>
      </x:c>
      <x:c r="I87" s="44" t="n">
        <x:f>F87*H87</x:f>
        <x:v>47504</x:v>
      </x:c>
      <x:c r="J87" s="53" t="n">
        <x:f>MAX(0,F87+'Inventory_Snapshot'!M87-'Inventory_Snapshot'!F87-'Inventory_Snapshot'!G87)</x:f>
        <x:v>281</x:v>
      </x:c>
    </x:row>
    <x:row r="88">
      <x:c r="A88" s="56" t="str">
        <x:f>'Inventory_Snapshot'!A88</x:f>
        <x:v>SKU-0087</x:v>
      </x:c>
      <x:c r="B88" s="56" t="str">
        <x:f>'Inventory_Snapshot'!B88</x:f>
        <x:v>Gears Item 087</x:v>
      </x:c>
      <x:c r="C88" s="60" t="n">
        <x:f>'Inventory_Snapshot'!J88</x:f>
        <x:v>3.18</x:v>
      </x:c>
      <x:c r="D88" s="47" t="n">
        <x:f>ROUND(C88*30*(1+G88),0)</x:f>
        <x:v>97</x:v>
      </x:c>
      <x:c r="E88" s="47" t="n">
        <x:f>ROUND(C88*60*(1+G88),0)</x:f>
        <x:v>194</x:v>
      </x:c>
      <x:c r="F88" s="47" t="n">
        <x:f>ROUND(C88*90*(1+G88),0)</x:f>
        <x:v>291</x:v>
      </x:c>
      <x:c r="G88" s="16" t="n">
        <x:v>0.018</x:v>
      </x:c>
      <x:c r="H88" s="58" t="n">
        <x:f>'Inventory_Snapshot'!H88</x:f>
        <x:v>194.73</x:v>
      </x:c>
      <x:c r="I88" s="44" t="n">
        <x:f>F88*H88</x:f>
        <x:v>56666.43</x:v>
      </x:c>
      <x:c r="J88" s="53" t="n">
        <x:f>MAX(0,F88+'Inventory_Snapshot'!M88-'Inventory_Snapshot'!F88-'Inventory_Snapshot'!G88)</x:f>
        <x:v>154</x:v>
      </x:c>
    </x:row>
    <x:row r="89">
      <x:c r="A89" s="56" t="str">
        <x:f>'Inventory_Snapshot'!A89</x:f>
        <x:v>SKU-0088</x:v>
      </x:c>
      <x:c r="B89" s="56" t="str">
        <x:f>'Inventory_Snapshot'!B89</x:f>
        <x:v>Paper Item 088</x:v>
      </x:c>
      <x:c r="C89" s="60" t="n">
        <x:f>'Inventory_Snapshot'!J89</x:f>
        <x:v>14.16</x:v>
      </x:c>
      <x:c r="D89" s="47" t="n">
        <x:f>ROUND(C89*30*(1+G89),0)</x:f>
        <x:v>508</x:v>
      </x:c>
      <x:c r="E89" s="47" t="n">
        <x:f>ROUND(C89*60*(1+G89),0)</x:f>
        <x:v>1017</x:v>
      </x:c>
      <x:c r="F89" s="47" t="n">
        <x:f>ROUND(C89*90*(1+G89),0)</x:f>
        <x:v>1525</x:v>
      </x:c>
      <x:c r="G89" s="16" t="n">
        <x:v>0.197</x:v>
      </x:c>
      <x:c r="H89" s="58" t="n">
        <x:f>'Inventory_Snapshot'!H89</x:f>
        <x:v>21.49</x:v>
      </x:c>
      <x:c r="I89" s="44" t="n">
        <x:f>F89*H89</x:f>
        <x:v>32772.25</x:v>
      </x:c>
      <x:c r="J89" s="53" t="n">
        <x:f>MAX(0,F89+'Inventory_Snapshot'!M89-'Inventory_Snapshot'!F89-'Inventory_Snapshot'!G89)</x:f>
        <x:v>31</x:v>
      </x:c>
    </x:row>
    <x:row r="90">
      <x:c r="A90" s="56" t="str">
        <x:f>'Inventory_Snapshot'!A90</x:f>
        <x:v>SKU-0089</x:v>
      </x:c>
      <x:c r="B90" s="56" t="str">
        <x:f>'Inventory_Snapshot'!B90</x:f>
        <x:v>Lubricants Item 089</x:v>
      </x:c>
      <x:c r="C90" s="60" t="n">
        <x:f>'Inventory_Snapshot'!J90</x:f>
        <x:v>5.28</x:v>
      </x:c>
      <x:c r="D90" s="47" t="n">
        <x:f>ROUND(C90*30*(1+G90),0)</x:f>
        <x:v>154</x:v>
      </x:c>
      <x:c r="E90" s="47" t="n">
        <x:f>ROUND(C90*60*(1+G90),0)</x:f>
        <x:v>308</x:v>
      </x:c>
      <x:c r="F90" s="47" t="n">
        <x:f>ROUND(C90*90*(1+G90),0)</x:f>
        <x:v>462</x:v>
      </x:c>
      <x:c r="G90" s="16" t="n">
        <x:v>-0.028</x:v>
      </x:c>
      <x:c r="H90" s="58" t="n">
        <x:f>'Inventory_Snapshot'!H90</x:f>
        <x:v>48.67</x:v>
      </x:c>
      <x:c r="I90" s="44" t="n">
        <x:f>F90*H90</x:f>
        <x:v>22485.54</x:v>
      </x:c>
      <x:c r="J90" s="53" t="n">
        <x:f>MAX(0,F90+'Inventory_Snapshot'!M90-'Inventory_Snapshot'!F90-'Inventory_Snapshot'!G90)</x:f>
        <x:v>209</x:v>
      </x:c>
    </x:row>
    <x:row r="91">
      <x:c r="A91" s="56" t="str">
        <x:f>'Inventory_Snapshot'!A91</x:f>
        <x:v>SKU-0090</x:v>
      </x:c>
      <x:c r="B91" s="56" t="str">
        <x:f>'Inventory_Snapshot'!B91</x:f>
        <x:v>Labels Item 090</x:v>
      </x:c>
      <x:c r="C91" s="60" t="n">
        <x:f>'Inventory_Snapshot'!J91</x:f>
        <x:v>3.97</x:v>
      </x:c>
      <x:c r="D91" s="47" t="n">
        <x:f>ROUND(C91*30*(1+G91),0)</x:f>
        <x:v>144</x:v>
      </x:c>
      <x:c r="E91" s="47" t="n">
        <x:f>ROUND(C91*60*(1+G91),0)</x:f>
        <x:v>288</x:v>
      </x:c>
      <x:c r="F91" s="47" t="n">
        <x:f>ROUND(C91*90*(1+G91),0)</x:f>
        <x:v>433</x:v>
      </x:c>
      <x:c r="G91" s="16" t="n">
        <x:v>0.211</x:v>
      </x:c>
      <x:c r="H91" s="58" t="n">
        <x:f>'Inventory_Snapshot'!H91</x:f>
        <x:v>116.84</x:v>
      </x:c>
      <x:c r="I91" s="44" t="n">
        <x:f>F91*H91</x:f>
        <x:v>50591.72</x:v>
      </x:c>
      <x:c r="J91" s="53" t="n">
        <x:f>MAX(0,F91+'Inventory_Snapshot'!M91-'Inventory_Snapshot'!F91-'Inventory_Snapshot'!G91)</x:f>
        <x:v>250</x:v>
      </x:c>
    </x:row>
    <x:row r="92">
      <x:c r="A92" s="56" t="str">
        <x:f>'Inventory_Snapshot'!A92</x:f>
        <x:v>SKU-0091</x:v>
      </x:c>
      <x:c r="B92" s="56" t="str">
        <x:f>'Inventory_Snapshot'!B92</x:f>
        <x:v>Tape Item 091</x:v>
      </x:c>
      <x:c r="C92" s="60" t="n">
        <x:f>'Inventory_Snapshot'!J92</x:f>
        <x:v>4.38</x:v>
      </x:c>
      <x:c r="D92" s="47" t="n">
        <x:f>ROUND(C92*30*(1+G92),0)</x:f>
        <x:v>140</x:v>
      </x:c>
      <x:c r="E92" s="47" t="n">
        <x:f>ROUND(C92*60*(1+G92),0)</x:f>
        <x:v>279</x:v>
      </x:c>
      <x:c r="F92" s="47" t="n">
        <x:f>ROUND(C92*90*(1+G92),0)</x:f>
        <x:v>419</x:v>
      </x:c>
      <x:c r="G92" s="16" t="n">
        <x:v>0.063</x:v>
      </x:c>
      <x:c r="H92" s="58" t="n">
        <x:f>'Inventory_Snapshot'!H92</x:f>
        <x:v>42.22</x:v>
      </x:c>
      <x:c r="I92" s="44" t="n">
        <x:f>F92*H92</x:f>
        <x:v>17690.18</x:v>
      </x:c>
      <x:c r="J92" s="53" t="n">
        <x:f>MAX(0,F92+'Inventory_Snapshot'!M92-'Inventory_Snapshot'!F92-'Inventory_Snapshot'!G92)</x:f>
        <x:v>163</x:v>
      </x:c>
    </x:row>
    <x:row r="93">
      <x:c r="A93" s="56" t="str">
        <x:f>'Inventory_Snapshot'!A93</x:f>
        <x:v>SKU-0092</x:v>
      </x:c>
      <x:c r="B93" s="56" t="str">
        <x:f>'Inventory_Snapshot'!B93</x:f>
        <x:v>Filters Item 092</x:v>
      </x:c>
      <x:c r="C93" s="60" t="n">
        <x:f>'Inventory_Snapshot'!J93</x:f>
        <x:v>4.25</x:v>
      </x:c>
      <x:c r="D93" s="47" t="n">
        <x:f>ROUND(C93*30*(1+G93),0)</x:f>
        <x:v>130</x:v>
      </x:c>
      <x:c r="E93" s="47" t="n">
        <x:f>ROUND(C93*60*(1+G93),0)</x:f>
        <x:v>261</x:v>
      </x:c>
      <x:c r="F93" s="47" t="n">
        <x:f>ROUND(C93*90*(1+G93),0)</x:f>
        <x:v>391</x:v>
      </x:c>
      <x:c r="G93" s="16" t="n">
        <x:v>0.022</x:v>
      </x:c>
      <x:c r="H93" s="58" t="n">
        <x:f>'Inventory_Snapshot'!H93</x:f>
        <x:v>125.08</x:v>
      </x:c>
      <x:c r="I93" s="44" t="n">
        <x:f>F93*H93</x:f>
        <x:v>48906.28</x:v>
      </x:c>
      <x:c r="J93" s="53" t="n">
        <x:f>MAX(0,F93+'Inventory_Snapshot'!M93-'Inventory_Snapshot'!F93-'Inventory_Snapshot'!G93)</x:f>
        <x:v>114</x:v>
      </x:c>
    </x:row>
    <x:row r="94">
      <x:c r="A94" s="56" t="str">
        <x:f>'Inventory_Snapshot'!A94</x:f>
        <x:v>SKU-0093</x:v>
      </x:c>
      <x:c r="B94" s="56" t="str">
        <x:f>'Inventory_Snapshot'!B94</x:f>
        <x:v>Bearings Item 093</x:v>
      </x:c>
      <x:c r="C94" s="60" t="n">
        <x:f>'Inventory_Snapshot'!J94</x:f>
        <x:v>8.18</x:v>
      </x:c>
      <x:c r="D94" s="47" t="n">
        <x:f>ROUND(C94*30*(1+G94),0)</x:f>
        <x:v>305</x:v>
      </x:c>
      <x:c r="E94" s="47" t="n">
        <x:f>ROUND(C94*60*(1+G94),0)</x:f>
        <x:v>609</x:v>
      </x:c>
      <x:c r="F94" s="47" t="n">
        <x:f>ROUND(C94*90*(1+G94),0)</x:f>
        <x:v>914</x:v>
      </x:c>
      <x:c r="G94" s="16" t="n">
        <x:v>0.241</x:v>
      </x:c>
      <x:c r="H94" s="58" t="n">
        <x:f>'Inventory_Snapshot'!H94</x:f>
        <x:v>239.3</x:v>
      </x:c>
      <x:c r="I94" s="44" t="n">
        <x:f>F94*H94</x:f>
        <x:v>218720.2</x:v>
      </x:c>
      <x:c r="J94" s="53" t="n">
        <x:f>MAX(0,F94+'Inventory_Snapshot'!M94-'Inventory_Snapshot'!F94-'Inventory_Snapshot'!G94)</x:f>
        <x:v>683</x:v>
      </x:c>
    </x:row>
    <x:row r="95">
      <x:c r="A95" s="56" t="str">
        <x:f>'Inventory_Snapshot'!A95</x:f>
        <x:v>SKU-0094</x:v>
      </x:c>
      <x:c r="B95" s="56" t="str">
        <x:f>'Inventory_Snapshot'!B95</x:f>
        <x:v>Tools Item 094</x:v>
      </x:c>
      <x:c r="C95" s="60" t="n">
        <x:f>'Inventory_Snapshot'!J95</x:f>
        <x:v>10.29</x:v>
      </x:c>
      <x:c r="D95" s="47" t="n">
        <x:f>ROUND(C95*30*(1+G95),0)</x:f>
        <x:v>283</x:v>
      </x:c>
      <x:c r="E95" s="47" t="n">
        <x:f>ROUND(C95*60*(1+G95),0)</x:f>
        <x:v>567</x:v>
      </x:c>
      <x:c r="F95" s="47" t="n">
        <x:f>ROUND(C95*90*(1+G95),0)</x:f>
        <x:v>850</x:v>
      </x:c>
      <x:c r="G95" s="16" t="n">
        <x:v>-0.082</x:v>
      </x:c>
      <x:c r="H95" s="58" t="n">
        <x:f>'Inventory_Snapshot'!H95</x:f>
        <x:v>4.75</x:v>
      </x:c>
      <x:c r="I95" s="44" t="n">
        <x:f>F95*H95</x:f>
        <x:v>4037.5</x:v>
      </x:c>
      <x:c r="J95" s="53" t="n">
        <x:f>MAX(0,F95+'Inventory_Snapshot'!M95-'Inventory_Snapshot'!F95-'Inventory_Snapshot'!G95)</x:f>
        <x:v>752</x:v>
      </x:c>
    </x:row>
    <x:row r="96">
      <x:c r="A96" s="56" t="str">
        <x:f>'Inventory_Snapshot'!A96</x:f>
        <x:v>SKU-0095</x:v>
      </x:c>
      <x:c r="B96" s="56" t="str">
        <x:f>'Inventory_Snapshot'!B96</x:f>
        <x:v>Bearings Item 095</x:v>
      </x:c>
      <x:c r="C96" s="60" t="n">
        <x:f>'Inventory_Snapshot'!J96</x:f>
        <x:v>4.53</x:v>
      </x:c>
      <x:c r="D96" s="47" t="n">
        <x:f>ROUND(C96*30*(1+G96),0)</x:f>
        <x:v>149</x:v>
      </x:c>
      <x:c r="E96" s="47" t="n">
        <x:f>ROUND(C96*60*(1+G96),0)</x:f>
        <x:v>298</x:v>
      </x:c>
      <x:c r="F96" s="47" t="n">
        <x:f>ROUND(C96*90*(1+G96),0)</x:f>
        <x:v>446</x:v>
      </x:c>
      <x:c r="G96" s="16" t="n">
        <x:v>0.095</x:v>
      </x:c>
      <x:c r="H96" s="58" t="n">
        <x:f>'Inventory_Snapshot'!H96</x:f>
        <x:v>225.04</x:v>
      </x:c>
      <x:c r="I96" s="44" t="n">
        <x:f>F96*H96</x:f>
        <x:v>100367.84</x:v>
      </x:c>
      <x:c r="J96" s="53" t="n">
        <x:f>MAX(0,F96+'Inventory_Snapshot'!M96-'Inventory_Snapshot'!F96-'Inventory_Snapshot'!G96)</x:f>
        <x:v>290</x:v>
      </x:c>
    </x:row>
    <x:row r="97">
      <x:c r="A97" s="56" t="str">
        <x:f>'Inventory_Snapshot'!A97</x:f>
        <x:v>SKU-0096</x:v>
      </x:c>
      <x:c r="B97" s="56" t="str">
        <x:f>'Inventory_Snapshot'!B97</x:f>
        <x:v>Filters Item 096</x:v>
      </x:c>
      <x:c r="C97" s="60" t="n">
        <x:f>'Inventory_Snapshot'!J97</x:f>
        <x:v>6.63</x:v>
      </x:c>
      <x:c r="D97" s="47" t="n">
        <x:f>ROUND(C97*30*(1+G97),0)</x:f>
        <x:v>186</x:v>
      </x:c>
      <x:c r="E97" s="47" t="n">
        <x:f>ROUND(C97*60*(1+G97),0)</x:f>
        <x:v>371</x:v>
      </x:c>
      <x:c r="F97" s="47" t="n">
        <x:f>ROUND(C97*90*(1+G97),0)</x:f>
        <x:v>557</x:v>
      </x:c>
      <x:c r="G97" s="16" t="n">
        <x:v>-0.067</x:v>
      </x:c>
      <x:c r="H97" s="58" t="n">
        <x:f>'Inventory_Snapshot'!H97</x:f>
        <x:v>29.46</x:v>
      </x:c>
      <x:c r="I97" s="44" t="n">
        <x:f>F97*H97</x:f>
        <x:v>16409.22</x:v>
      </x:c>
      <x:c r="J97" s="53" t="n">
        <x:f>MAX(0,F97+'Inventory_Snapshot'!M97-'Inventory_Snapshot'!F97-'Inventory_Snapshot'!G97)</x:f>
        <x:v>560</x:v>
      </x:c>
    </x:row>
    <x:row r="98">
      <x:c r="A98" s="56" t="str">
        <x:f>'Inventory_Snapshot'!A98</x:f>
        <x:v>SKU-0097</x:v>
      </x:c>
      <x:c r="B98" s="56" t="str">
        <x:f>'Inventory_Snapshot'!B98</x:f>
        <x:v>Power Item 097</x:v>
      </x:c>
      <x:c r="C98" s="60" t="n">
        <x:f>'Inventory_Snapshot'!J98</x:f>
        <x:v>9.71</x:v>
      </x:c>
      <x:c r="D98" s="47" t="n">
        <x:f>ROUND(C98*30*(1+G98),0)</x:f>
        <x:v>265</x:v>
      </x:c>
      <x:c r="E98" s="47" t="n">
        <x:f>ROUND(C98*60*(1+G98),0)</x:f>
        <x:v>529</x:v>
      </x:c>
      <x:c r="F98" s="47" t="n">
        <x:f>ROUND(C98*90*(1+G98),0)</x:f>
        <x:v>794</x:v>
      </x:c>
      <x:c r="G98" s="16" t="n">
        <x:v>-0.092</x:v>
      </x:c>
      <x:c r="H98" s="58" t="n">
        <x:f>'Inventory_Snapshot'!H98</x:f>
        <x:v>209.93</x:v>
      </x:c>
      <x:c r="I98" s="44" t="n">
        <x:f>F98*H98</x:f>
        <x:v>166684.42</x:v>
      </x:c>
      <x:c r="J98" s="53" t="n">
        <x:f>MAX(0,F98+'Inventory_Snapshot'!M98-'Inventory_Snapshot'!F98-'Inventory_Snapshot'!G98)</x:f>
        <x:v>24</x:v>
      </x:c>
    </x:row>
    <x:row r="99">
      <x:c r="A99" s="56" t="str">
        <x:f>'Inventory_Snapshot'!A99</x:f>
        <x:v>SKU-0098</x:v>
      </x:c>
      <x:c r="B99" s="56" t="str">
        <x:f>'Inventory_Snapshot'!B99</x:f>
        <x:v>Foam Item 098</x:v>
      </x:c>
      <x:c r="C99" s="60" t="n">
        <x:f>'Inventory_Snapshot'!J99</x:f>
        <x:v>5.87</x:v>
      </x:c>
      <x:c r="D99" s="47" t="n">
        <x:f>ROUND(C99*30*(1+G99),0)</x:f>
        <x:v>157</x:v>
      </x:c>
      <x:c r="E99" s="47" t="n">
        <x:f>ROUND(C99*60*(1+G99),0)</x:f>
        <x:v>313</x:v>
      </x:c>
      <x:c r="F99" s="47" t="n">
        <x:f>ROUND(C99*90*(1+G99),0)</x:f>
        <x:v>470</x:v>
      </x:c>
      <x:c r="G99" s="16" t="n">
        <x:v>-0.111</x:v>
      </x:c>
      <x:c r="H99" s="58" t="n">
        <x:f>'Inventory_Snapshot'!H99</x:f>
        <x:v>270.95</x:v>
      </x:c>
      <x:c r="I99" s="44" t="n">
        <x:f>F99*H99</x:f>
        <x:v>127346.5</x:v>
      </x:c>
      <x:c r="J99" s="53" t="n">
        <x:f>MAX(0,F99+'Inventory_Snapshot'!M99-'Inventory_Snapshot'!F99-'Inventory_Snapshot'!G99)</x:f>
        <x:v>369</x:v>
      </x:c>
    </x:row>
    <x:row r="100">
      <x:c r="A100" s="56" t="str">
        <x:f>'Inventory_Snapshot'!A100</x:f>
        <x:v>SKU-0099</x:v>
      </x:c>
      <x:c r="B100" s="56" t="str">
        <x:f>'Inventory_Snapshot'!B100</x:f>
        <x:v>Tape Item 099</x:v>
      </x:c>
      <x:c r="C100" s="60" t="n">
        <x:f>'Inventory_Snapshot'!J100</x:f>
        <x:v>18.84</x:v>
      </x:c>
      <x:c r="D100" s="47" t="n">
        <x:f>ROUND(C100*30*(1+G100),0)</x:f>
        <x:v>534</x:v>
      </x:c>
      <x:c r="E100" s="47" t="n">
        <x:f>ROUND(C100*60*(1+G100),0)</x:f>
        <x:v>1068</x:v>
      </x:c>
      <x:c r="F100" s="47" t="n">
        <x:f>ROUND(C100*90*(1+G100),0)</x:f>
        <x:v>1602</x:v>
      </x:c>
      <x:c r="G100" s="16" t="n">
        <x:v>-0.055</x:v>
      </x:c>
      <x:c r="H100" s="58" t="n">
        <x:f>'Inventory_Snapshot'!H100</x:f>
        <x:v>104</x:v>
      </x:c>
      <x:c r="I100" s="44" t="n">
        <x:f>F100*H100</x:f>
        <x:v>166608</x:v>
      </x:c>
      <x:c r="J100" s="53" t="n">
        <x:f>MAX(0,F100+'Inventory_Snapshot'!M100-'Inventory_Snapshot'!F100-'Inventory_Snapshot'!G100)</x:f>
        <x:v>686</x:v>
      </x:c>
    </x:row>
    <x:row r="101">
      <x:c r="A101" s="56" t="str">
        <x:f>'Inventory_Snapshot'!A101</x:f>
        <x:v>SKU-0100</x:v>
      </x:c>
      <x:c r="B101" s="56" t="str">
        <x:f>'Inventory_Snapshot'!B101</x:f>
        <x:v>Cleaning Item 100</x:v>
      </x:c>
      <x:c r="C101" s="60" t="n">
        <x:f>'Inventory_Snapshot'!J101</x:f>
        <x:v>2.28</x:v>
      </x:c>
      <x:c r="D101" s="47" t="n">
        <x:f>ROUND(C101*30*(1+G101),0)</x:f>
        <x:v>77</x:v>
      </x:c>
      <x:c r="E101" s="47" t="n">
        <x:f>ROUND(C101*60*(1+G101),0)</x:f>
        <x:v>153</x:v>
      </x:c>
      <x:c r="F101" s="47" t="n">
        <x:f>ROUND(C101*90*(1+G101),0)</x:f>
        <x:v>230</x:v>
      </x:c>
      <x:c r="G101" s="16" t="n">
        <x:v>0.119</x:v>
      </x:c>
      <x:c r="H101" s="58" t="n">
        <x:f>'Inventory_Snapshot'!H101</x:f>
        <x:v>108.23</x:v>
      </x:c>
      <x:c r="I101" s="44" t="n">
        <x:f>F101*H101</x:f>
        <x:v>24892.9</x:v>
      </x:c>
      <x:c r="J101" s="53" t="n">
        <x:f>MAX(0,F101+'Inventory_Snapshot'!M101-'Inventory_Snapshot'!F101-'Inventory_Snapshot'!G101)</x:f>
        <x:v>193</x:v>
      </x:c>
    </x:row>
    <x:row r="102">
      <x:c r="A102" s="56" t="str">
        <x:f>'Inventory_Snapshot'!A102</x:f>
        <x:v>SKU-0101</x:v>
      </x:c>
      <x:c r="B102" s="56" t="str">
        <x:f>'Inventory_Snapshot'!B102</x:f>
        <x:v>First Aid Item 101</x:v>
      </x:c>
      <x:c r="C102" s="60" t="n">
        <x:f>'Inventory_Snapshot'!J102</x:f>
        <x:v>4.16</x:v>
      </x:c>
      <x:c r="D102" s="47" t="n">
        <x:f>ROUND(C102*30*(1+G102),0)</x:f>
        <x:v>131</x:v>
      </x:c>
      <x:c r="E102" s="47" t="n">
        <x:f>ROUND(C102*60*(1+G102),0)</x:f>
        <x:v>261</x:v>
      </x:c>
      <x:c r="F102" s="47" t="n">
        <x:f>ROUND(C102*90*(1+G102),0)</x:f>
        <x:v>392</x:v>
      </x:c>
      <x:c r="G102" s="16" t="n">
        <x:v>0.046</x:v>
      </x:c>
      <x:c r="H102" s="58" t="n">
        <x:f>'Inventory_Snapshot'!H102</x:f>
        <x:v>63.93</x:v>
      </x:c>
      <x:c r="I102" s="44" t="n">
        <x:f>F102*H102</x:f>
        <x:v>25060.56</x:v>
      </x:c>
      <x:c r="J102" s="53" t="n">
        <x:f>MAX(0,F102+'Inventory_Snapshot'!M102-'Inventory_Snapshot'!F102-'Inventory_Snapshot'!G102)</x:f>
        <x:v>129</x:v>
      </x:c>
    </x:row>
    <x:row r="103">
      <x:c r="A103" s="56" t="str">
        <x:f>'Inventory_Snapshot'!A103</x:f>
        <x:v>SKU-0102</x:v>
      </x:c>
      <x:c r="B103" s="56" t="str">
        <x:f>'Inventory_Snapshot'!B103</x:f>
        <x:v>Sensors Item 102</x:v>
      </x:c>
      <x:c r="C103" s="60" t="n">
        <x:f>'Inventory_Snapshot'!J103</x:f>
        <x:v>22.09</x:v>
      </x:c>
      <x:c r="D103" s="47" t="n">
        <x:f>ROUND(C103*30*(1+G103),0)</x:f>
        <x:v>817</x:v>
      </x:c>
      <x:c r="E103" s="47" t="n">
        <x:f>ROUND(C103*60*(1+G103),0)</x:f>
        <x:v>1634</x:v>
      </x:c>
      <x:c r="F103" s="47" t="n">
        <x:f>ROUND(C103*90*(1+G103),0)</x:f>
        <x:v>2451</x:v>
      </x:c>
      <x:c r="G103" s="16" t="n">
        <x:v>0.233</x:v>
      </x:c>
      <x:c r="H103" s="58" t="n">
        <x:f>'Inventory_Snapshot'!H103</x:f>
        <x:v>278.87</x:v>
      </x:c>
      <x:c r="I103" s="44" t="n">
        <x:f>F103*H103</x:f>
        <x:v>683510.37</x:v>
      </x:c>
      <x:c r="J103" s="53" t="n">
        <x:f>MAX(0,F103+'Inventory_Snapshot'!M103-'Inventory_Snapshot'!F103-'Inventory_Snapshot'!G103)</x:f>
        <x:v>400</x:v>
      </x:c>
    </x:row>
    <x:row r="104">
      <x:c r="A104" s="56" t="str">
        <x:f>'Inventory_Snapshot'!A104</x:f>
        <x:v>SKU-0103</x:v>
      </x:c>
      <x:c r="B104" s="56" t="str">
        <x:f>'Inventory_Snapshot'!B104</x:f>
        <x:v>Tools Item 103</x:v>
      </x:c>
      <x:c r="C104" s="60" t="n">
        <x:f>'Inventory_Snapshot'!J104</x:f>
        <x:v>9.9</x:v>
      </x:c>
      <x:c r="D104" s="47" t="n">
        <x:f>ROUND(C104*30*(1+G104),0)</x:f>
        <x:v>343</x:v>
      </x:c>
      <x:c r="E104" s="47" t="n">
        <x:f>ROUND(C104*60*(1+G104),0)</x:f>
        <x:v>685</x:v>
      </x:c>
      <x:c r="F104" s="47" t="n">
        <x:f>ROUND(C104*90*(1+G104),0)</x:f>
        <x:v>1028</x:v>
      </x:c>
      <x:c r="G104" s="16" t="n">
        <x:v>0.154</x:v>
      </x:c>
      <x:c r="H104" s="58" t="n">
        <x:f>'Inventory_Snapshot'!H104</x:f>
        <x:v>208.48</x:v>
      </x:c>
      <x:c r="I104" s="44" t="n">
        <x:f>F104*H104</x:f>
        <x:v>214317.44</x:v>
      </x:c>
      <x:c r="J104" s="53" t="n">
        <x:f>MAX(0,F104+'Inventory_Snapshot'!M104-'Inventory_Snapshot'!F104-'Inventory_Snapshot'!G104)</x:f>
        <x:v>853</x:v>
      </x:c>
    </x:row>
    <x:row r="105">
      <x:c r="A105" s="56" t="str">
        <x:f>'Inventory_Snapshot'!A105</x:f>
        <x:v>SKU-0104</x:v>
      </x:c>
      <x:c r="B105" s="56" t="str">
        <x:f>'Inventory_Snapshot'!B105</x:f>
        <x:v>Fasteners Item 104</x:v>
      </x:c>
      <x:c r="C105" s="60" t="n">
        <x:f>'Inventory_Snapshot'!J105</x:f>
        <x:v>9.69</x:v>
      </x:c>
      <x:c r="D105" s="47" t="n">
        <x:f>ROUND(C105*30*(1+G105),0)</x:f>
        <x:v>342</x:v>
      </x:c>
      <x:c r="E105" s="47" t="n">
        <x:f>ROUND(C105*60*(1+G105),0)</x:f>
        <x:v>684</x:v>
      </x:c>
      <x:c r="F105" s="47" t="n">
        <x:f>ROUND(C105*90*(1+G105),0)</x:f>
        <x:v>1026</x:v>
      </x:c>
      <x:c r="G105" s="16" t="n">
        <x:v>0.177</x:v>
      </x:c>
      <x:c r="H105" s="58" t="n">
        <x:f>'Inventory_Snapshot'!H105</x:f>
        <x:v>105.32</x:v>
      </x:c>
      <x:c r="I105" s="44" t="n">
        <x:f>F105*H105</x:f>
        <x:v>108058.31999999999</x:v>
      </x:c>
      <x:c r="J105" s="53" t="n">
        <x:f>MAX(0,F105+'Inventory_Snapshot'!M105-'Inventory_Snapshot'!F105-'Inventory_Snapshot'!G105)</x:f>
        <x:v>932</x:v>
      </x:c>
    </x:row>
    <x:row r="106">
      <x:c r="A106" s="56" t="str">
        <x:f>'Inventory_Snapshot'!A106</x:f>
        <x:v>SKU-0105</x:v>
      </x:c>
      <x:c r="B106" s="56" t="str">
        <x:f>'Inventory_Snapshot'!B106</x:f>
        <x:v>Cleaning Item 105</x:v>
      </x:c>
      <x:c r="C106" s="60" t="n">
        <x:f>'Inventory_Snapshot'!J106</x:f>
        <x:v>17.76</x:v>
      </x:c>
      <x:c r="D106" s="47" t="n">
        <x:f>ROUND(C106*30*(1+G106),0)</x:f>
        <x:v>569</x:v>
      </x:c>
      <x:c r="E106" s="47" t="n">
        <x:f>ROUND(C106*60*(1+G106),0)</x:f>
        <x:v>1138</x:v>
      </x:c>
      <x:c r="F106" s="47" t="n">
        <x:f>ROUND(C106*90*(1+G106),0)</x:f>
        <x:v>1707</x:v>
      </x:c>
      <x:c r="G106" s="16" t="n">
        <x:v>0.068</x:v>
      </x:c>
      <x:c r="H106" s="58" t="n">
        <x:f>'Inventory_Snapshot'!H106</x:f>
        <x:v>112.98</x:v>
      </x:c>
      <x:c r="I106" s="44" t="n">
        <x:f>F106*H106</x:f>
        <x:v>192856.86000000002</x:v>
      </x:c>
      <x:c r="J106" s="53" t="n">
        <x:f>MAX(0,F106+'Inventory_Snapshot'!M106-'Inventory_Snapshot'!F106-'Inventory_Snapshot'!G106)</x:f>
        <x:v>844</x:v>
      </x:c>
    </x:row>
    <x:row r="107">
      <x:c r="A107" s="56" t="str">
        <x:f>'Inventory_Snapshot'!A107</x:f>
        <x:v>SKU-0106</x:v>
      </x:c>
      <x:c r="B107" s="56" t="str">
        <x:f>'Inventory_Snapshot'!B107</x:f>
        <x:v>Gloves Item 106</x:v>
      </x:c>
      <x:c r="C107" s="60" t="n">
        <x:f>'Inventory_Snapshot'!J107</x:f>
        <x:v>3.03</x:v>
      </x:c>
      <x:c r="D107" s="47" t="n">
        <x:f>ROUND(C107*30*(1+G107),0)</x:f>
        <x:v>94</x:v>
      </x:c>
      <x:c r="E107" s="47" t="n">
        <x:f>ROUND(C107*60*(1+G107),0)</x:f>
        <x:v>187</x:v>
      </x:c>
      <x:c r="F107" s="47" t="n">
        <x:f>ROUND(C107*90*(1+G107),0)</x:f>
        <x:v>281</x:v>
      </x:c>
      <x:c r="G107" s="16" t="n">
        <x:v>0.031</x:v>
      </x:c>
      <x:c r="H107" s="58" t="n">
        <x:f>'Inventory_Snapshot'!H107</x:f>
        <x:v>220.84</x:v>
      </x:c>
      <x:c r="I107" s="44" t="n">
        <x:f>F107*H107</x:f>
        <x:v>62056.04</x:v>
      </x:c>
      <x:c r="J107" s="53" t="n">
        <x:f>MAX(0,F107+'Inventory_Snapshot'!M107-'Inventory_Snapshot'!F107-'Inventory_Snapshot'!G107)</x:f>
        <x:v>176</x:v>
      </x:c>
    </x:row>
    <x:row r="108">
      <x:c r="A108" s="56" t="str">
        <x:f>'Inventory_Snapshot'!A108</x:f>
        <x:v>SKU-0107</x:v>
      </x:c>
      <x:c r="B108" s="56" t="str">
        <x:f>'Inventory_Snapshot'!B108</x:f>
        <x:v>Labels Item 107</x:v>
      </x:c>
      <x:c r="C108" s="60" t="n">
        <x:f>'Inventory_Snapshot'!J108</x:f>
        <x:v>2.26</x:v>
      </x:c>
      <x:c r="D108" s="47" t="n">
        <x:f>ROUND(C108*30*(1+G108),0)</x:f>
        <x:v>76</x:v>
      </x:c>
      <x:c r="E108" s="47" t="n">
        <x:f>ROUND(C108*60*(1+G108),0)</x:f>
        <x:v>152</x:v>
      </x:c>
      <x:c r="F108" s="47" t="n">
        <x:f>ROUND(C108*90*(1+G108),0)</x:f>
        <x:v>228</x:v>
      </x:c>
      <x:c r="G108" s="16" t="n">
        <x:v>0.123</x:v>
      </x:c>
      <x:c r="H108" s="58" t="n">
        <x:f>'Inventory_Snapshot'!H108</x:f>
        <x:v>217.39</x:v>
      </x:c>
      <x:c r="I108" s="44" t="n">
        <x:f>F108*H108</x:f>
        <x:v>49564.92</x:v>
      </x:c>
      <x:c r="J108" s="53" t="n">
        <x:f>MAX(0,F108+'Inventory_Snapshot'!M108-'Inventory_Snapshot'!F108-'Inventory_Snapshot'!G108)</x:f>
        <x:v>213</x:v>
      </x:c>
    </x:row>
    <x:row r="109">
      <x:c r="A109" s="56" t="str">
        <x:f>'Inventory_Snapshot'!A109</x:f>
        <x:v>SKU-0108</x:v>
      </x:c>
      <x:c r="B109" s="56" t="str">
        <x:f>'Inventory_Snapshot'!B109</x:f>
        <x:v>Cartons Item 108</x:v>
      </x:c>
      <x:c r="C109" s="60" t="n">
        <x:f>'Inventory_Snapshot'!J109</x:f>
        <x:v>8.87</x:v>
      </x:c>
      <x:c r="D109" s="47" t="n">
        <x:f>ROUND(C109*30*(1+G109),0)</x:f>
        <x:v>326</x:v>
      </x:c>
      <x:c r="E109" s="47" t="n">
        <x:f>ROUND(C109*60*(1+G109),0)</x:f>
        <x:v>651</x:v>
      </x:c>
      <x:c r="F109" s="47" t="n">
        <x:f>ROUND(C109*90*(1+G109),0)</x:f>
        <x:v>977</x:v>
      </x:c>
      <x:c r="G109" s="16" t="n">
        <x:v>0.224</x:v>
      </x:c>
      <x:c r="H109" s="58" t="n">
        <x:f>'Inventory_Snapshot'!H109</x:f>
        <x:v>242.94</x:v>
      </x:c>
      <x:c r="I109" s="44" t="n">
        <x:f>F109*H109</x:f>
        <x:v>237352.38</x:v>
      </x:c>
      <x:c r="J109" s="53" t="n">
        <x:f>MAX(0,F109+'Inventory_Snapshot'!M109-'Inventory_Snapshot'!F109-'Inventory_Snapshot'!G109)</x:f>
        <x:v>624</x:v>
      </x:c>
    </x:row>
    <x:row r="110">
      <x:c r="A110" s="56" t="str">
        <x:f>'Inventory_Snapshot'!A110</x:f>
        <x:v>SKU-0109</x:v>
      </x:c>
      <x:c r="B110" s="56" t="str">
        <x:f>'Inventory_Snapshot'!B110</x:f>
        <x:v>Cables Item 109</x:v>
      </x:c>
      <x:c r="C110" s="60" t="n">
        <x:f>'Inventory_Snapshot'!J110</x:f>
        <x:v>13.41</x:v>
      </x:c>
      <x:c r="D110" s="47" t="n">
        <x:f>ROUND(C110*30*(1+G110),0)</x:f>
        <x:v>380</x:v>
      </x:c>
      <x:c r="E110" s="47" t="n">
        <x:f>ROUND(C110*60*(1+G110),0)</x:f>
        <x:v>760</x:v>
      </x:c>
      <x:c r="F110" s="47" t="n">
        <x:f>ROUND(C110*90*(1+G110),0)</x:f>
        <x:v>1139</x:v>
      </x:c>
      <x:c r="G110" s="16" t="n">
        <x:v>-0.056</x:v>
      </x:c>
      <x:c r="H110" s="58" t="n">
        <x:f>'Inventory_Snapshot'!H110</x:f>
        <x:v>119.32</x:v>
      </x:c>
      <x:c r="I110" s="44" t="n">
        <x:f>F110*H110</x:f>
        <x:v>135905.47999999998</x:v>
      </x:c>
      <x:c r="J110" s="53" t="n">
        <x:f>MAX(0,F110+'Inventory_Snapshot'!M110-'Inventory_Snapshot'!F110-'Inventory_Snapshot'!G110)</x:f>
        <x:v>496</x:v>
      </x:c>
    </x:row>
    <x:row r="111">
      <x:c r="A111" s="56" t="str">
        <x:f>'Inventory_Snapshot'!A111</x:f>
        <x:v>SKU-0110</x:v>
      </x:c>
      <x:c r="B111" s="56" t="str">
        <x:f>'Inventory_Snapshot'!B111</x:f>
        <x:v>Eyewear Item 110</x:v>
      </x:c>
      <x:c r="C111" s="60" t="n">
        <x:f>'Inventory_Snapshot'!J111</x:f>
        <x:v>14.87</x:v>
      </x:c>
      <x:c r="D111" s="47" t="n">
        <x:f>ROUND(C111*30*(1+G111),0)</x:f>
        <x:v>526</x:v>
      </x:c>
      <x:c r="E111" s="47" t="n">
        <x:f>ROUND(C111*60*(1+G111),0)</x:f>
        <x:v>1053</x:v>
      </x:c>
      <x:c r="F111" s="47" t="n">
        <x:f>ROUND(C111*90*(1+G111),0)</x:f>
        <x:v>1579</x:v>
      </x:c>
      <x:c r="G111" s="16" t="n">
        <x:v>0.18</x:v>
      </x:c>
      <x:c r="H111" s="58" t="n">
        <x:f>'Inventory_Snapshot'!H111</x:f>
        <x:v>14.53</x:v>
      </x:c>
      <x:c r="I111" s="44" t="n">
        <x:f>F111*H111</x:f>
        <x:v>22942.87</x:v>
      </x:c>
      <x:c r="J111" s="53" t="n">
        <x:f>MAX(0,F111+'Inventory_Snapshot'!M111-'Inventory_Snapshot'!F111-'Inventory_Snapshot'!G111)</x:f>
        <x:v>455</x:v>
      </x:c>
    </x:row>
    <x:row r="112">
      <x:c r="A112" s="56" t="str">
        <x:f>'Inventory_Snapshot'!A112</x:f>
        <x:v>SKU-0111</x:v>
      </x:c>
      <x:c r="B112" s="56" t="str">
        <x:f>'Inventory_Snapshot'!B112</x:f>
        <x:v>Controllers Item 111</x:v>
      </x:c>
      <x:c r="C112" s="60" t="n">
        <x:f>'Inventory_Snapshot'!J112</x:f>
        <x:v>7.38</x:v>
      </x:c>
      <x:c r="D112" s="47" t="n">
        <x:f>ROUND(C112*30*(1+G112),0)</x:f>
        <x:v>242</x:v>
      </x:c>
      <x:c r="E112" s="47" t="n">
        <x:f>ROUND(C112*60*(1+G112),0)</x:f>
        <x:v>484</x:v>
      </x:c>
      <x:c r="F112" s="47" t="n">
        <x:f>ROUND(C112*90*(1+G112),0)</x:f>
        <x:v>725</x:v>
      </x:c>
      <x:c r="G112" s="16" t="n">
        <x:v>0.092</x:v>
      </x:c>
      <x:c r="H112" s="58" t="n">
        <x:f>'Inventory_Snapshot'!H112</x:f>
        <x:v>120.79</x:v>
      </x:c>
      <x:c r="I112" s="44" t="n">
        <x:f>F112*H112</x:f>
        <x:v>87572.75</x:v>
      </x:c>
      <x:c r="J112" s="53" t="n">
        <x:f>MAX(0,F112+'Inventory_Snapshot'!M112-'Inventory_Snapshot'!F112-'Inventory_Snapshot'!G112)</x:f>
        <x:v>349</x:v>
      </x:c>
    </x:row>
    <x:row r="113">
      <x:c r="A113" s="56" t="str">
        <x:f>'Inventory_Snapshot'!A113</x:f>
        <x:v>SKU-0112</x:v>
      </x:c>
      <x:c r="B113" s="56" t="str">
        <x:f>'Inventory_Snapshot'!B113</x:f>
        <x:v>Cables Item 112</x:v>
      </x:c>
      <x:c r="C113" s="60" t="n">
        <x:f>'Inventory_Snapshot'!J113</x:f>
        <x:v>4.49</x:v>
      </x:c>
      <x:c r="D113" s="47" t="n">
        <x:f>ROUND(C113*30*(1+G113),0)</x:f>
        <x:v>125</x:v>
      </x:c>
      <x:c r="E113" s="47" t="n">
        <x:f>ROUND(C113*60*(1+G113),0)</x:f>
        <x:v>250</x:v>
      </x:c>
      <x:c r="F113" s="47" t="n">
        <x:f>ROUND(C113*90*(1+G113),0)</x:f>
        <x:v>375</x:v>
      </x:c>
      <x:c r="G113" s="16" t="n">
        <x:v>-0.072</x:v>
      </x:c>
      <x:c r="H113" s="58" t="n">
        <x:f>'Inventory_Snapshot'!H113</x:f>
        <x:v>175.75</x:v>
      </x:c>
      <x:c r="I113" s="44" t="n">
        <x:f>F113*H113</x:f>
        <x:v>65906.25</x:v>
      </x:c>
      <x:c r="J113" s="53" t="n">
        <x:f>MAX(0,F113+'Inventory_Snapshot'!M113-'Inventory_Snapshot'!F113-'Inventory_Snapshot'!G113)</x:f>
        <x:v>80</x:v>
      </x:c>
    </x:row>
    <x:row r="114">
      <x:c r="A114" s="56" t="str">
        <x:f>'Inventory_Snapshot'!A114</x:f>
        <x:v>SKU-0113</x:v>
      </x:c>
      <x:c r="B114" s="56" t="str">
        <x:f>'Inventory_Snapshot'!B114</x:f>
        <x:v>PPE Item 113</x:v>
      </x:c>
      <x:c r="C114" s="60" t="n">
        <x:f>'Inventory_Snapshot'!J114</x:f>
        <x:v>3.06</x:v>
      </x:c>
      <x:c r="D114" s="47" t="n">
        <x:f>ROUND(C114*30*(1+G114),0)</x:f>
        <x:v>110</x:v>
      </x:c>
      <x:c r="E114" s="47" t="n">
        <x:f>ROUND(C114*60*(1+G114),0)</x:f>
        <x:v>219</x:v>
      </x:c>
      <x:c r="F114" s="47" t="n">
        <x:f>ROUND(C114*90*(1+G114),0)</x:f>
        <x:v>329</x:v>
      </x:c>
      <x:c r="G114" s="16" t="n">
        <x:v>0.194</x:v>
      </x:c>
      <x:c r="H114" s="58" t="n">
        <x:f>'Inventory_Snapshot'!H114</x:f>
        <x:v>222.58</x:v>
      </x:c>
      <x:c r="I114" s="44" t="n">
        <x:f>F114*H114</x:f>
        <x:v>73228.82</x:v>
      </x:c>
      <x:c r="J114" s="53" t="n">
        <x:f>MAX(0,F114+'Inventory_Snapshot'!M114-'Inventory_Snapshot'!F114-'Inventory_Snapshot'!G114)</x:f>
        <x:v>232</x:v>
      </x:c>
    </x:row>
    <x:row r="115">
      <x:c r="A115" s="56" t="str">
        <x:f>'Inventory_Snapshot'!A115</x:f>
        <x:v>SKU-0114</x:v>
      </x:c>
      <x:c r="B115" s="56" t="str">
        <x:f>'Inventory_Snapshot'!B115</x:f>
        <x:v>Tape Item 114</x:v>
      </x:c>
      <x:c r="C115" s="60" t="n">
        <x:f>'Inventory_Snapshot'!J115</x:f>
        <x:v>6.51</x:v>
      </x:c>
      <x:c r="D115" s="47" t="n">
        <x:f>ROUND(C115*30*(1+G115),0)</x:f>
        <x:v>192</x:v>
      </x:c>
      <x:c r="E115" s="47" t="n">
        <x:f>ROUND(C115*60*(1+G115),0)</x:f>
        <x:v>385</x:v>
      </x:c>
      <x:c r="F115" s="47" t="n">
        <x:f>ROUND(C115*90*(1+G115),0)</x:f>
        <x:v>577</x:v>
      </x:c>
      <x:c r="G115" s="16" t="n">
        <x:v>-0.015</x:v>
      </x:c>
      <x:c r="H115" s="58" t="n">
        <x:f>'Inventory_Snapshot'!H115</x:f>
        <x:v>232.11</x:v>
      </x:c>
      <x:c r="I115" s="44" t="n">
        <x:f>F115*H115</x:f>
        <x:v>133927.47</x:v>
      </x:c>
      <x:c r="J115" s="53" t="n">
        <x:f>MAX(0,F115+'Inventory_Snapshot'!M115-'Inventory_Snapshot'!F115-'Inventory_Snapshot'!G115)</x:f>
        <x:v>138</x:v>
      </x:c>
    </x:row>
    <x:row r="116">
      <x:c r="A116" s="56" t="str">
        <x:f>'Inventory_Snapshot'!A116</x:f>
        <x:v>SKU-0115</x:v>
      </x:c>
      <x:c r="B116" s="56" t="str">
        <x:f>'Inventory_Snapshot'!B116</x:f>
        <x:v>Tape Item 115</x:v>
      </x:c>
      <x:c r="C116" s="60" t="n">
        <x:f>'Inventory_Snapshot'!J116</x:f>
        <x:v>10.56</x:v>
      </x:c>
      <x:c r="D116" s="47" t="n">
        <x:f>ROUND(C116*30*(1+G116),0)</x:f>
        <x:v>386</x:v>
      </x:c>
      <x:c r="E116" s="47" t="n">
        <x:f>ROUND(C116*60*(1+G116),0)</x:f>
        <x:v>771</x:v>
      </x:c>
      <x:c r="F116" s="47" t="n">
        <x:f>ROUND(C116*90*(1+G116),0)</x:f>
        <x:v>1157</x:v>
      </x:c>
      <x:c r="G116" s="16" t="n">
        <x:v>0.217</x:v>
      </x:c>
      <x:c r="H116" s="58" t="n">
        <x:f>'Inventory_Snapshot'!H116</x:f>
        <x:v>27.81</x:v>
      </x:c>
      <x:c r="I116" s="44" t="n">
        <x:f>F116*H116</x:f>
        <x:v>32176.17</x:v>
      </x:c>
      <x:c r="J116" s="53" t="n">
        <x:f>MAX(0,F116+'Inventory_Snapshot'!M116-'Inventory_Snapshot'!F116-'Inventory_Snapshot'!G116)</x:f>
        <x:v>0</x:v>
      </x:c>
    </x:row>
    <x:row r="117">
      <x:c r="A117" s="56" t="str">
        <x:f>'Inventory_Snapshot'!A117</x:f>
        <x:v>SKU-0116</x:v>
      </x:c>
      <x:c r="B117" s="56" t="str">
        <x:f>'Inventory_Snapshot'!B117</x:f>
        <x:v>First Aid Item 116</x:v>
      </x:c>
      <x:c r="C117" s="60" t="n">
        <x:f>'Inventory_Snapshot'!J117</x:f>
        <x:v>2.82</x:v>
      </x:c>
      <x:c r="D117" s="47" t="n">
        <x:f>ROUND(C117*30*(1+G117),0)</x:f>
        <x:v>100</x:v>
      </x:c>
      <x:c r="E117" s="47" t="n">
        <x:f>ROUND(C117*60*(1+G117),0)</x:f>
        <x:v>199</x:v>
      </x:c>
      <x:c r="F117" s="47" t="n">
        <x:f>ROUND(C117*90*(1+G117),0)</x:f>
        <x:v>299</x:v>
      </x:c>
      <x:c r="G117" s="16" t="n">
        <x:v>0.177</x:v>
      </x:c>
      <x:c r="H117" s="58" t="n">
        <x:f>'Inventory_Snapshot'!H117</x:f>
        <x:v>36.42</x:v>
      </x:c>
      <x:c r="I117" s="44" t="n">
        <x:f>F117*H117</x:f>
        <x:v>10889.58</x:v>
      </x:c>
      <x:c r="J117" s="53" t="n">
        <x:f>MAX(0,F117+'Inventory_Snapshot'!M117-'Inventory_Snapshot'!F117-'Inventory_Snapshot'!G117)</x:f>
        <x:v>109</x:v>
      </x:c>
    </x:row>
    <x:row r="118">
      <x:c r="A118" s="56" t="str">
        <x:f>'Inventory_Snapshot'!A118</x:f>
        <x:v>SKU-0117</x:v>
      </x:c>
      <x:c r="B118" s="56" t="str">
        <x:f>'Inventory_Snapshot'!B118</x:f>
        <x:v>Fasteners Item 117</x:v>
      </x:c>
      <x:c r="C118" s="60" t="n">
        <x:f>'Inventory_Snapshot'!J118</x:f>
        <x:v>9.67</x:v>
      </x:c>
      <x:c r="D118" s="47" t="n">
        <x:f>ROUND(C118*30*(1+G118),0)</x:f>
        <x:v>350</x:v>
      </x:c>
      <x:c r="E118" s="47" t="n">
        <x:f>ROUND(C118*60*(1+G118),0)</x:f>
        <x:v>701</x:v>
      </x:c>
      <x:c r="F118" s="47" t="n">
        <x:f>ROUND(C118*90*(1+G118),0)</x:f>
        <x:v>1051</x:v>
      </x:c>
      <x:c r="G118" s="16" t="n">
        <x:v>0.208</x:v>
      </x:c>
      <x:c r="H118" s="58" t="n">
        <x:f>'Inventory_Snapshot'!H118</x:f>
        <x:v>143.31</x:v>
      </x:c>
      <x:c r="I118" s="44" t="n">
        <x:f>F118*H118</x:f>
        <x:v>150618.81</x:v>
      </x:c>
      <x:c r="J118" s="53" t="n">
        <x:f>MAX(0,F118+'Inventory_Snapshot'!M118-'Inventory_Snapshot'!F118-'Inventory_Snapshot'!G118)</x:f>
        <x:v>175</x:v>
      </x:c>
    </x:row>
    <x:row r="119">
      <x:c r="A119" s="56" t="str">
        <x:f>'Inventory_Snapshot'!A119</x:f>
        <x:v>SKU-0118</x:v>
      </x:c>
      <x:c r="B119" s="56" t="str">
        <x:f>'Inventory_Snapshot'!B119</x:f>
        <x:v>Bearings Item 118</x:v>
      </x:c>
      <x:c r="C119" s="60" t="n">
        <x:f>'Inventory_Snapshot'!J119</x:f>
        <x:v>2.65</x:v>
      </x:c>
      <x:c r="D119" s="47" t="n">
        <x:f>ROUND(C119*30*(1+G119),0)</x:f>
        <x:v>72</x:v>
      </x:c>
      <x:c r="E119" s="47" t="n">
        <x:f>ROUND(C119*60*(1+G119),0)</x:f>
        <x:v>144</x:v>
      </x:c>
      <x:c r="F119" s="47" t="n">
        <x:f>ROUND(C119*90*(1+G119),0)</x:f>
        <x:v>216</x:v>
      </x:c>
      <x:c r="G119" s="16" t="n">
        <x:v>-0.093</x:v>
      </x:c>
      <x:c r="H119" s="58" t="n">
        <x:f>'Inventory_Snapshot'!H119</x:f>
        <x:v>237.03</x:v>
      </x:c>
      <x:c r="I119" s="44" t="n">
        <x:f>F119*H119</x:f>
        <x:v>51198.48</x:v>
      </x:c>
      <x:c r="J119" s="53" t="n">
        <x:f>MAX(0,F119+'Inventory_Snapshot'!M119-'Inventory_Snapshot'!F119-'Inventory_Snapshot'!G119)</x:f>
        <x:v>0</x:v>
      </x:c>
    </x:row>
    <x:row r="120">
      <x:c r="A120" s="56" t="str">
        <x:f>'Inventory_Snapshot'!A120</x:f>
        <x:v>SKU-0119</x:v>
      </x:c>
      <x:c r="B120" s="56" t="str">
        <x:f>'Inventory_Snapshot'!B120</x:f>
        <x:v>Cleaning Item 119</x:v>
      </x:c>
      <x:c r="C120" s="60" t="n">
        <x:f>'Inventory_Snapshot'!J120</x:f>
        <x:v>4.78</x:v>
      </x:c>
      <x:c r="D120" s="47" t="n">
        <x:f>ROUND(C120*30*(1+G120),0)</x:f>
        <x:v>148</x:v>
      </x:c>
      <x:c r="E120" s="47" t="n">
        <x:f>ROUND(C120*60*(1+G120),0)</x:f>
        <x:v>297</x:v>
      </x:c>
      <x:c r="F120" s="47" t="n">
        <x:f>ROUND(C120*90*(1+G120),0)</x:f>
        <x:v>445</x:v>
      </x:c>
      <x:c r="G120" s="16" t="n">
        <x:v>0.035</x:v>
      </x:c>
      <x:c r="H120" s="58" t="n">
        <x:f>'Inventory_Snapshot'!H120</x:f>
        <x:v>52.57</x:v>
      </x:c>
      <x:c r="I120" s="44" t="n">
        <x:f>F120*H120</x:f>
        <x:v>23393.65</x:v>
      </x:c>
      <x:c r="J120" s="53" t="n">
        <x:f>MAX(0,F120+'Inventory_Snapshot'!M120-'Inventory_Snapshot'!F120-'Inventory_Snapshot'!G120)</x:f>
        <x:v>93</x:v>
      </x:c>
    </x:row>
    <x:row r="121">
      <x:c r="A121" s="56" t="str">
        <x:f>'Inventory_Snapshot'!A121</x:f>
        <x:v>SKU-0120</x:v>
      </x:c>
      <x:c r="B121" s="56" t="str">
        <x:f>'Inventory_Snapshot'!B121</x:f>
        <x:v>PPE Item 120</x:v>
      </x:c>
      <x:c r="C121" s="60" t="n">
        <x:f>'Inventory_Snapshot'!J121</x:f>
        <x:v>5.3</x:v>
      </x:c>
      <x:c r="D121" s="47" t="n">
        <x:f>ROUND(C121*30*(1+G121),0)</x:f>
        <x:v>150</x:v>
      </x:c>
      <x:c r="E121" s="47" t="n">
        <x:f>ROUND(C121*60*(1+G121),0)</x:f>
        <x:v>301</x:v>
      </x:c>
      <x:c r="F121" s="47" t="n">
        <x:f>ROUND(C121*90*(1+G121),0)</x:f>
        <x:v>451</x:v>
      </x:c>
      <x:c r="G121" s="16" t="n">
        <x:v>-0.055</x:v>
      </x:c>
      <x:c r="H121" s="58" t="n">
        <x:f>'Inventory_Snapshot'!H121</x:f>
        <x:v>41.87</x:v>
      </x:c>
      <x:c r="I121" s="44" t="n">
        <x:f>F121*H121</x:f>
        <x:v>18883.37</x:v>
      </x:c>
      <x:c r="J121" s="53" t="n">
        <x:f>MAX(0,F121+'Inventory_Snapshot'!M121-'Inventory_Snapshot'!F121-'Inventory_Snapshot'!G121)</x:f>
        <x:v>291</x:v>
      </x:c>
    </x:row>
    <x:row r="122">
      <x:c r="A122" s="56" t="str">
        <x:f>'Inventory_Snapshot'!A122</x:f>
        <x:v>SKU-0121</x:v>
      </x:c>
      <x:c r="B122" s="56" t="str">
        <x:f>'Inventory_Snapshot'!B122</x:f>
        <x:v>Bearings Item 121</x:v>
      </x:c>
      <x:c r="C122" s="60" t="n">
        <x:f>'Inventory_Snapshot'!J122</x:f>
        <x:v>4.01</x:v>
      </x:c>
      <x:c r="D122" s="47" t="n">
        <x:f>ROUND(C122*30*(1+G122),0)</x:f>
        <x:v>133</x:v>
      </x:c>
      <x:c r="E122" s="47" t="n">
        <x:f>ROUND(C122*60*(1+G122),0)</x:f>
        <x:v>266</x:v>
      </x:c>
      <x:c r="F122" s="47" t="n">
        <x:f>ROUND(C122*90*(1+G122),0)</x:f>
        <x:v>400</x:v>
      </x:c>
      <x:c r="G122" s="16" t="n">
        <x:v>0.107</x:v>
      </x:c>
      <x:c r="H122" s="58" t="n">
        <x:f>'Inventory_Snapshot'!H122</x:f>
        <x:v>88.98</x:v>
      </x:c>
      <x:c r="I122" s="44" t="n">
        <x:f>F122*H122</x:f>
        <x:v>35592</x:v>
      </x:c>
      <x:c r="J122" s="53" t="n">
        <x:f>MAX(0,F122+'Inventory_Snapshot'!M122-'Inventory_Snapshot'!F122-'Inventory_Snapshot'!G122)</x:f>
        <x:v>154</x:v>
      </x:c>
    </x:row>
    <x:row r="123">
      <x:c r="A123" s="56" t="str">
        <x:f>'Inventory_Snapshot'!A123</x:f>
        <x:v>SKU-0122</x:v>
      </x:c>
      <x:c r="B123" s="56" t="str">
        <x:f>'Inventory_Snapshot'!B123</x:f>
        <x:v>Gloves Item 122</x:v>
      </x:c>
      <x:c r="C123" s="60" t="n">
        <x:f>'Inventory_Snapshot'!J123</x:f>
        <x:v>7.11</x:v>
      </x:c>
      <x:c r="D123" s="47" t="n">
        <x:f>ROUND(C123*30*(1+G123),0)</x:f>
        <x:v>256</x:v>
      </x:c>
      <x:c r="E123" s="47" t="n">
        <x:f>ROUND(C123*60*(1+G123),0)</x:f>
        <x:v>512</x:v>
      </x:c>
      <x:c r="F123" s="47" t="n">
        <x:f>ROUND(C123*90*(1+G123),0)</x:f>
        <x:v>769</x:v>
      </x:c>
      <x:c r="G123" s="16" t="n">
        <x:v>0.201</x:v>
      </x:c>
      <x:c r="H123" s="58" t="n">
        <x:f>'Inventory_Snapshot'!H123</x:f>
        <x:v>25.14</x:v>
      </x:c>
      <x:c r="I123" s="44" t="n">
        <x:f>F123*H123</x:f>
        <x:v>19332.66</x:v>
      </x:c>
      <x:c r="J123" s="53" t="n">
        <x:f>MAX(0,F123+'Inventory_Snapshot'!M123-'Inventory_Snapshot'!F123-'Inventory_Snapshot'!G123)</x:f>
        <x:v>451</x:v>
      </x:c>
    </x:row>
    <x:row r="124">
      <x:c r="A124" s="56" t="str">
        <x:f>'Inventory_Snapshot'!A124</x:f>
        <x:v>SKU-0123</x:v>
      </x:c>
      <x:c r="B124" s="56" t="str">
        <x:f>'Inventory_Snapshot'!B124</x:f>
        <x:v>Gloves Item 123</x:v>
      </x:c>
      <x:c r="C124" s="60" t="n">
        <x:f>'Inventory_Snapshot'!J124</x:f>
        <x:v>11.26</x:v>
      </x:c>
      <x:c r="D124" s="47" t="n">
        <x:f>ROUND(C124*30*(1+G124),0)</x:f>
        <x:v>325</x:v>
      </x:c>
      <x:c r="E124" s="47" t="n">
        <x:f>ROUND(C124*60*(1+G124),0)</x:f>
        <x:v>649</x:v>
      </x:c>
      <x:c r="F124" s="47" t="n">
        <x:f>ROUND(C124*90*(1+G124),0)</x:f>
        <x:v>974</x:v>
      </x:c>
      <x:c r="G124" s="16" t="n">
        <x:v>-0.039</x:v>
      </x:c>
      <x:c r="H124" s="58" t="n">
        <x:f>'Inventory_Snapshot'!H124</x:f>
        <x:v>121.8</x:v>
      </x:c>
      <x:c r="I124" s="44" t="n">
        <x:f>F124*H124</x:f>
        <x:v>118633.2</x:v>
      </x:c>
      <x:c r="J124" s="53" t="n">
        <x:f>MAX(0,F124+'Inventory_Snapshot'!M124-'Inventory_Snapshot'!F124-'Inventory_Snapshot'!G124)</x:f>
        <x:v>0</x:v>
      </x:c>
    </x:row>
    <x:row r="125">
      <x:c r="A125" s="56" t="str">
        <x:f>'Inventory_Snapshot'!A125</x:f>
        <x:v>SKU-0124</x:v>
      </x:c>
      <x:c r="B125" s="56" t="str">
        <x:f>'Inventory_Snapshot'!B125</x:f>
        <x:v>Paper Item 124</x:v>
      </x:c>
      <x:c r="C125" s="60" t="n">
        <x:f>'Inventory_Snapshot'!J125</x:f>
        <x:v>7.09</x:v>
      </x:c>
      <x:c r="D125" s="47" t="n">
        <x:f>ROUND(C125*30*(1+G125),0)</x:f>
        <x:v>197</x:v>
      </x:c>
      <x:c r="E125" s="47" t="n">
        <x:f>ROUND(C125*60*(1+G125),0)</x:f>
        <x:v>394</x:v>
      </x:c>
      <x:c r="F125" s="47" t="n">
        <x:f>ROUND(C125*90*(1+G125),0)</x:f>
        <x:v>592</x:v>
      </x:c>
      <x:c r="G125" s="16" t="n">
        <x:v>-0.073</x:v>
      </x:c>
      <x:c r="H125" s="58" t="n">
        <x:f>'Inventory_Snapshot'!H125</x:f>
        <x:v>59.23</x:v>
      </x:c>
      <x:c r="I125" s="44" t="n">
        <x:f>F125*H125</x:f>
        <x:v>35064.159999999996</x:v>
      </x:c>
      <x:c r="J125" s="53" t="n">
        <x:f>MAX(0,F125+'Inventory_Snapshot'!M125-'Inventory_Snapshot'!F125-'Inventory_Snapshot'!G125)</x:f>
        <x:v>267</x:v>
      </x:c>
    </x:row>
    <x:row r="126">
      <x:c r="A126" s="56" t="str">
        <x:f>'Inventory_Snapshot'!A126</x:f>
        <x:v>SKU-0125</x:v>
      </x:c>
      <x:c r="B126" s="56" t="str">
        <x:f>'Inventory_Snapshot'!B126</x:f>
        <x:v>Tools Item 125</x:v>
      </x:c>
      <x:c r="C126" s="60" t="n">
        <x:f>'Inventory_Snapshot'!J126</x:f>
        <x:v>5.24</x:v>
      </x:c>
      <x:c r="D126" s="47" t="n">
        <x:f>ROUND(C126*30*(1+G126),0)</x:f>
        <x:v>169</x:v>
      </x:c>
      <x:c r="E126" s="47" t="n">
        <x:f>ROUND(C126*60*(1+G126),0)</x:f>
        <x:v>338</x:v>
      </x:c>
      <x:c r="F126" s="47" t="n">
        <x:f>ROUND(C126*90*(1+G126),0)</x:f>
        <x:v>507</x:v>
      </x:c>
      <x:c r="G126" s="16" t="n">
        <x:v>0.075</x:v>
      </x:c>
      <x:c r="H126" s="58" t="n">
        <x:f>'Inventory_Snapshot'!H126</x:f>
        <x:v>38.35</x:v>
      </x:c>
      <x:c r="I126" s="44" t="n">
        <x:f>F126*H126</x:f>
        <x:v>19443.45</x:v>
      </x:c>
      <x:c r="J126" s="53" t="n">
        <x:f>MAX(0,F126+'Inventory_Snapshot'!M126-'Inventory_Snapshot'!F126-'Inventory_Snapshot'!G126)</x:f>
        <x:v>388</x:v>
      </x:c>
    </x:row>
    <x:row r="127">
      <x:c r="A127" s="56" t="str">
        <x:f>'Inventory_Snapshot'!A127</x:f>
        <x:v>SKU-0126</x:v>
      </x:c>
      <x:c r="B127" s="56" t="str">
        <x:f>'Inventory_Snapshot'!B127</x:f>
        <x:v>Lubricants Item 126</x:v>
      </x:c>
      <x:c r="C127" s="60" t="n">
        <x:f>'Inventory_Snapshot'!J127</x:f>
        <x:v>21.81</x:v>
      </x:c>
      <x:c r="D127" s="47" t="n">
        <x:f>ROUND(C127*30*(1+G127),0)</x:f>
        <x:v>707</x:v>
      </x:c>
      <x:c r="E127" s="47" t="n">
        <x:f>ROUND(C127*60*(1+G127),0)</x:f>
        <x:v>1413</x:v>
      </x:c>
      <x:c r="F127" s="47" t="n">
        <x:f>ROUND(C127*90*(1+G127),0)</x:f>
        <x:v>2120</x:v>
      </x:c>
      <x:c r="G127" s="16" t="n">
        <x:v>0.08</x:v>
      </x:c>
      <x:c r="H127" s="58" t="n">
        <x:f>'Inventory_Snapshot'!H127</x:f>
        <x:v>7.7</x:v>
      </x:c>
      <x:c r="I127" s="44" t="n">
        <x:f>F127*H127</x:f>
        <x:v>16324</x:v>
      </x:c>
      <x:c r="J127" s="53" t="n">
        <x:f>MAX(0,F127+'Inventory_Snapshot'!M127-'Inventory_Snapshot'!F127-'Inventory_Snapshot'!G127)</x:f>
        <x:v>1175</x:v>
      </x:c>
    </x:row>
    <x:row r="128">
      <x:c r="A128" s="56" t="str">
        <x:f>'Inventory_Snapshot'!A128</x:f>
        <x:v>SKU-0127</x:v>
      </x:c>
      <x:c r="B128" s="56" t="str">
        <x:f>'Inventory_Snapshot'!B128</x:f>
        <x:v>Accessories Item 127</x:v>
      </x:c>
      <x:c r="C128" s="60" t="n">
        <x:f>'Inventory_Snapshot'!J128</x:f>
        <x:v>1.81</x:v>
      </x:c>
      <x:c r="D128" s="47" t="n">
        <x:f>ROUND(C128*30*(1+G128),0)</x:f>
        <x:v>56</x:v>
      </x:c>
      <x:c r="E128" s="47" t="n">
        <x:f>ROUND(C128*60*(1+G128),0)</x:f>
        <x:v>112</x:v>
      </x:c>
      <x:c r="F128" s="47" t="n">
        <x:f>ROUND(C128*90*(1+G128),0)</x:f>
        <x:v>167</x:v>
      </x:c>
      <x:c r="G128" s="16" t="n">
        <x:v>0.027</x:v>
      </x:c>
      <x:c r="H128" s="58" t="n">
        <x:f>'Inventory_Snapshot'!H128</x:f>
        <x:v>114.9</x:v>
      </x:c>
      <x:c r="I128" s="44" t="n">
        <x:f>F128*H128</x:f>
        <x:v>19188.3</x:v>
      </x:c>
      <x:c r="J128" s="53" t="n">
        <x:f>MAX(0,F128+'Inventory_Snapshot'!M128-'Inventory_Snapshot'!F128-'Inventory_Snapshot'!G128)</x:f>
        <x:v>16</x:v>
      </x:c>
    </x:row>
    <x:row r="129">
      <x:c r="A129" s="56" t="str">
        <x:f>'Inventory_Snapshot'!A129</x:f>
        <x:v>SKU-0128</x:v>
      </x:c>
      <x:c r="B129" s="56" t="str">
        <x:f>'Inventory_Snapshot'!B129</x:f>
        <x:v>Controllers Item 128</x:v>
      </x:c>
      <x:c r="C129" s="60" t="n">
        <x:f>'Inventory_Snapshot'!J129</x:f>
        <x:v>15.68</x:v>
      </x:c>
      <x:c r="D129" s="47" t="n">
        <x:f>ROUND(C129*30*(1+G129),0)</x:f>
        <x:v>519</x:v>
      </x:c>
      <x:c r="E129" s="47" t="n">
        <x:f>ROUND(C129*60*(1+G129),0)</x:f>
        <x:v>1038</x:v>
      </x:c>
      <x:c r="F129" s="47" t="n">
        <x:f>ROUND(C129*90*(1+G129),0)</x:f>
        <x:v>1557</x:v>
      </x:c>
      <x:c r="G129" s="16" t="n">
        <x:v>0.103</x:v>
      </x:c>
      <x:c r="H129" s="58" t="n">
        <x:f>'Inventory_Snapshot'!H129</x:f>
        <x:v>70.02</x:v>
      </x:c>
      <x:c r="I129" s="44" t="n">
        <x:f>F129*H129</x:f>
        <x:v>109021.14</x:v>
      </x:c>
      <x:c r="J129" s="53" t="n">
        <x:f>MAX(0,F129+'Inventory_Snapshot'!M129-'Inventory_Snapshot'!F129-'Inventory_Snapshot'!G129)</x:f>
        <x:v>1174</x:v>
      </x:c>
    </x:row>
    <x:row r="130">
      <x:c r="A130" s="56" t="str">
        <x:f>'Inventory_Snapshot'!A130</x:f>
        <x:v>SKU-0129</x:v>
      </x:c>
      <x:c r="B130" s="56" t="str">
        <x:f>'Inventory_Snapshot'!B130</x:f>
        <x:v>Cartons Item 129</x:v>
      </x:c>
      <x:c r="C130" s="60" t="n">
        <x:f>'Inventory_Snapshot'!J130</x:f>
        <x:v>7.46</x:v>
      </x:c>
      <x:c r="D130" s="47" t="n">
        <x:f>ROUND(C130*30*(1+G130),0)</x:f>
        <x:v>230</x:v>
      </x:c>
      <x:c r="E130" s="47" t="n">
        <x:f>ROUND(C130*60*(1+G130),0)</x:f>
        <x:v>460</x:v>
      </x:c>
      <x:c r="F130" s="47" t="n">
        <x:f>ROUND(C130*90*(1+G130),0)</x:f>
        <x:v>690</x:v>
      </x:c>
      <x:c r="G130" s="16" t="n">
        <x:v>0.027</x:v>
      </x:c>
      <x:c r="H130" s="58" t="n">
        <x:f>'Inventory_Snapshot'!H130</x:f>
        <x:v>178.22</x:v>
      </x:c>
      <x:c r="I130" s="44" t="n">
        <x:f>F130*H130</x:f>
        <x:v>122971.8</x:v>
      </x:c>
      <x:c r="J130" s="53" t="n">
        <x:f>MAX(0,F130+'Inventory_Snapshot'!M130-'Inventory_Snapshot'!F130-'Inventory_Snapshot'!G130)</x:f>
        <x:v>526</x:v>
      </x:c>
    </x:row>
    <x:row r="131">
      <x:c r="A131" s="56" t="str">
        <x:f>'Inventory_Snapshot'!A131</x:f>
        <x:v>SKU-0130</x:v>
      </x:c>
      <x:c r="B131" s="56" t="str">
        <x:f>'Inventory_Snapshot'!B131</x:f>
        <x:v>Cartons Item 130</x:v>
      </x:c>
      <x:c r="C131" s="60" t="n">
        <x:f>'Inventory_Snapshot'!J131</x:f>
        <x:v>5.3</x:v>
      </x:c>
      <x:c r="D131" s="47" t="n">
        <x:f>ROUND(C131*30*(1+G131),0)</x:f>
        <x:v>193</x:v>
      </x:c>
      <x:c r="E131" s="47" t="n">
        <x:f>ROUND(C131*60*(1+G131),0)</x:f>
        <x:v>387</x:v>
      </x:c>
      <x:c r="F131" s="47" t="n">
        <x:f>ROUND(C131*90*(1+G131),0)</x:f>
        <x:v>580</x:v>
      </x:c>
      <x:c r="G131" s="16" t="n">
        <x:v>0.216</x:v>
      </x:c>
      <x:c r="H131" s="58" t="n">
        <x:f>'Inventory_Snapshot'!H131</x:f>
        <x:v>73.53</x:v>
      </x:c>
      <x:c r="I131" s="44" t="n">
        <x:f>F131*H131</x:f>
        <x:v>42647.4</x:v>
      </x:c>
      <x:c r="J131" s="53" t="n">
        <x:f>MAX(0,F131+'Inventory_Snapshot'!M131-'Inventory_Snapshot'!F131-'Inventory_Snapshot'!G131)</x:f>
        <x:v>165</x:v>
      </x:c>
    </x:row>
    <x:row r="132">
      <x:c r="A132" s="56" t="str">
        <x:f>'Inventory_Snapshot'!A132</x:f>
        <x:v>SKU-0131</x:v>
      </x:c>
      <x:c r="B132" s="56" t="str">
        <x:f>'Inventory_Snapshot'!B132</x:f>
        <x:v>PPE Item 131</x:v>
      </x:c>
      <x:c r="C132" s="60" t="n">
        <x:f>'Inventory_Snapshot'!J132</x:f>
        <x:v>4.07</x:v>
      </x:c>
      <x:c r="D132" s="47" t="n">
        <x:f>ROUND(C132*30*(1+G132),0)</x:f>
        <x:v>149</x:v>
      </x:c>
      <x:c r="E132" s="47" t="n">
        <x:f>ROUND(C132*60*(1+G132),0)</x:f>
        <x:v>297</x:v>
      </x:c>
      <x:c r="F132" s="47" t="n">
        <x:f>ROUND(C132*90*(1+G132),0)</x:f>
        <x:v>446</x:v>
      </x:c>
      <x:c r="G132" s="16" t="n">
        <x:v>0.217</x:v>
      </x:c>
      <x:c r="H132" s="58" t="n">
        <x:f>'Inventory_Snapshot'!H132</x:f>
        <x:v>258.95</x:v>
      </x:c>
      <x:c r="I132" s="44" t="n">
        <x:f>F132*H132</x:f>
        <x:v>115491.7</x:v>
      </x:c>
      <x:c r="J132" s="53" t="n">
        <x:f>MAX(0,F132+'Inventory_Snapshot'!M132-'Inventory_Snapshot'!F132-'Inventory_Snapshot'!G132)</x:f>
        <x:v>218</x:v>
      </x:c>
    </x:row>
    <x:row r="133">
      <x:c r="A133" s="56" t="str">
        <x:f>'Inventory_Snapshot'!A133</x:f>
        <x:v>SKU-0132</x:v>
      </x:c>
      <x:c r="B133" s="56" t="str">
        <x:f>'Inventory_Snapshot'!B133</x:f>
        <x:v>Controllers Item 132</x:v>
      </x:c>
      <x:c r="C133" s="60" t="n">
        <x:f>'Inventory_Snapshot'!J133</x:f>
        <x:v>3.92</x:v>
      </x:c>
      <x:c r="D133" s="47" t="n">
        <x:f>ROUND(C133*30*(1+G133),0)</x:f>
        <x:v>146</x:v>
      </x:c>
      <x:c r="E133" s="47" t="n">
        <x:f>ROUND(C133*60*(1+G133),0)</x:f>
        <x:v>292</x:v>
      </x:c>
      <x:c r="F133" s="47" t="n">
        <x:f>ROUND(C133*90*(1+G133),0)</x:f>
        <x:v>439</x:v>
      </x:c>
      <x:c r="G133" s="16" t="n">
        <x:v>0.243</x:v>
      </x:c>
      <x:c r="H133" s="58" t="n">
        <x:f>'Inventory_Snapshot'!H133</x:f>
        <x:v>177.71</x:v>
      </x:c>
      <x:c r="I133" s="44" t="n">
        <x:f>F133*H133</x:f>
        <x:v>78014.69</x:v>
      </x:c>
      <x:c r="J133" s="53" t="n">
        <x:f>MAX(0,F133+'Inventory_Snapshot'!M133-'Inventory_Snapshot'!F133-'Inventory_Snapshot'!G133)</x:f>
        <x:v>166</x:v>
      </x:c>
    </x:row>
    <x:row r="134">
      <x:c r="A134" s="56" t="str">
        <x:f>'Inventory_Snapshot'!A134</x:f>
        <x:v>SKU-0133</x:v>
      </x:c>
      <x:c r="B134" s="56" t="str">
        <x:f>'Inventory_Snapshot'!B134</x:f>
        <x:v>Sensors Item 133</x:v>
      </x:c>
      <x:c r="C134" s="60" t="n">
        <x:f>'Inventory_Snapshot'!J134</x:f>
        <x:v>7.19</x:v>
      </x:c>
      <x:c r="D134" s="47" t="n">
        <x:f>ROUND(C134*30*(1+G134),0)</x:f>
        <x:v>230</x:v>
      </x:c>
      <x:c r="E134" s="47" t="n">
        <x:f>ROUND(C134*60*(1+G134),0)</x:f>
        <x:v>459</x:v>
      </x:c>
      <x:c r="F134" s="47" t="n">
        <x:f>ROUND(C134*90*(1+G134),0)</x:f>
        <x:v>689</x:v>
      </x:c>
      <x:c r="G134" s="16" t="n">
        <x:v>0.064</x:v>
      </x:c>
      <x:c r="H134" s="58" t="n">
        <x:f>'Inventory_Snapshot'!H134</x:f>
        <x:v>233.3</x:v>
      </x:c>
      <x:c r="I134" s="44" t="n">
        <x:f>F134*H134</x:f>
        <x:v>160743.7</x:v>
      </x:c>
      <x:c r="J134" s="53" t="n">
        <x:f>MAX(0,F134+'Inventory_Snapshot'!M134-'Inventory_Snapshot'!F134-'Inventory_Snapshot'!G134)</x:f>
        <x:v>90</x:v>
      </x:c>
    </x:row>
    <x:row r="135">
      <x:c r="A135" s="56" t="str">
        <x:f>'Inventory_Snapshot'!A135</x:f>
        <x:v>SKU-0134</x:v>
      </x:c>
      <x:c r="B135" s="56" t="str">
        <x:f>'Inventory_Snapshot'!B135</x:f>
        <x:v>Gloves Item 134</x:v>
      </x:c>
      <x:c r="C135" s="60" t="n">
        <x:f>'Inventory_Snapshot'!J135</x:f>
        <x:v>4.59</x:v>
      </x:c>
      <x:c r="D135" s="47" t="n">
        <x:f>ROUND(C135*30*(1+G135),0)</x:f>
        <x:v>163</x:v>
      </x:c>
      <x:c r="E135" s="47" t="n">
        <x:f>ROUND(C135*60*(1+G135),0)</x:f>
        <x:v>325</x:v>
      </x:c>
      <x:c r="F135" s="47" t="n">
        <x:f>ROUND(C135*90*(1+G135),0)</x:f>
        <x:v>488</x:v>
      </x:c>
      <x:c r="G135" s="16" t="n">
        <x:v>0.181</x:v>
      </x:c>
      <x:c r="H135" s="58" t="n">
        <x:f>'Inventory_Snapshot'!H135</x:f>
        <x:v>254.76</x:v>
      </x:c>
      <x:c r="I135" s="44" t="n">
        <x:f>F135*H135</x:f>
        <x:v>124322.87999999999</x:v>
      </x:c>
      <x:c r="J135" s="53" t="n">
        <x:f>MAX(0,F135+'Inventory_Snapshot'!M135-'Inventory_Snapshot'!F135-'Inventory_Snapshot'!G135)</x:f>
        <x:v>94</x:v>
      </x:c>
    </x:row>
    <x:row r="136">
      <x:c r="A136" s="56" t="str">
        <x:f>'Inventory_Snapshot'!A136</x:f>
        <x:v>SKU-0135</x:v>
      </x:c>
      <x:c r="B136" s="56" t="str">
        <x:f>'Inventory_Snapshot'!B136</x:f>
        <x:v>Paper Item 135</x:v>
      </x:c>
      <x:c r="C136" s="60" t="n">
        <x:f>'Inventory_Snapshot'!J136</x:f>
        <x:v>2.11</x:v>
      </x:c>
      <x:c r="D136" s="47" t="n">
        <x:f>ROUND(C136*30*(1+G136),0)</x:f>
        <x:v>78</x:v>
      </x:c>
      <x:c r="E136" s="47" t="n">
        <x:f>ROUND(C136*60*(1+G136),0)</x:f>
        <x:v>156</x:v>
      </x:c>
      <x:c r="F136" s="47" t="n">
        <x:f>ROUND(C136*90*(1+G136),0)</x:f>
        <x:v>235</x:v>
      </x:c>
      <x:c r="G136" s="16" t="n">
        <x:v>0.236</x:v>
      </x:c>
      <x:c r="H136" s="58" t="n">
        <x:f>'Inventory_Snapshot'!H136</x:f>
        <x:v>275.11</x:v>
      </x:c>
      <x:c r="I136" s="44" t="n">
        <x:f>F136*H136</x:f>
        <x:v>64650.850000000006</x:v>
      </x:c>
      <x:c r="J136" s="53" t="n">
        <x:f>MAX(0,F136+'Inventory_Snapshot'!M136-'Inventory_Snapshot'!F136-'Inventory_Snapshot'!G136)</x:f>
        <x:v>107</x:v>
      </x:c>
    </x:row>
    <x:row r="137">
      <x:c r="A137" s="56" t="str">
        <x:f>'Inventory_Snapshot'!A137</x:f>
        <x:v>SKU-0136</x:v>
      </x:c>
      <x:c r="B137" s="56" t="str">
        <x:f>'Inventory_Snapshot'!B137</x:f>
        <x:v>Eyewear Item 136</x:v>
      </x:c>
      <x:c r="C137" s="60" t="n">
        <x:f>'Inventory_Snapshot'!J137</x:f>
        <x:v>8.99</x:v>
      </x:c>
      <x:c r="D137" s="47" t="n">
        <x:f>ROUND(C137*30*(1+G137),0)</x:f>
        <x:v>279</x:v>
      </x:c>
      <x:c r="E137" s="47" t="n">
        <x:f>ROUND(C137*60*(1+G137),0)</x:f>
        <x:v>557</x:v>
      </x:c>
      <x:c r="F137" s="47" t="n">
        <x:f>ROUND(C137*90*(1+G137),0)</x:f>
        <x:v>836</x:v>
      </x:c>
      <x:c r="G137" s="16" t="n">
        <x:v>0.033</x:v>
      </x:c>
      <x:c r="H137" s="58" t="n">
        <x:f>'Inventory_Snapshot'!H137</x:f>
        <x:v>105.97</x:v>
      </x:c>
      <x:c r="I137" s="44" t="n">
        <x:f>F137*H137</x:f>
        <x:v>88590.92</x:v>
      </x:c>
      <x:c r="J137" s="53" t="n">
        <x:f>MAX(0,F137+'Inventory_Snapshot'!M137-'Inventory_Snapshot'!F137-'Inventory_Snapshot'!G137)</x:f>
        <x:v>451</x:v>
      </x:c>
    </x:row>
    <x:row r="138">
      <x:c r="A138" s="56" t="str">
        <x:f>'Inventory_Snapshot'!A138</x:f>
        <x:v>SKU-0137</x:v>
      </x:c>
      <x:c r="B138" s="56" t="str">
        <x:f>'Inventory_Snapshot'!B138</x:f>
        <x:v>Cleaning Item 137</x:v>
      </x:c>
      <x:c r="C138" s="60" t="n">
        <x:f>'Inventory_Snapshot'!J138</x:f>
        <x:v>6.04</x:v>
      </x:c>
      <x:c r="D138" s="47" t="n">
        <x:f>ROUND(C138*30*(1+G138),0)</x:f>
        <x:v>210</x:v>
      </x:c>
      <x:c r="E138" s="47" t="n">
        <x:f>ROUND(C138*60*(1+G138),0)</x:f>
        <x:v>420</x:v>
      </x:c>
      <x:c r="F138" s="47" t="n">
        <x:f>ROUND(C138*90*(1+G138),0)</x:f>
        <x:v>631</x:v>
      </x:c>
      <x:c r="G138" s="16" t="n">
        <x:v>0.16</x:v>
      </x:c>
      <x:c r="H138" s="58" t="n">
        <x:f>'Inventory_Snapshot'!H138</x:f>
        <x:v>93.99</x:v>
      </x:c>
      <x:c r="I138" s="44" t="n">
        <x:f>F138*H138</x:f>
        <x:v>59307.689999999995</x:v>
      </x:c>
      <x:c r="J138" s="53" t="n">
        <x:f>MAX(0,F138+'Inventory_Snapshot'!M138-'Inventory_Snapshot'!F138-'Inventory_Snapshot'!G138)</x:f>
        <x:v>301</x:v>
      </x:c>
    </x:row>
    <x:row r="139">
      <x:c r="A139" s="56" t="str">
        <x:f>'Inventory_Snapshot'!A139</x:f>
        <x:v>SKU-0138</x:v>
      </x:c>
      <x:c r="B139" s="56" t="str">
        <x:f>'Inventory_Snapshot'!B139</x:f>
        <x:v>Fasteners Item 138</x:v>
      </x:c>
      <x:c r="C139" s="60" t="n">
        <x:f>'Inventory_Snapshot'!J139</x:f>
        <x:v>12.31</x:v>
      </x:c>
      <x:c r="D139" s="47" t="n">
        <x:f>ROUND(C139*30*(1+G139),0)</x:f>
        <x:v>462</x:v>
      </x:c>
      <x:c r="E139" s="47" t="n">
        <x:f>ROUND(C139*60*(1+G139),0)</x:f>
        <x:v>925</x:v>
      </x:c>
      <x:c r="F139" s="47" t="n">
        <x:f>ROUND(C139*90*(1+G139),0)</x:f>
        <x:v>1387</x:v>
      </x:c>
      <x:c r="G139" s="16" t="n">
        <x:v>0.252</x:v>
      </x:c>
      <x:c r="H139" s="58" t="n">
        <x:f>'Inventory_Snapshot'!H139</x:f>
        <x:v>186.65</x:v>
      </x:c>
      <x:c r="I139" s="44" t="n">
        <x:f>F139*H139</x:f>
        <x:v>258883.55000000002</x:v>
      </x:c>
      <x:c r="J139" s="53" t="n">
        <x:f>MAX(0,F139+'Inventory_Snapshot'!M139-'Inventory_Snapshot'!F139-'Inventory_Snapshot'!G139)</x:f>
        <x:v>707</x:v>
      </x:c>
    </x:row>
    <x:row r="140">
      <x:c r="A140" s="56" t="str">
        <x:f>'Inventory_Snapshot'!A140</x:f>
        <x:v>SKU-0139</x:v>
      </x:c>
      <x:c r="B140" s="56" t="str">
        <x:f>'Inventory_Snapshot'!B140</x:f>
        <x:v>Lubricants Item 139</x:v>
      </x:c>
      <x:c r="C140" s="60" t="n">
        <x:f>'Inventory_Snapshot'!J140</x:f>
        <x:v>3.99</x:v>
      </x:c>
      <x:c r="D140" s="47" t="n">
        <x:f>ROUND(C140*30*(1+G140),0)</x:f>
        <x:v>109</x:v>
      </x:c>
      <x:c r="E140" s="47" t="n">
        <x:f>ROUND(C140*60*(1+G140),0)</x:f>
        <x:v>219</x:v>
      </x:c>
      <x:c r="F140" s="47" t="n">
        <x:f>ROUND(C140*90*(1+G140),0)</x:f>
        <x:v>328</x:v>
      </x:c>
      <x:c r="G140" s="16" t="n">
        <x:v>-0.086</x:v>
      </x:c>
      <x:c r="H140" s="58" t="n">
        <x:f>'Inventory_Snapshot'!H140</x:f>
        <x:v>157.6</x:v>
      </x:c>
      <x:c r="I140" s="44" t="n">
        <x:f>F140*H140</x:f>
        <x:v>51692.799999999996</x:v>
      </x:c>
      <x:c r="J140" s="53" t="n">
        <x:f>MAX(0,F140+'Inventory_Snapshot'!M140-'Inventory_Snapshot'!F140-'Inventory_Snapshot'!G140)</x:f>
        <x:v>228</x:v>
      </x:c>
    </x:row>
    <x:row r="141">
      <x:c r="A141" s="56" t="str">
        <x:f>'Inventory_Snapshot'!A141</x:f>
        <x:v>SKU-0140</x:v>
      </x:c>
      <x:c r="B141" s="56" t="str">
        <x:f>'Inventory_Snapshot'!B141</x:f>
        <x:v>Gloves Item 140</x:v>
      </x:c>
      <x:c r="C141" s="60" t="n">
        <x:f>'Inventory_Snapshot'!J141</x:f>
        <x:v>6.47</x:v>
      </x:c>
      <x:c r="D141" s="47" t="n">
        <x:f>ROUND(C141*30*(1+G141),0)</x:f>
        <x:v>211</x:v>
      </x:c>
      <x:c r="E141" s="47" t="n">
        <x:f>ROUND(C141*60*(1+G141),0)</x:f>
        <x:v>421</x:v>
      </x:c>
      <x:c r="F141" s="47" t="n">
        <x:f>ROUND(C141*90*(1+G141),0)</x:f>
        <x:v>632</x:v>
      </x:c>
      <x:c r="G141" s="16" t="n">
        <x:v>0.085</x:v>
      </x:c>
      <x:c r="H141" s="58" t="n">
        <x:f>'Inventory_Snapshot'!H141</x:f>
        <x:v>188.55</x:v>
      </x:c>
      <x:c r="I141" s="44" t="n">
        <x:f>F141*H141</x:f>
        <x:v>119163.6</x:v>
      </x:c>
      <x:c r="J141" s="53" t="n">
        <x:f>MAX(0,F141+'Inventory_Snapshot'!M141-'Inventory_Snapshot'!F141-'Inventory_Snapshot'!G141)</x:f>
        <x:v>416</x:v>
      </x:c>
    </x:row>
    <x:row r="142">
      <x:c r="A142" s="56" t="str">
        <x:f>'Inventory_Snapshot'!A142</x:f>
        <x:v>SKU-0141</x:v>
      </x:c>
      <x:c r="B142" s="56" t="str">
        <x:f>'Inventory_Snapshot'!B142</x:f>
        <x:v>Ink Item 141</x:v>
      </x:c>
      <x:c r="C142" s="60" t="n">
        <x:f>'Inventory_Snapshot'!J142</x:f>
        <x:v>6.29</x:v>
      </x:c>
      <x:c r="D142" s="47" t="n">
        <x:f>ROUND(C142*30*(1+G142),0)</x:f>
        <x:v>196</x:v>
      </x:c>
      <x:c r="E142" s="47" t="n">
        <x:f>ROUND(C142*60*(1+G142),0)</x:f>
        <x:v>391</x:v>
      </x:c>
      <x:c r="F142" s="47" t="n">
        <x:f>ROUND(C142*90*(1+G142),0)</x:f>
        <x:v>587</x:v>
      </x:c>
      <x:c r="G142" s="16" t="n">
        <x:v>0.037</x:v>
      </x:c>
      <x:c r="H142" s="58" t="n">
        <x:f>'Inventory_Snapshot'!H142</x:f>
        <x:v>279.99</x:v>
      </x:c>
      <x:c r="I142" s="44" t="n">
        <x:f>F142*H142</x:f>
        <x:v>164354.13</x:v>
      </x:c>
      <x:c r="J142" s="53" t="n">
        <x:f>MAX(0,F142+'Inventory_Snapshot'!M142-'Inventory_Snapshot'!F142-'Inventory_Snapshot'!G142)</x:f>
        <x:v>533</x:v>
      </x:c>
    </x:row>
    <x:row r="143">
      <x:c r="A143" s="56" t="str">
        <x:f>'Inventory_Snapshot'!A143</x:f>
        <x:v>SKU-0142</x:v>
      </x:c>
      <x:c r="B143" s="56" t="str">
        <x:f>'Inventory_Snapshot'!B143</x:f>
        <x:v>Gloves Item 142</x:v>
      </x:c>
      <x:c r="C143" s="60" t="n">
        <x:f>'Inventory_Snapshot'!J143</x:f>
        <x:v>16.91</x:v>
      </x:c>
      <x:c r="D143" s="47" t="n">
        <x:f>ROUND(C143*30*(1+G143),0)</x:f>
        <x:v>520</x:v>
      </x:c>
      <x:c r="E143" s="47" t="n">
        <x:f>ROUND(C143*60*(1+G143),0)</x:f>
        <x:v>1040</x:v>
      </x:c>
      <x:c r="F143" s="47" t="n">
        <x:f>ROUND(C143*90*(1+G143),0)</x:f>
        <x:v>1560</x:v>
      </x:c>
      <x:c r="G143" s="16" t="n">
        <x:v>0.025</x:v>
      </x:c>
      <x:c r="H143" s="58" t="n">
        <x:f>'Inventory_Snapshot'!H143</x:f>
        <x:v>95.95</x:v>
      </x:c>
      <x:c r="I143" s="44" t="n">
        <x:f>F143*H143</x:f>
        <x:v>149682</x:v>
      </x:c>
      <x:c r="J143" s="53" t="n">
        <x:f>MAX(0,F143+'Inventory_Snapshot'!M143-'Inventory_Snapshot'!F143-'Inventory_Snapshot'!G143)</x:f>
        <x:v>703</x:v>
      </x:c>
    </x:row>
    <x:row r="144">
      <x:c r="A144" s="56" t="str">
        <x:f>'Inventory_Snapshot'!A144</x:f>
        <x:v>SKU-0143</x:v>
      </x:c>
      <x:c r="B144" s="56" t="str">
        <x:f>'Inventory_Snapshot'!B144</x:f>
        <x:v>Eyewear Item 143</x:v>
      </x:c>
      <x:c r="C144" s="60" t="n">
        <x:f>'Inventory_Snapshot'!J144</x:f>
        <x:v>8.22</x:v>
      </x:c>
      <x:c r="D144" s="47" t="n">
        <x:f>ROUND(C144*30*(1+G144),0)</x:f>
        <x:v>247</x:v>
      </x:c>
      <x:c r="E144" s="47" t="n">
        <x:f>ROUND(C144*60*(1+G144),0)</x:f>
        <x:v>494</x:v>
      </x:c>
      <x:c r="F144" s="47" t="n">
        <x:f>ROUND(C144*90*(1+G144),0)</x:f>
        <x:v>741</x:v>
      </x:c>
      <x:c r="G144" s="16" t="n">
        <x:v>0.001</x:v>
      </x:c>
      <x:c r="H144" s="58" t="n">
        <x:f>'Inventory_Snapshot'!H144</x:f>
        <x:v>123.95</x:v>
      </x:c>
      <x:c r="I144" s="44" t="n">
        <x:f>F144*H144</x:f>
        <x:v>91846.95</x:v>
      </x:c>
      <x:c r="J144" s="53" t="n">
        <x:f>MAX(0,F144+'Inventory_Snapshot'!M144-'Inventory_Snapshot'!F144-'Inventory_Snapshot'!G144)</x:f>
        <x:v>267</x:v>
      </x:c>
    </x:row>
    <x:row r="145">
      <x:c r="A145" s="56" t="str">
        <x:f>'Inventory_Snapshot'!A145</x:f>
        <x:v>SKU-0144</x:v>
      </x:c>
      <x:c r="B145" s="56" t="str">
        <x:f>'Inventory_Snapshot'!B145</x:f>
        <x:v>Ink Item 144</x:v>
      </x:c>
      <x:c r="C145" s="60" t="n">
        <x:f>'Inventory_Snapshot'!J145</x:f>
        <x:v>3.79</x:v>
      </x:c>
      <x:c r="D145" s="47" t="n">
        <x:f>ROUND(C145*30*(1+G145),0)</x:f>
        <x:v>113</x:v>
      </x:c>
      <x:c r="E145" s="47" t="n">
        <x:f>ROUND(C145*60*(1+G145),0)</x:f>
        <x:v>226</x:v>
      </x:c>
      <x:c r="F145" s="47" t="n">
        <x:f>ROUND(C145*90*(1+G145),0)</x:f>
        <x:v>339</x:v>
      </x:c>
      <x:c r="G145" s="16" t="n">
        <x:v>-0.005</x:v>
      </x:c>
      <x:c r="H145" s="58" t="n">
        <x:f>'Inventory_Snapshot'!H145</x:f>
        <x:v>68.87</x:v>
      </x:c>
      <x:c r="I145" s="44" t="n">
        <x:f>F145*H145</x:f>
        <x:v>23346.93</x:v>
      </x:c>
      <x:c r="J145" s="53" t="n">
        <x:f>MAX(0,F145+'Inventory_Snapshot'!M145-'Inventory_Snapshot'!F145-'Inventory_Snapshot'!G145)</x:f>
        <x:v>35</x:v>
      </x:c>
    </x:row>
    <x:row r="146">
      <x:c r="A146" s="56" t="str">
        <x:f>'Inventory_Snapshot'!A146</x:f>
        <x:v>SKU-0145</x:v>
      </x:c>
      <x:c r="B146" s="56" t="str">
        <x:f>'Inventory_Snapshot'!B146</x:f>
        <x:v>Accessories Item 145</x:v>
      </x:c>
      <x:c r="C146" s="60" t="n">
        <x:f>'Inventory_Snapshot'!J146</x:f>
        <x:v>5.88</x:v>
      </x:c>
      <x:c r="D146" s="47" t="n">
        <x:f>ROUND(C146*30*(1+G146),0)</x:f>
        <x:v>209</x:v>
      </x:c>
      <x:c r="E146" s="47" t="n">
        <x:f>ROUND(C146*60*(1+G146),0)</x:f>
        <x:v>418</x:v>
      </x:c>
      <x:c r="F146" s="47" t="n">
        <x:f>ROUND(C146*90*(1+G146),0)</x:f>
        <x:v>627</x:v>
      </x:c>
      <x:c r="G146" s="16" t="n">
        <x:v>0.185</x:v>
      </x:c>
      <x:c r="H146" s="58" t="n">
        <x:f>'Inventory_Snapshot'!H146</x:f>
        <x:v>142.06</x:v>
      </x:c>
      <x:c r="I146" s="44" t="n">
        <x:f>F146*H146</x:f>
        <x:v>89071.62</x:v>
      </x:c>
      <x:c r="J146" s="53" t="n">
        <x:f>MAX(0,F146+'Inventory_Snapshot'!M146-'Inventory_Snapshot'!F146-'Inventory_Snapshot'!G146)</x:f>
        <x:v>588</x:v>
      </x:c>
    </x:row>
    <x:row r="147">
      <x:c r="A147" s="56" t="str">
        <x:f>'Inventory_Snapshot'!A147</x:f>
        <x:v>SKU-0146</x:v>
      </x:c>
      <x:c r="B147" s="56" t="str">
        <x:f>'Inventory_Snapshot'!B147</x:f>
        <x:v>Accessories Item 146</x:v>
      </x:c>
      <x:c r="C147" s="60" t="n">
        <x:f>'Inventory_Snapshot'!J147</x:f>
        <x:v>6.84</x:v>
      </x:c>
      <x:c r="D147" s="47" t="n">
        <x:f>ROUND(C147*30*(1+G147),0)</x:f>
        <x:v>202</x:v>
      </x:c>
      <x:c r="E147" s="47" t="n">
        <x:f>ROUND(C147*60*(1+G147),0)</x:f>
        <x:v>403</x:v>
      </x:c>
      <x:c r="F147" s="47" t="n">
        <x:f>ROUND(C147*90*(1+G147),0)</x:f>
        <x:v>605</x:v>
      </x:c>
      <x:c r="G147" s="16" t="n">
        <x:v>-0.018</x:v>
      </x:c>
      <x:c r="H147" s="58" t="n">
        <x:f>'Inventory_Snapshot'!H147</x:f>
        <x:v>261.77</x:v>
      </x:c>
      <x:c r="I147" s="44" t="n">
        <x:f>F147*H147</x:f>
        <x:v>158370.84999999998</x:v>
      </x:c>
      <x:c r="J147" s="53" t="n">
        <x:f>MAX(0,F147+'Inventory_Snapshot'!M147-'Inventory_Snapshot'!F147-'Inventory_Snapshot'!G147)</x:f>
        <x:v>58</x:v>
      </x:c>
    </x:row>
    <x:row r="148">
      <x:c r="A148" s="56" t="str">
        <x:f>'Inventory_Snapshot'!A148</x:f>
        <x:v>SKU-0147</x:v>
      </x:c>
      <x:c r="B148" s="56" t="str">
        <x:f>'Inventory_Snapshot'!B148</x:f>
        <x:v>Eyewear Item 147</x:v>
      </x:c>
      <x:c r="C148" s="60" t="n">
        <x:f>'Inventory_Snapshot'!J148</x:f>
        <x:v>4.96</x:v>
      </x:c>
      <x:c r="D148" s="47" t="n">
        <x:f>ROUND(C148*30*(1+G148),0)</x:f>
        <x:v>170</x:v>
      </x:c>
      <x:c r="E148" s="47" t="n">
        <x:f>ROUND(C148*60*(1+G148),0)</x:f>
        <x:v>340</x:v>
      </x:c>
      <x:c r="F148" s="47" t="n">
        <x:f>ROUND(C148*90*(1+G148),0)</x:f>
        <x:v>510</x:v>
      </x:c>
      <x:c r="G148" s="16" t="n">
        <x:v>0.142</x:v>
      </x:c>
      <x:c r="H148" s="58" t="n">
        <x:f>'Inventory_Snapshot'!H148</x:f>
        <x:v>27.95</x:v>
      </x:c>
      <x:c r="I148" s="44" t="n">
        <x:f>F148*H148</x:f>
        <x:v>14254.5</x:v>
      </x:c>
      <x:c r="J148" s="53" t="n">
        <x:f>MAX(0,F148+'Inventory_Snapshot'!M148-'Inventory_Snapshot'!F148-'Inventory_Snapshot'!G148)</x:f>
        <x:v>227</x:v>
      </x:c>
    </x:row>
    <x:row r="149">
      <x:c r="A149" s="56" t="str">
        <x:f>'Inventory_Snapshot'!A149</x:f>
        <x:v>SKU-0148</x:v>
      </x:c>
      <x:c r="B149" s="56" t="str">
        <x:f>'Inventory_Snapshot'!B149</x:f>
        <x:v>Bearings Item 148</x:v>
      </x:c>
      <x:c r="C149" s="60" t="n">
        <x:f>'Inventory_Snapshot'!J149</x:f>
        <x:v>1.32</x:v>
      </x:c>
      <x:c r="D149" s="47" t="n">
        <x:f>ROUND(C149*30*(1+G149),0)</x:f>
        <x:v>42</x:v>
      </x:c>
      <x:c r="E149" s="47" t="n">
        <x:f>ROUND(C149*60*(1+G149),0)</x:f>
        <x:v>84</x:v>
      </x:c>
      <x:c r="F149" s="47" t="n">
        <x:f>ROUND(C149*90*(1+G149),0)</x:f>
        <x:v>125</x:v>
      </x:c>
      <x:c r="G149" s="16" t="n">
        <x:v>0.056</x:v>
      </x:c>
      <x:c r="H149" s="58" t="n">
        <x:f>'Inventory_Snapshot'!H149</x:f>
        <x:v>278.48</x:v>
      </x:c>
      <x:c r="I149" s="44" t="n">
        <x:f>F149*H149</x:f>
        <x:v>34810</x:v>
      </x:c>
      <x:c r="J149" s="53" t="n">
        <x:f>MAX(0,F149+'Inventory_Snapshot'!M149-'Inventory_Snapshot'!F149-'Inventory_Snapshot'!G149)</x:f>
        <x:v>47</x:v>
      </x:c>
    </x:row>
    <x:row r="150">
      <x:c r="A150" s="56" t="str">
        <x:f>'Inventory_Snapshot'!A150</x:f>
        <x:v>SKU-0149</x:v>
      </x:c>
      <x:c r="B150" s="56" t="str">
        <x:f>'Inventory_Snapshot'!B150</x:f>
        <x:v>Cartons Item 149</x:v>
      </x:c>
      <x:c r="C150" s="60" t="n">
        <x:f>'Inventory_Snapshot'!J150</x:f>
        <x:v>13.65</x:v>
      </x:c>
      <x:c r="D150" s="47" t="n">
        <x:f>ROUND(C150*30*(1+G150),0)</x:f>
        <x:v>431</x:v>
      </x:c>
      <x:c r="E150" s="47" t="n">
        <x:f>ROUND(C150*60*(1+G150),0)</x:f>
        <x:v>862</x:v>
      </x:c>
      <x:c r="F150" s="47" t="n">
        <x:f>ROUND(C150*90*(1+G150),0)</x:f>
        <x:v>1294</x:v>
      </x:c>
      <x:c r="G150" s="16" t="n">
        <x:v>0.053</x:v>
      </x:c>
      <x:c r="H150" s="58" t="n">
        <x:f>'Inventory_Snapshot'!H150</x:f>
        <x:v>257.08</x:v>
      </x:c>
      <x:c r="I150" s="44" t="n">
        <x:f>F150*H150</x:f>
        <x:v>332661.51999999996</x:v>
      </x:c>
      <x:c r="J150" s="53" t="n">
        <x:f>MAX(0,F150+'Inventory_Snapshot'!M150-'Inventory_Snapshot'!F150-'Inventory_Snapshot'!G150)</x:f>
        <x:v>106</x:v>
      </x:c>
    </x:row>
    <x:row r="151">
      <x:c r="A151" s="56" t="str">
        <x:f>'Inventory_Snapshot'!A151</x:f>
        <x:v>SKU-0150</x:v>
      </x:c>
      <x:c r="B151" s="56" t="str">
        <x:f>'Inventory_Snapshot'!B151</x:f>
        <x:v>Sensors Item 150</x:v>
      </x:c>
      <x:c r="C151" s="60" t="n">
        <x:f>'Inventory_Snapshot'!J151</x:f>
        <x:v>3.78</x:v>
      </x:c>
      <x:c r="D151" s="47" t="n">
        <x:f>ROUND(C151*30*(1+G151),0)</x:f>
        <x:v>144</x:v>
      </x:c>
      <x:c r="E151" s="47" t="n">
        <x:f>ROUND(C151*60*(1+G151),0)</x:f>
        <x:v>288</x:v>
      </x:c>
      <x:c r="F151" s="47" t="n">
        <x:f>ROUND(C151*90*(1+G151),0)</x:f>
        <x:v>433</x:v>
      </x:c>
      <x:c r="G151" s="16" t="n">
        <x:v>0.272</x:v>
      </x:c>
      <x:c r="H151" s="58" t="n">
        <x:f>'Inventory_Snapshot'!H151</x:f>
        <x:v>62.34</x:v>
      </x:c>
      <x:c r="I151" s="44" t="n">
        <x:f>F151*H151</x:f>
        <x:v>26993.22</x:v>
      </x:c>
      <x:c r="J151" s="53" t="n">
        <x:f>MAX(0,F151+'Inventory_Snapshot'!M151-'Inventory_Snapshot'!F151-'Inventory_Snapshot'!G151)</x:f>
        <x:v>265</x:v>
      </x:c>
    </x:row>
  </x:sheetData>
  <x:pageMargins left="0.7" right="0.7" top="0.75" bottom="0.75" header="0.3" footer="0.3"/>
  <x:tableParts count="1">
    <x:tablePart xmlns:r="http://schemas.openxmlformats.org/officeDocument/2006/relationships" r:id="R82971ae8566346a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4" max="4" width="20" hidden="0" customWidth="1"/>
    <x:col min="5" max="5" width="20" hidden="0" customWidth="1"/>
  </x:cols>
  <x:sheetData>
    <x:row r="1">
      <x:c r="A1" s="24" t="str">
        <x:v>Inventory Finance Dashboard - Synthetic Test Data</x:v>
      </x:c>
      <x:c r="B1" s="24"/>
      <x:c r="C1" s="24"/>
      <x:c r="D1" s="24"/>
      <x:c r="E1" s="24"/>
      <x:c r="F1" s="24"/>
      <x:c r="G1" s="24"/>
      <x:c r="H1" s="24"/>
    </x:row>
    <x:row r="3">
      <x:c r="A3" s="9" t="str">
        <x:v>KPI</x:v>
      </x:c>
      <x:c r="B3" s="9" t="str">
        <x:v>Value</x:v>
      </x:c>
      <x:c r="D3" s="9" t="str">
        <x:v>Risk Bucket</x:v>
      </x:c>
      <x:c r="E3" s="9" t="str">
        <x:v>SKU Count</x:v>
      </x:c>
    </x:row>
    <x:row r="4">
      <x:c r="A4" t="str">
        <x:v>Total Inventory Value</x:v>
      </x:c>
      <x:c r="B4" s="62" t="n">
        <x:f>SUM('Inventory_Snapshot'!I2:I151)</x:f>
        <x:v>8407155.86</x:v>
      </x:c>
      <x:c r="D4" t="str">
        <x:v>Critical</x:v>
      </x:c>
      <x:c r="E4" t="n">
        <x:f>COUNTIF('Inventory_Snapshot'!O2:O151,D4)</x:f>
        <x:v>0</x:v>
      </x:c>
    </x:row>
    <x:row r="5">
      <x:c r="A5" t="str">
        <x:v>Total Excess Inventory Value</x:v>
      </x:c>
      <x:c r="B5" s="62" t="n">
        <x:f>SUM('Inventory_Snapshot'!Q2:Q151)</x:f>
        <x:v>0</x:v>
      </x:c>
      <x:c r="D5" t="str">
        <x:v>High</x:v>
      </x:c>
      <x:c r="E5" t="n">
        <x:f>COUNTIF('Inventory_Snapshot'!O2:O151,D5)</x:f>
        <x:v>85</x:v>
      </x:c>
    </x:row>
    <x:row r="6">
      <x:c r="A6" t="str">
        <x:v>Open PO Value</x:v>
      </x:c>
      <x:c r="B6" s="62" t="n">
        <x:f>SUMIFS('Purchase_Orders'!I2:I241,'Purchase_Orders'!K2:K241,"&lt;&gt;Closed")</x:f>
        <x:v>4569945.5</x:v>
      </x:c>
      <x:c r="D6" t="str">
        <x:v>Medium</x:v>
      </x:c>
      <x:c r="E6" t="n">
        <x:f>COUNTIF('Inventory_Snapshot'!O2:O151,D6)</x:f>
        <x:v>29</x:v>
      </x:c>
    </x:row>
    <x:row r="7">
      <x:c r="A7" t="str">
        <x:v>90D Forecast COGS</x:v>
      </x:c>
      <x:c r="B7" s="62" t="n">
        <x:f>SUM('Forecast'!I2:I151)</x:f>
        <x:v>14981238.189999996</x:v>
      </x:c>
      <x:c r="D7" t="str">
        <x:v>Low</x:v>
      </x:c>
      <x:c r="E7" t="n">
        <x:f>COUNTIF('Inventory_Snapshot'!O2:O151,D7)</x:f>
        <x:v>36</x:v>
      </x:c>
    </x:row>
    <x:row r="8">
      <x:c r="A8" t="str">
        <x:v>Critical Stockout SKUs</x:v>
      </x:c>
      <x:c r="B8" s="64" t="n">
        <x:f>COUNTIF('Inventory_Snapshot'!O2:O151,"Critical")</x:f>
        <x:v>0</x:v>
      </x:c>
    </x:row>
    <x:row r="9">
      <x:c r="A9" t="str">
        <x:v>High Stockout Risk SKUs</x:v>
      </x:c>
      <x:c r="B9" s="64" t="n">
        <x:f>COUNTIF('Inventory_Snapshot'!O2:O151,"High")</x:f>
        <x:v>85</x:v>
      </x:c>
    </x:row>
    <x:row r="10">
      <x:c r="A10" t="str">
        <x:v>High Obsolescence Risk SKUs</x:v>
      </x:c>
      <x:c r="B10" s="64" t="n">
        <x:f>COUNTIF('Inventory_Snapshot'!T2:T151,"High")</x:f>
        <x:v>70</x:v>
      </x:c>
      <x:c r="D10" s="9" t="str">
        <x:v>ABC Class</x:v>
      </x:c>
      <x:c r="E10" s="9" t="str">
        <x:v>Inventory Value</x:v>
      </x:c>
    </x:row>
    <x:row r="11">
      <x:c r="A11" t="str">
        <x:v>Average Days on Hand</x:v>
      </x:c>
      <x:c r="B11" s="66" t="n">
        <x:f>AVERAGE('Inventory_Snapshot'!K2:K151)</x:f>
        <x:v>42.511110172517846</x:v>
      </x:c>
      <x:c r="D11" t="str">
        <x:v>A</x:v>
      </x:c>
      <x:c r="E11" s="62" t="n">
        <x:f>SUMIF('Inventory_Snapshot'!C2:C151,D11,'Inventory_Snapshot'!I2:I151)</x:f>
        <x:v>1520830.65</x:v>
      </x:c>
    </x:row>
    <x:row r="12">
      <x:c r="D12" t="str">
        <x:v>B</x:v>
      </x:c>
      <x:c r="E12" s="62" t="n">
        <x:f>SUMIF('Inventory_Snapshot'!C2:C151,D12,'Inventory_Snapshot'!I2:I151)</x:f>
        <x:v>3311609.9300000006</x:v>
      </x:c>
    </x:row>
    <x:row r="13">
      <x:c r="D13" t="str">
        <x:v>C</x:v>
      </x:c>
      <x:c r="E13" s="62" t="n">
        <x:f>SUMIF('Inventory_Snapshot'!C2:C151,D13,'Inventory_Snapshot'!I2:I151)</x:f>
        <x:v>3574715.2799999993</x:v>
      </x:c>
    </x:row>
    <x:row r="15">
      <x:c r="A15" s="3" t="str">
        <x:v>Finance / Inventory Review Targets</x:v>
      </x:c>
      <x:c r="B15" s="3"/>
      <x:c r="C15" s="3"/>
      <x:c r="D15" s="3"/>
      <x:c r="E15" s="3"/>
      <x:c r="F15" s="3"/>
      <x:c r="G15" s="3"/>
      <x:c r="H15" s="3"/>
    </x:row>
    <x:row r="16">
      <x:c r="A16" s="9" t="str">
        <x:v>Use Case</x:v>
      </x:c>
      <x:c r="B16" s="9" t="str">
        <x:v>Primary Sheet</x:v>
      </x:c>
      <x:c r="C16" s="9" t="str">
        <x:v>Fields to Test</x:v>
      </x:c>
      <x:c r="D16" s="9" t="str">
        <x:v>Example Question</x:v>
      </x:c>
      <x:c r="E16" s="9" t="str">
        <x:v>Expected Add-in Action</x:v>
      </x:c>
      <x:c r="F16" s="9" t="str">
        <x:v>Finance Relevance</x:v>
      </x:c>
      <x:c r="G16" s="9" t="str">
        <x:v>Inventory Relevance</x:v>
      </x:c>
      <x:c r="H16" s="9" t="str">
        <x:v>Notes</x:v>
      </x:c>
    </x:row>
    <x:row r="17">
      <x:c r="A17" s="25" t="str">
        <x:v>Stockout analysis</x:v>
      </x:c>
      <x:c r="B17" s="25" t="str">
        <x:v>Inventory_Snapshot</x:v>
      </x:c>
      <x:c r="C17" s="25" t="str">
        <x:v>Available, Demand, Lead Time, ROP</x:v>
      </x:c>
      <x:c r="D17" s="25" t="str">
        <x:v>Which SKUs may stock out before replenishment?</x:v>
      </x:c>
      <x:c r="E17" s="25" t="str">
        <x:v>Rank at-risk SKUs and explain drivers</x:v>
      </x:c>
      <x:c r="F17" s="25" t="str">
        <x:v>Avoid lost sales / expedite cost</x:v>
      </x:c>
      <x:c r="G17" s="25" t="str">
        <x:v>Replenishment</x:v>
      </x:c>
      <x:c r="H17" s="25" t="str">
        <x:v>Use Stockout_Risk + formulas</x:v>
      </x:c>
    </x:row>
    <x:row r="18">
      <x:c r="A18" s="25" t="str">
        <x:v>Excess inventory</x:v>
      </x:c>
      <x:c r="B18" s="25" t="str">
        <x:v>Inventory_Snapshot</x:v>
      </x:c>
      <x:c r="C18" s="25" t="str">
        <x:v>Days on Hand, Excess Units, Value</x:v>
      </x:c>
      <x:c r="D18" s="25" t="str">
        <x:v>Where is cash tied up in excess stock?</x:v>
      </x:c>
      <x:c r="E18" s="25" t="str">
        <x:v>Quantify excess working capital</x:v>
      </x:c>
      <x:c r="F18" s="25" t="str">
        <x:v>Working capital</x:v>
      </x:c>
      <x:c r="G18" s="25" t="str">
        <x:v>Overstock</x:v>
      </x:c>
      <x:c r="H18" s="25" t="str">
        <x:v>Prioritize high-value excess</x:v>
      </x:c>
    </x:row>
    <x:row r="19">
      <x:c r="A19" s="25" t="str">
        <x:v>PO review</x:v>
      </x:c>
      <x:c r="B19" s="25" t="str">
        <x:v>Purchase_Orders</x:v>
      </x:c>
      <x:c r="C19" s="25" t="str">
        <x:v>Open Units, Status, Expected Date</x:v>
      </x:c>
      <x:c r="D19" s="25" t="str">
        <x:v>Which open POs are late or oversized?</x:v>
      </x:c>
      <x:c r="E19" s="25" t="str">
        <x:v>Flag late/open commitments</x:v>
      </x:c>
      <x:c r="F19" s="25" t="str">
        <x:v>Cash commitments / AP</x:v>
      </x:c>
      <x:c r="G19" s="25" t="str">
        <x:v>Inbound inventory</x:v>
      </x:c>
      <x:c r="H19" s="25" t="str">
        <x:v>Compare expected dates to as-of date</x:v>
      </x:c>
    </x:row>
    <x:row r="20">
      <x:c r="A20" s="25" t="str">
        <x:v>Forecast vs stock</x:v>
      </x:c>
      <x:c r="B20" s="25" t="str">
        <x:v>Forecast</x:v>
      </x:c>
      <x:c r="C20" s="25" t="str">
        <x:v>90D Forecast, On Hand, On Order</x:v>
      </x:c>
      <x:c r="D20" s="25" t="str">
        <x:v>What should we reorder for next 90 days?</x:v>
      </x:c>
      <x:c r="E20" s="25" t="str">
        <x:v>Recommend reorder quantities</x:v>
      </x:c>
      <x:c r="F20" s="25" t="str">
        <x:v>Planned COGS / cash outflow</x:v>
      </x:c>
      <x:c r="G20" s="25" t="str">
        <x:v>Demand planning</x:v>
      </x:c>
      <x:c r="H20" s="25" t="str">
        <x:v>Uses safety stock</x:v>
      </x:c>
    </x:row>
    <x:row r="21">
      <x:c r="A21" s="25" t="str">
        <x:v>Supplier performance</x:v>
      </x:c>
      <x:c r="B21" s="25" t="str">
        <x:v>Suppliers</x:v>
      </x:c>
      <x:c r="C21" s="25" t="str">
        <x:v>Lead Time, OTD %, Defect %</x:v>
      </x:c>
      <x:c r="D21" s="25" t="str">
        <x:v>Which suppliers create financial risk?</x:v>
      </x:c>
      <x:c r="E21" s="25" t="str">
        <x:v>Score vendors and explain tradeoffs</x:v>
      </x:c>
      <x:c r="F21" s="25" t="str">
        <x:v>Purchase cost / continuity</x:v>
      </x:c>
      <x:c r="G21" s="25" t="str">
        <x:v>Supply risk</x:v>
      </x:c>
      <x:c r="H21" s="25" t="str">
        <x:v>Use delivery + quality fields</x:v>
      </x:c>
    </x:row>
    <x:row r="22">
      <x:c r="A22" s="25" t="str">
        <x:v>Margin analysis</x:v>
      </x:c>
      <x:c r="B22" s="25" t="str">
        <x:v>Sales_History</x:v>
      </x:c>
      <x:c r="C22" s="25" t="str">
        <x:v>Revenue, COGS, Gross Profit</x:v>
      </x:c>
      <x:c r="D22" s="25" t="str">
        <x:v>Which SKUs generate the most gross profit?</x:v>
      </x:c>
      <x:c r="E22" s="25" t="str">
        <x:v>Aggregate revenue/COGS/margin</x:v>
      </x:c>
      <x:c r="F22" s="25" t="str">
        <x:v>Profitability</x:v>
      </x:c>
      <x:c r="G22" s="25" t="str">
        <x:v>SKU economics</x:v>
      </x:c>
      <x:c r="H22" s="25" t="str">
        <x:v>Useful for finance reporting</x:v>
      </x:c>
    </x:row>
  </x:sheetData>
  <x:mergeCells>
    <x:mergeCell ref="A1:H1"/>
    <x:mergeCell ref="A15:H15"/>
  </x:mergeCells>
  <x:pageMargins left="0.7" right="0.7" top="0.75" bottom="0.75" header="0.3" footer="0.3"/>
  <x:drawing xmlns:r="http://schemas.openxmlformats.org/officeDocument/2006/relationships" r:id="R6a017264235a46fa"/>
</x:worksheet>
</file>