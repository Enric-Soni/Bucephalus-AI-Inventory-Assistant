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ntory Master" sheetId="2" state="visible" r:id="rId2"/>
    <sheet xmlns:r="http://schemas.openxmlformats.org/officeDocument/2006/relationships" name="Aging &amp; Reserve" sheetId="3" state="visible" r:id="rId3"/>
    <sheet xmlns:r="http://schemas.openxmlformats.org/officeDocument/2006/relationships" name="Movement Ledger" sheetId="4" state="visible" r:id="rId4"/>
    <sheet xmlns:r="http://schemas.openxmlformats.org/officeDocument/2006/relationships" name="Procurement &amp; Re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b val="1"/>
      <color rgb="001F4E79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164" fontId="7" fillId="4" borderId="1" pivotButton="0" quotePrefix="0" xfId="0"/>
    <xf numFmtId="3" fontId="7" fillId="4" borderId="1" pivotButton="0" quotePrefix="0" xfId="0"/>
    <xf numFmtId="0" fontId="7" fillId="0" borderId="1" applyAlignment="1" pivotButton="0" quotePrefix="0" xfId="0">
      <alignment horizontal="center"/>
    </xf>
    <xf numFmtId="0" fontId="0" fillId="0" borderId="2" pivotButton="0" quotePrefix="0" xfId="0"/>
    <xf numFmtId="165" fontId="7" fillId="4" borderId="1" pivotButton="0" quotePrefix="0" xfId="0"/>
    <xf numFmtId="165" fontId="7" fillId="0" borderId="1" pivotButton="0" quotePrefix="0" xfId="0"/>
    <xf numFmtId="165" fontId="8" fillId="0" borderId="2" pivotButton="0" quotePrefix="0" xfId="0"/>
  </cellXfs>
  <cellStyles count="1">
    <cellStyle name="Normal" xfId="0" builtinId="0" hidden="0"/>
  </cellStyles>
  <dxfs count="1">
    <dxf>
      <font>
        <name val="Segoe UI"/>
        <b val="1"/>
        <color rgb="00C00000"/>
        <sz val="10"/>
      </font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Summary'!$B$10:$B$13</f>
            </numRef>
          </cat>
          <val>
            <numRef>
              <f>'Executive Summary'!$D$10:$D$13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22" customWidth="1" min="4" max="4"/>
    <col width="26" customWidth="1" min="5" max="5"/>
    <col width="22" customWidth="1" min="6" max="6"/>
    <col width="12" customWidth="1" min="7" max="7"/>
    <col width="36" customWidth="1" min="8" max="8"/>
    <col width="12" customWidth="1" min="9" max="9"/>
    <col width="12" customWidth="1" min="10" max="10"/>
    <col width="49" customWidth="1" min="11" max="11"/>
    <col width="12" customWidth="1" min="12" max="12"/>
    <col width="12" customWidth="1" min="13" max="13"/>
  </cols>
  <sheetData>
    <row r="1">
      <c r="A1" s="1" t="inlineStr">
        <is>
          <t>INVENTORY VALUATION &amp; CONTROL DASHBOARD</t>
        </is>
      </c>
    </row>
    <row r="2">
      <c r="A2" s="2" t="inlineStr">
        <is>
          <t>Finance Department Monthly Inventory Assessment &amp; KPI Overview</t>
        </is>
      </c>
    </row>
    <row r="3"/>
    <row r="4">
      <c r="B4" s="3" t="inlineStr">
        <is>
          <t>TOTAL INVENTORY VALUE</t>
        </is>
      </c>
      <c r="C4" s="4" t="n"/>
      <c r="D4" s="4" t="n"/>
      <c r="E4" s="3" t="inlineStr">
        <is>
          <t>TOTAL NRV PROVISION</t>
        </is>
      </c>
      <c r="F4" s="4" t="n"/>
      <c r="G4" s="4" t="n"/>
      <c r="H4" s="3" t="inlineStr">
        <is>
          <t>OBSOLESCENCE RESERVE</t>
        </is>
      </c>
      <c r="I4" s="4" t="n"/>
      <c r="J4" s="4" t="n"/>
      <c r="K4" s="3" t="inlineStr">
        <is>
          <t>SKUS BELOW REORDER POINT</t>
        </is>
      </c>
      <c r="L4" s="4" t="n"/>
      <c r="M4" s="4" t="n"/>
    </row>
    <row r="5">
      <c r="B5" s="5">
        <f>SUM('Inventory Master'!I5:I34)</f>
        <v/>
      </c>
      <c r="C5" s="4" t="n"/>
      <c r="D5" s="4" t="n"/>
      <c r="E5" s="5">
        <f>SUM('Inventory Master'!K5:K34)</f>
        <v/>
      </c>
      <c r="F5" s="4" t="n"/>
      <c r="G5" s="4" t="n"/>
      <c r="H5" s="5">
        <f>SUM('Aging &amp; Reserve'!K5:K34)</f>
        <v/>
      </c>
      <c r="I5" s="4" t="n"/>
      <c r="J5" s="4" t="n"/>
      <c r="K5" s="6">
        <f>COUNTIF('Inventory Master'!O5:O34, "REORDER")</f>
        <v/>
      </c>
      <c r="L5" s="4" t="n"/>
      <c r="M5" s="4" t="n"/>
    </row>
    <row r="6"/>
    <row r="7"/>
    <row r="8">
      <c r="B8" s="7" t="inlineStr">
        <is>
          <t>Inventory Valuation by Category</t>
        </is>
      </c>
    </row>
    <row r="9">
      <c r="B9" s="8" t="inlineStr">
        <is>
          <t>Category</t>
        </is>
      </c>
      <c r="C9" s="8" t="inlineStr">
        <is>
          <t>SKU Count</t>
        </is>
      </c>
      <c r="D9" s="8" t="inlineStr">
        <is>
          <t>Total Inventory Cost</t>
        </is>
      </c>
      <c r="E9" s="8" t="inlineStr">
        <is>
          <t>LCM / Valuation Adjustment</t>
        </is>
      </c>
      <c r="F9" s="8" t="inlineStr">
        <is>
          <t>Net Book Value</t>
        </is>
      </c>
    </row>
    <row r="10">
      <c r="B10" s="9" t="inlineStr">
        <is>
          <t>Raw Materials</t>
        </is>
      </c>
      <c r="C10" s="10">
        <f>COUNTIF('Inventory Master'!C5:C34, "Raw Materials")</f>
        <v/>
      </c>
      <c r="D10" s="11">
        <f>SUMIF('Inventory Master'!C5:C34, "Raw Materials", 'Inventory Master'!I5:I34)</f>
        <v/>
      </c>
      <c r="E10" s="11">
        <f>SUMIF('Inventory Master'!C5:C34, "Raw Materials", 'Inventory Master'!K5:K34)</f>
        <v/>
      </c>
      <c r="F10" s="11">
        <f>D10-E10</f>
        <v/>
      </c>
    </row>
    <row r="11">
      <c r="B11" s="9" t="inlineStr">
        <is>
          <t>Work in Progress</t>
        </is>
      </c>
      <c r="C11" s="10">
        <f>COUNTIF('Inventory Master'!C5:C34, "Work in Progress")</f>
        <v/>
      </c>
      <c r="D11" s="11">
        <f>SUMIF('Inventory Master'!C5:C34, "Work in Progress", 'Inventory Master'!I5:I34)</f>
        <v/>
      </c>
      <c r="E11" s="11">
        <f>SUMIF('Inventory Master'!C5:C34, "Work in Progress", 'Inventory Master'!K5:K34)</f>
        <v/>
      </c>
      <c r="F11" s="11">
        <f>D11-E11</f>
        <v/>
      </c>
    </row>
    <row r="12">
      <c r="B12" s="9" t="inlineStr">
        <is>
          <t>Finished Goods</t>
        </is>
      </c>
      <c r="C12" s="10">
        <f>COUNTIF('Inventory Master'!C5:C34, "Finished Goods")</f>
        <v/>
      </c>
      <c r="D12" s="11">
        <f>SUMIF('Inventory Master'!C5:C34, "Finished Goods", 'Inventory Master'!I5:I34)</f>
        <v/>
      </c>
      <c r="E12" s="11">
        <f>SUMIF('Inventory Master'!C5:C34, "Finished Goods", 'Inventory Master'!K5:K34)</f>
        <v/>
      </c>
      <c r="F12" s="11">
        <f>D12-E12</f>
        <v/>
      </c>
    </row>
    <row r="13">
      <c r="B13" s="9" t="inlineStr">
        <is>
          <t>Packaging Materials</t>
        </is>
      </c>
      <c r="C13" s="10">
        <f>COUNTIF('Inventory Master'!C5:C34, "Packaging Materials")</f>
        <v/>
      </c>
      <c r="D13" s="11">
        <f>SUMIF('Inventory Master'!C5:C34, "Packaging Materials", 'Inventory Master'!I5:I34)</f>
        <v/>
      </c>
      <c r="E13" s="11">
        <f>SUMIF('Inventory Master'!C5:C34, "Packaging Materials", 'Inventory Master'!K5:K34)</f>
        <v/>
      </c>
      <c r="F13" s="11">
        <f>D13-E13</f>
        <v/>
      </c>
    </row>
    <row r="14">
      <c r="B14" s="12" t="inlineStr">
        <is>
          <t>Total</t>
        </is>
      </c>
      <c r="C14" s="13">
        <f>SUM(C10:C13)</f>
        <v/>
      </c>
      <c r="D14" s="14">
        <f>SUM(D10:D13)</f>
        <v/>
      </c>
      <c r="E14" s="14">
        <f>SUM(E10:E13)</f>
        <v/>
      </c>
      <c r="F14" s="14">
        <f>SUM(F10:F13)</f>
        <v/>
      </c>
    </row>
  </sheetData>
  <mergeCells count="8">
    <mergeCell ref="B5:D5"/>
    <mergeCell ref="E5:G5"/>
    <mergeCell ref="K4:M4"/>
    <mergeCell ref="H5:J5"/>
    <mergeCell ref="K5:M5"/>
    <mergeCell ref="B4:D4"/>
    <mergeCell ref="H4:J4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4" customWidth="1" min="1" max="1"/>
    <col width="33" customWidth="1" min="2" max="2"/>
    <col width="22" customWidth="1" min="3" max="3"/>
    <col width="21" customWidth="1" min="4" max="4"/>
    <col width="12" customWidth="1" min="5" max="5"/>
    <col width="16" customWidth="1" min="6" max="6"/>
    <col width="17" customWidth="1" min="7" max="7"/>
    <col width="15" customWidth="1" min="8" max="8"/>
    <col width="18" customWidth="1" min="9" max="9"/>
    <col width="18" customWidth="1" min="10" max="10"/>
    <col width="22" customWidth="1" min="11" max="11"/>
    <col width="16" customWidth="1" min="12" max="12"/>
    <col width="15" customWidth="1" min="13" max="13"/>
    <col width="19" customWidth="1" min="14" max="14"/>
    <col width="31" customWidth="1" min="15" max="15"/>
  </cols>
  <sheetData>
    <row r="1">
      <c r="A1" s="1" t="inlineStr">
        <is>
          <t>INVENTORY MASTER &amp; LCM VALUATION LEDGER</t>
        </is>
      </c>
    </row>
    <row r="2">
      <c r="A2" s="2" t="inlineStr">
        <is>
          <t>AS OF AUGUST 2026 - INCLUDES LOWER OF COST OR NET REALIZABLE VALUE (NRV) ANALYSIS</t>
        </is>
      </c>
    </row>
    <row r="3"/>
    <row r="4">
      <c r="A4" s="15" t="inlineStr">
        <is>
          <t>SKU ID</t>
        </is>
      </c>
      <c r="B4" s="15" t="inlineStr">
        <is>
          <t>Item Description</t>
        </is>
      </c>
      <c r="C4" s="15" t="inlineStr">
        <is>
          <t>Category</t>
        </is>
      </c>
      <c r="D4" s="15" t="inlineStr">
        <is>
          <t>Warehouse Location</t>
        </is>
      </c>
      <c r="E4" s="15" t="inlineStr">
        <is>
          <t>UOM</t>
        </is>
      </c>
      <c r="F4" s="15" t="inlineStr">
        <is>
          <t>Unit Cost ($)</t>
        </is>
      </c>
      <c r="G4" s="15" t="inlineStr">
        <is>
          <t>NRV / Unit ($)</t>
        </is>
      </c>
      <c r="H4" s="15" t="inlineStr">
        <is>
          <t>Qty on Hand</t>
        </is>
      </c>
      <c r="I4" s="15" t="inlineStr">
        <is>
          <t>Total Cost ($)</t>
        </is>
      </c>
      <c r="J4" s="15" t="inlineStr">
        <is>
          <t>Total NRV ($)</t>
        </is>
      </c>
      <c r="K4" s="15" t="inlineStr">
        <is>
          <t>LCM Reserve ($)</t>
        </is>
      </c>
      <c r="L4" s="15" t="inlineStr">
        <is>
          <t>Reorder Point</t>
        </is>
      </c>
      <c r="M4" s="15" t="inlineStr">
        <is>
          <t>Safety Stock</t>
        </is>
      </c>
      <c r="N4" s="15" t="inlineStr">
        <is>
          <t>Valuation Method</t>
        </is>
      </c>
      <c r="O4" s="15" t="inlineStr">
        <is>
          <t>Stock Status</t>
        </is>
      </c>
    </row>
    <row r="5">
      <c r="A5" s="16" t="inlineStr">
        <is>
          <t>SKU-1001</t>
        </is>
      </c>
      <c r="B5" s="17" t="inlineStr">
        <is>
          <t>Precision Steel Bearings</t>
        </is>
      </c>
      <c r="C5" s="17" t="inlineStr">
        <is>
          <t>Raw Materials</t>
        </is>
      </c>
      <c r="D5" s="16" t="inlineStr">
        <is>
          <t>WH-A East</t>
        </is>
      </c>
      <c r="E5" s="16" t="inlineStr">
        <is>
          <t>PCS</t>
        </is>
      </c>
      <c r="F5" s="18" t="n">
        <v>12.5</v>
      </c>
      <c r="G5" s="18" t="n">
        <v>14</v>
      </c>
      <c r="H5" s="19" t="n">
        <v>1500</v>
      </c>
      <c r="I5" s="18">
        <f>F5*H5</f>
        <v/>
      </c>
      <c r="J5" s="18">
        <f>G5*H5</f>
        <v/>
      </c>
      <c r="K5" s="18">
        <f>MAX(0, I5-J5)</f>
        <v/>
      </c>
      <c r="L5" s="19" t="n">
        <v>500</v>
      </c>
      <c r="M5" s="19" t="n">
        <v>200</v>
      </c>
      <c r="N5" s="16" t="inlineStr">
        <is>
          <t>FIFO</t>
        </is>
      </c>
      <c r="O5" s="16">
        <f>IF(H5&lt;=L5,"REORDER","OK")</f>
        <v/>
      </c>
    </row>
    <row r="6">
      <c r="A6" s="20" t="inlineStr">
        <is>
          <t>SKU-1002</t>
        </is>
      </c>
      <c r="B6" s="9" t="inlineStr">
        <is>
          <t>Aluminum Extrusion Bars</t>
        </is>
      </c>
      <c r="C6" s="9" t="inlineStr">
        <is>
          <t>Raw Materials</t>
        </is>
      </c>
      <c r="D6" s="20" t="inlineStr">
        <is>
          <t>WH-A East</t>
        </is>
      </c>
      <c r="E6" s="20" t="inlineStr">
        <is>
          <t>MTR</t>
        </is>
      </c>
      <c r="F6" s="11" t="n">
        <v>28</v>
      </c>
      <c r="G6" s="11" t="n">
        <v>25</v>
      </c>
      <c r="H6" s="10" t="n">
        <v>800</v>
      </c>
      <c r="I6" s="11">
        <f>F6*H6</f>
        <v/>
      </c>
      <c r="J6" s="11">
        <f>G6*H6</f>
        <v/>
      </c>
      <c r="K6" s="11">
        <f>MAX(0, I6-J6)</f>
        <v/>
      </c>
      <c r="L6" s="10" t="n">
        <v>300</v>
      </c>
      <c r="M6" s="10" t="n">
        <v>100</v>
      </c>
      <c r="N6" s="20" t="inlineStr">
        <is>
          <t>FIFO</t>
        </is>
      </c>
      <c r="O6" s="20">
        <f>IF(H6&lt;=L6,"REORDER","OK")</f>
        <v/>
      </c>
    </row>
    <row r="7">
      <c r="A7" s="16" t="inlineStr">
        <is>
          <t>SKU-1003</t>
        </is>
      </c>
      <c r="B7" s="17" t="inlineStr">
        <is>
          <t>Microcontroller Units v2</t>
        </is>
      </c>
      <c r="C7" s="17" t="inlineStr">
        <is>
          <t>Raw Materials</t>
        </is>
      </c>
      <c r="D7" s="16" t="inlineStr">
        <is>
          <t>WH-B West</t>
        </is>
      </c>
      <c r="E7" s="16" t="inlineStr">
        <is>
          <t>PCS</t>
        </is>
      </c>
      <c r="F7" s="18" t="n">
        <v>4.75</v>
      </c>
      <c r="G7" s="18" t="n">
        <v>4.8</v>
      </c>
      <c r="H7" s="19" t="n">
        <v>4200</v>
      </c>
      <c r="I7" s="18">
        <f>F7*H7</f>
        <v/>
      </c>
      <c r="J7" s="18">
        <f>G7*H7</f>
        <v/>
      </c>
      <c r="K7" s="18">
        <f>MAX(0, I7-J7)</f>
        <v/>
      </c>
      <c r="L7" s="19" t="n">
        <v>1000</v>
      </c>
      <c r="M7" s="19" t="n">
        <v>400</v>
      </c>
      <c r="N7" s="16" t="inlineStr">
        <is>
          <t>Weighted Avg</t>
        </is>
      </c>
      <c r="O7" s="16">
        <f>IF(H7&lt;=L7,"REORDER","OK")</f>
        <v/>
      </c>
    </row>
    <row r="8">
      <c r="A8" s="20" t="inlineStr">
        <is>
          <t>SKU-1004</t>
        </is>
      </c>
      <c r="B8" s="9" t="inlineStr">
        <is>
          <t>Hydraulic Cylinder Sub-Assy</t>
        </is>
      </c>
      <c r="C8" s="9" t="inlineStr">
        <is>
          <t>Work in Progress</t>
        </is>
      </c>
      <c r="D8" s="20" t="inlineStr">
        <is>
          <t>WH-C Central</t>
        </is>
      </c>
      <c r="E8" s="20" t="inlineStr">
        <is>
          <t>UNITS</t>
        </is>
      </c>
      <c r="F8" s="11" t="n">
        <v>185</v>
      </c>
      <c r="G8" s="11" t="n">
        <v>180</v>
      </c>
      <c r="H8" s="10" t="n">
        <v>120</v>
      </c>
      <c r="I8" s="11">
        <f>F8*H8</f>
        <v/>
      </c>
      <c r="J8" s="11">
        <f>G8*H8</f>
        <v/>
      </c>
      <c r="K8" s="11">
        <f>MAX(0, I8-J8)</f>
        <v/>
      </c>
      <c r="L8" s="10" t="n">
        <v>50</v>
      </c>
      <c r="M8" s="10" t="n">
        <v>20</v>
      </c>
      <c r="N8" s="20" t="inlineStr">
        <is>
          <t>FIFO</t>
        </is>
      </c>
      <c r="O8" s="20">
        <f>IF(H8&lt;=L8,"REORDER","OK")</f>
        <v/>
      </c>
    </row>
    <row r="9">
      <c r="A9" s="16" t="inlineStr">
        <is>
          <t>SKU-1005</t>
        </is>
      </c>
      <c r="B9" s="17" t="inlineStr">
        <is>
          <t>Industrial Control Panel Alpha</t>
        </is>
      </c>
      <c r="C9" s="17" t="inlineStr">
        <is>
          <t>Finished Goods</t>
        </is>
      </c>
      <c r="D9" s="16" t="inlineStr">
        <is>
          <t>WH-A East</t>
        </is>
      </c>
      <c r="E9" s="16" t="inlineStr">
        <is>
          <t>UNITS</t>
        </is>
      </c>
      <c r="F9" s="18" t="n">
        <v>650</v>
      </c>
      <c r="G9" s="18" t="n">
        <v>720</v>
      </c>
      <c r="H9" s="19" t="n">
        <v>45</v>
      </c>
      <c r="I9" s="18">
        <f>F9*H9</f>
        <v/>
      </c>
      <c r="J9" s="18">
        <f>G9*H9</f>
        <v/>
      </c>
      <c r="K9" s="18">
        <f>MAX(0, I9-J9)</f>
        <v/>
      </c>
      <c r="L9" s="19" t="n">
        <v>20</v>
      </c>
      <c r="M9" s="19" t="n">
        <v>10</v>
      </c>
      <c r="N9" s="16" t="inlineStr">
        <is>
          <t>FIFO</t>
        </is>
      </c>
      <c r="O9" s="16">
        <f>IF(H9&lt;=L9,"REORDER","OK")</f>
        <v/>
      </c>
    </row>
    <row r="10">
      <c r="A10" s="20" t="inlineStr">
        <is>
          <t>SKU-1006</t>
        </is>
      </c>
      <c r="B10" s="9" t="inlineStr">
        <is>
          <t>Corrugated Shipping Boxes L</t>
        </is>
      </c>
      <c r="C10" s="9" t="inlineStr">
        <is>
          <t>Packaging Materials</t>
        </is>
      </c>
      <c r="D10" s="20" t="inlineStr">
        <is>
          <t>WH-A East</t>
        </is>
      </c>
      <c r="E10" s="20" t="inlineStr">
        <is>
          <t>BOX</t>
        </is>
      </c>
      <c r="F10" s="11" t="n">
        <v>1.85</v>
      </c>
      <c r="G10" s="11" t="n">
        <v>1.9</v>
      </c>
      <c r="H10" s="10" t="n">
        <v>5000</v>
      </c>
      <c r="I10" s="11">
        <f>F10*H10</f>
        <v/>
      </c>
      <c r="J10" s="11">
        <f>G10*H10</f>
        <v/>
      </c>
      <c r="K10" s="11">
        <f>MAX(0, I10-J10)</f>
        <v/>
      </c>
      <c r="L10" s="10" t="n">
        <v>1500</v>
      </c>
      <c r="M10" s="10" t="n">
        <v>500</v>
      </c>
      <c r="N10" s="20" t="inlineStr">
        <is>
          <t>Weighted Avg</t>
        </is>
      </c>
      <c r="O10" s="20">
        <f>IF(H10&lt;=L10,"REORDER","OK")</f>
        <v/>
      </c>
    </row>
    <row r="11">
      <c r="A11" s="16" t="inlineStr">
        <is>
          <t>SKU-1007</t>
        </is>
      </c>
      <c r="B11" s="17" t="inlineStr">
        <is>
          <t>Copper Wiring Spool 100m</t>
        </is>
      </c>
      <c r="C11" s="17" t="inlineStr">
        <is>
          <t>Raw Materials</t>
        </is>
      </c>
      <c r="D11" s="16" t="inlineStr">
        <is>
          <t>WH-B West</t>
        </is>
      </c>
      <c r="E11" s="16" t="inlineStr">
        <is>
          <t>SPOOL</t>
        </is>
      </c>
      <c r="F11" s="18" t="n">
        <v>45</v>
      </c>
      <c r="G11" s="18" t="n">
        <v>42</v>
      </c>
      <c r="H11" s="19" t="n">
        <v>310</v>
      </c>
      <c r="I11" s="18">
        <f>F11*H11</f>
        <v/>
      </c>
      <c r="J11" s="18">
        <f>G11*H11</f>
        <v/>
      </c>
      <c r="K11" s="18">
        <f>MAX(0, I11-J11)</f>
        <v/>
      </c>
      <c r="L11" s="19" t="n">
        <v>100</v>
      </c>
      <c r="M11" s="19" t="n">
        <v>30</v>
      </c>
      <c r="N11" s="16" t="inlineStr">
        <is>
          <t>FIFO</t>
        </is>
      </c>
      <c r="O11" s="16">
        <f>IF(H11&lt;=L11,"REORDER","OK")</f>
        <v/>
      </c>
    </row>
    <row r="12">
      <c r="A12" s="20" t="inlineStr">
        <is>
          <t>SKU-1008</t>
        </is>
      </c>
      <c r="B12" s="9" t="inlineStr">
        <is>
          <t>Lithium-Ion Battery Pack 24V</t>
        </is>
      </c>
      <c r="C12" s="9" t="inlineStr">
        <is>
          <t>Raw Materials</t>
        </is>
      </c>
      <c r="D12" s="20" t="inlineStr">
        <is>
          <t>WH-B West</t>
        </is>
      </c>
      <c r="E12" s="20" t="inlineStr">
        <is>
          <t>UNITS</t>
        </is>
      </c>
      <c r="F12" s="11" t="n">
        <v>110</v>
      </c>
      <c r="G12" s="11" t="n">
        <v>95</v>
      </c>
      <c r="H12" s="10" t="n">
        <v>240</v>
      </c>
      <c r="I12" s="11">
        <f>F12*H12</f>
        <v/>
      </c>
      <c r="J12" s="11">
        <f>G12*H12</f>
        <v/>
      </c>
      <c r="K12" s="11">
        <f>MAX(0, I12-J12)</f>
        <v/>
      </c>
      <c r="L12" s="10" t="n">
        <v>100</v>
      </c>
      <c r="M12" s="10" t="n">
        <v>40</v>
      </c>
      <c r="N12" s="20" t="inlineStr">
        <is>
          <t>FIFO</t>
        </is>
      </c>
      <c r="O12" s="20">
        <f>IF(H12&lt;=L12,"REORDER","OK")</f>
        <v/>
      </c>
    </row>
    <row r="13">
      <c r="A13" s="16" t="inlineStr">
        <is>
          <t>SKU-1009</t>
        </is>
      </c>
      <c r="B13" s="17" t="inlineStr">
        <is>
          <t>Servo Motor Drive 500W</t>
        </is>
      </c>
      <c r="C13" s="17" t="inlineStr">
        <is>
          <t>Finished Goods</t>
        </is>
      </c>
      <c r="D13" s="16" t="inlineStr">
        <is>
          <t>WH-C Central</t>
        </is>
      </c>
      <c r="E13" s="16" t="inlineStr">
        <is>
          <t>UNITS</t>
        </is>
      </c>
      <c r="F13" s="18" t="n">
        <v>320</v>
      </c>
      <c r="G13" s="18" t="n">
        <v>350</v>
      </c>
      <c r="H13" s="19" t="n">
        <v>85</v>
      </c>
      <c r="I13" s="18">
        <f>F13*H13</f>
        <v/>
      </c>
      <c r="J13" s="18">
        <f>G13*H13</f>
        <v/>
      </c>
      <c r="K13" s="18">
        <f>MAX(0, I13-J13)</f>
        <v/>
      </c>
      <c r="L13" s="19" t="n">
        <v>30</v>
      </c>
      <c r="M13" s="19" t="n">
        <v>15</v>
      </c>
      <c r="N13" s="16" t="inlineStr">
        <is>
          <t>FIFO</t>
        </is>
      </c>
      <c r="O13" s="16">
        <f>IF(H13&lt;=L13,"REORDER","OK")</f>
        <v/>
      </c>
    </row>
    <row r="14">
      <c r="A14" s="20" t="inlineStr">
        <is>
          <t>SKU-1010</t>
        </is>
      </c>
      <c r="B14" s="9" t="inlineStr">
        <is>
          <t>Heavy Duty Polymer Casing</t>
        </is>
      </c>
      <c r="C14" s="9" t="inlineStr">
        <is>
          <t>Work in Progress</t>
        </is>
      </c>
      <c r="D14" s="20" t="inlineStr">
        <is>
          <t>WH-A East</t>
        </is>
      </c>
      <c r="E14" s="20" t="inlineStr">
        <is>
          <t>PCS</t>
        </is>
      </c>
      <c r="F14" s="11" t="n">
        <v>35</v>
      </c>
      <c r="G14" s="11" t="n">
        <v>36</v>
      </c>
      <c r="H14" s="10" t="n">
        <v>620</v>
      </c>
      <c r="I14" s="11">
        <f>F14*H14</f>
        <v/>
      </c>
      <c r="J14" s="11">
        <f>G14*H14</f>
        <v/>
      </c>
      <c r="K14" s="11">
        <f>MAX(0, I14-J14)</f>
        <v/>
      </c>
      <c r="L14" s="10" t="n">
        <v>200</v>
      </c>
      <c r="M14" s="10" t="n">
        <v>80</v>
      </c>
      <c r="N14" s="20" t="inlineStr">
        <is>
          <t>Weighted Avg</t>
        </is>
      </c>
      <c r="O14" s="20">
        <f>IF(H14&lt;=L14,"REORDER","OK")</f>
        <v/>
      </c>
    </row>
    <row r="15">
      <c r="A15" s="16" t="inlineStr">
        <is>
          <t>SKU-1011</t>
        </is>
      </c>
      <c r="B15" s="17" t="inlineStr">
        <is>
          <t>High-Temp Gasket Seal</t>
        </is>
      </c>
      <c r="C15" s="17" t="inlineStr">
        <is>
          <t>Raw Materials</t>
        </is>
      </c>
      <c r="D15" s="16" t="inlineStr">
        <is>
          <t>WH-A East</t>
        </is>
      </c>
      <c r="E15" s="16" t="inlineStr">
        <is>
          <t>PCS</t>
        </is>
      </c>
      <c r="F15" s="18" t="n">
        <v>3.2</v>
      </c>
      <c r="G15" s="18" t="n">
        <v>3.1</v>
      </c>
      <c r="H15" s="19" t="n">
        <v>2800</v>
      </c>
      <c r="I15" s="18">
        <f>F15*H15</f>
        <v/>
      </c>
      <c r="J15" s="18">
        <f>G15*H15</f>
        <v/>
      </c>
      <c r="K15" s="18">
        <f>MAX(0, I15-J15)</f>
        <v/>
      </c>
      <c r="L15" s="19" t="n">
        <v>800</v>
      </c>
      <c r="M15" s="19" t="n">
        <v>300</v>
      </c>
      <c r="N15" s="16" t="inlineStr">
        <is>
          <t>Weighted Avg</t>
        </is>
      </c>
      <c r="O15" s="16">
        <f>IF(H15&lt;=L15,"REORDER","OK")</f>
        <v/>
      </c>
    </row>
    <row r="16">
      <c r="A16" s="20" t="inlineStr">
        <is>
          <t>SKU-1012</t>
        </is>
      </c>
      <c r="B16" s="9" t="inlineStr">
        <is>
          <t>Pneumatic Valve Assembly</t>
        </is>
      </c>
      <c r="C16" s="9" t="inlineStr">
        <is>
          <t>Finished Goods</t>
        </is>
      </c>
      <c r="D16" s="20" t="inlineStr">
        <is>
          <t>WH-C Central</t>
        </is>
      </c>
      <c r="E16" s="20" t="inlineStr">
        <is>
          <t>UNITS</t>
        </is>
      </c>
      <c r="F16" s="11" t="n">
        <v>145</v>
      </c>
      <c r="G16" s="11" t="n">
        <v>160</v>
      </c>
      <c r="H16" s="10" t="n">
        <v>190</v>
      </c>
      <c r="I16" s="11">
        <f>F16*H16</f>
        <v/>
      </c>
      <c r="J16" s="11">
        <f>G16*H16</f>
        <v/>
      </c>
      <c r="K16" s="11">
        <f>MAX(0, I16-J16)</f>
        <v/>
      </c>
      <c r="L16" s="10" t="n">
        <v>60</v>
      </c>
      <c r="M16" s="10" t="n">
        <v>25</v>
      </c>
      <c r="N16" s="20" t="inlineStr">
        <is>
          <t>FIFO</t>
        </is>
      </c>
      <c r="O16" s="20">
        <f>IF(H16&lt;=L16,"REORDER","OK")</f>
        <v/>
      </c>
    </row>
    <row r="17">
      <c r="A17" s="16" t="inlineStr">
        <is>
          <t>SKU-1013</t>
        </is>
      </c>
      <c r="B17" s="17" t="inlineStr">
        <is>
          <t>Biodegradable Bubble Wrap</t>
        </is>
      </c>
      <c r="C17" s="17" t="inlineStr">
        <is>
          <t>Packaging Materials</t>
        </is>
      </c>
      <c r="D17" s="16" t="inlineStr">
        <is>
          <t>WH-B West</t>
        </is>
      </c>
      <c r="E17" s="16" t="inlineStr">
        <is>
          <t>ROLL</t>
        </is>
      </c>
      <c r="F17" s="18" t="n">
        <v>22.5</v>
      </c>
      <c r="G17" s="18" t="n">
        <v>23</v>
      </c>
      <c r="H17" s="19" t="n">
        <v>400</v>
      </c>
      <c r="I17" s="18">
        <f>F17*H17</f>
        <v/>
      </c>
      <c r="J17" s="18">
        <f>G17*H17</f>
        <v/>
      </c>
      <c r="K17" s="18">
        <f>MAX(0, I17-J17)</f>
        <v/>
      </c>
      <c r="L17" s="19" t="n">
        <v>150</v>
      </c>
      <c r="M17" s="19" t="n">
        <v>50</v>
      </c>
      <c r="N17" s="16" t="inlineStr">
        <is>
          <t>Weighted Avg</t>
        </is>
      </c>
      <c r="O17" s="16">
        <f>IF(H17&lt;=L17,"REORDER","OK")</f>
        <v/>
      </c>
    </row>
    <row r="18">
      <c r="A18" s="20" t="inlineStr">
        <is>
          <t>SKU-1014</t>
        </is>
      </c>
      <c r="B18" s="9" t="inlineStr">
        <is>
          <t>Titanium Fastener Kit</t>
        </is>
      </c>
      <c r="C18" s="9" t="inlineStr">
        <is>
          <t>Raw Materials</t>
        </is>
      </c>
      <c r="D18" s="20" t="inlineStr">
        <is>
          <t>WH-A East</t>
        </is>
      </c>
      <c r="E18" s="20" t="inlineStr">
        <is>
          <t>KIT</t>
        </is>
      </c>
      <c r="F18" s="11" t="n">
        <v>88</v>
      </c>
      <c r="G18" s="11" t="n">
        <v>80</v>
      </c>
      <c r="H18" s="10" t="n">
        <v>150</v>
      </c>
      <c r="I18" s="11">
        <f>F18*H18</f>
        <v/>
      </c>
      <c r="J18" s="11">
        <f>G18*H18</f>
        <v/>
      </c>
      <c r="K18" s="11">
        <f>MAX(0, I18-J18)</f>
        <v/>
      </c>
      <c r="L18" s="10" t="n">
        <v>80</v>
      </c>
      <c r="M18" s="10" t="n">
        <v>25</v>
      </c>
      <c r="N18" s="20" t="inlineStr">
        <is>
          <t>FIFO</t>
        </is>
      </c>
      <c r="O18" s="20">
        <f>IF(H18&lt;=L18,"REORDER","OK")</f>
        <v/>
      </c>
    </row>
    <row r="19">
      <c r="A19" s="16" t="inlineStr">
        <is>
          <t>SKU-1015</t>
        </is>
      </c>
      <c r="B19" s="17" t="inlineStr">
        <is>
          <t>Optical Sensor Array</t>
        </is>
      </c>
      <c r="C19" s="17" t="inlineStr">
        <is>
          <t>Work in Progress</t>
        </is>
      </c>
      <c r="D19" s="16" t="inlineStr">
        <is>
          <t>WH-B West</t>
        </is>
      </c>
      <c r="E19" s="16" t="inlineStr">
        <is>
          <t>SET</t>
        </is>
      </c>
      <c r="F19" s="18" t="n">
        <v>210</v>
      </c>
      <c r="G19" s="18" t="n">
        <v>200</v>
      </c>
      <c r="H19" s="19" t="n">
        <v>75</v>
      </c>
      <c r="I19" s="18">
        <f>F19*H19</f>
        <v/>
      </c>
      <c r="J19" s="18">
        <f>G19*H19</f>
        <v/>
      </c>
      <c r="K19" s="18">
        <f>MAX(0, I19-J19)</f>
        <v/>
      </c>
      <c r="L19" s="19" t="n">
        <v>40</v>
      </c>
      <c r="M19" s="19" t="n">
        <v>15</v>
      </c>
      <c r="N19" s="16" t="inlineStr">
        <is>
          <t>FIFO</t>
        </is>
      </c>
      <c r="O19" s="16">
        <f>IF(H19&lt;=L19,"REORDER","OK")</f>
        <v/>
      </c>
    </row>
    <row r="20">
      <c r="A20" s="20" t="inlineStr">
        <is>
          <t>SKU-1016</t>
        </is>
      </c>
      <c r="B20" s="9" t="inlineStr">
        <is>
          <t>Heavy Duty Wooden Pallet</t>
        </is>
      </c>
      <c r="C20" s="9" t="inlineStr">
        <is>
          <t>Packaging Materials</t>
        </is>
      </c>
      <c r="D20" s="20" t="inlineStr">
        <is>
          <t>WH-C Central</t>
        </is>
      </c>
      <c r="E20" s="20" t="inlineStr">
        <is>
          <t>PCS</t>
        </is>
      </c>
      <c r="F20" s="11" t="n">
        <v>15</v>
      </c>
      <c r="G20" s="11" t="n">
        <v>16</v>
      </c>
      <c r="H20" s="10" t="n">
        <v>850</v>
      </c>
      <c r="I20" s="11">
        <f>F20*H20</f>
        <v/>
      </c>
      <c r="J20" s="11">
        <f>G20*H20</f>
        <v/>
      </c>
      <c r="K20" s="11">
        <f>MAX(0, I20-J20)</f>
        <v/>
      </c>
      <c r="L20" s="10" t="n">
        <v>300</v>
      </c>
      <c r="M20" s="10" t="n">
        <v>100</v>
      </c>
      <c r="N20" s="20" t="inlineStr">
        <is>
          <t>Weighted Avg</t>
        </is>
      </c>
      <c r="O20" s="20">
        <f>IF(H20&lt;=L20,"REORDER","OK")</f>
        <v/>
      </c>
    </row>
    <row r="21">
      <c r="A21" s="16" t="inlineStr">
        <is>
          <t>SKU-1017</t>
        </is>
      </c>
      <c r="B21" s="17" t="inlineStr">
        <is>
          <t>PLC Expansion Board</t>
        </is>
      </c>
      <c r="C21" s="17" t="inlineStr">
        <is>
          <t>Finished Goods</t>
        </is>
      </c>
      <c r="D21" s="16" t="inlineStr">
        <is>
          <t>WH-A East</t>
        </is>
      </c>
      <c r="E21" s="16" t="inlineStr">
        <is>
          <t>UNITS</t>
        </is>
      </c>
      <c r="F21" s="18" t="n">
        <v>275</v>
      </c>
      <c r="G21" s="18" t="n">
        <v>290</v>
      </c>
      <c r="H21" s="19" t="n">
        <v>60</v>
      </c>
      <c r="I21" s="18">
        <f>F21*H21</f>
        <v/>
      </c>
      <c r="J21" s="18">
        <f>G21*H21</f>
        <v/>
      </c>
      <c r="K21" s="18">
        <f>MAX(0, I21-J21)</f>
        <v/>
      </c>
      <c r="L21" s="19" t="n">
        <v>25</v>
      </c>
      <c r="M21" s="19" t="n">
        <v>10</v>
      </c>
      <c r="N21" s="16" t="inlineStr">
        <is>
          <t>FIFO</t>
        </is>
      </c>
      <c r="O21" s="16">
        <f>IF(H21&lt;=L21,"REORDER","OK")</f>
        <v/>
      </c>
    </row>
    <row r="22">
      <c r="A22" s="20" t="inlineStr">
        <is>
          <t>SKU-1018</t>
        </is>
      </c>
      <c r="B22" s="9" t="inlineStr">
        <is>
          <t>Synthetic Lubricant 20L</t>
        </is>
      </c>
      <c r="C22" s="9" t="inlineStr">
        <is>
          <t>Raw Materials</t>
        </is>
      </c>
      <c r="D22" s="20" t="inlineStr">
        <is>
          <t>WH-C Central</t>
        </is>
      </c>
      <c r="E22" s="20" t="inlineStr">
        <is>
          <t>DRUM</t>
        </is>
      </c>
      <c r="F22" s="11" t="n">
        <v>95</v>
      </c>
      <c r="G22" s="11" t="n">
        <v>98</v>
      </c>
      <c r="H22" s="10" t="n">
        <v>110</v>
      </c>
      <c r="I22" s="11">
        <f>F22*H22</f>
        <v/>
      </c>
      <c r="J22" s="11">
        <f>G22*H22</f>
        <v/>
      </c>
      <c r="K22" s="11">
        <f>MAX(0, I22-J22)</f>
        <v/>
      </c>
      <c r="L22" s="10" t="n">
        <v>40</v>
      </c>
      <c r="M22" s="10" t="n">
        <v>15</v>
      </c>
      <c r="N22" s="20" t="inlineStr">
        <is>
          <t>Weighted Avg</t>
        </is>
      </c>
      <c r="O22" s="20">
        <f>IF(H22&lt;=L22,"REORDER","OK")</f>
        <v/>
      </c>
    </row>
    <row r="23">
      <c r="A23" s="16" t="inlineStr">
        <is>
          <t>SKU-1019</t>
        </is>
      </c>
      <c r="B23" s="17" t="inlineStr">
        <is>
          <t>Thermal Paste Tube 50g</t>
        </is>
      </c>
      <c r="C23" s="17" t="inlineStr">
        <is>
          <t>Raw Materials</t>
        </is>
      </c>
      <c r="D23" s="16" t="inlineStr">
        <is>
          <t>WH-B West</t>
        </is>
      </c>
      <c r="E23" s="16" t="inlineStr">
        <is>
          <t>TUBE</t>
        </is>
      </c>
      <c r="F23" s="18" t="n">
        <v>6.5</v>
      </c>
      <c r="G23" s="18" t="n">
        <v>5.5</v>
      </c>
      <c r="H23" s="19" t="n">
        <v>1200</v>
      </c>
      <c r="I23" s="18">
        <f>F23*H23</f>
        <v/>
      </c>
      <c r="J23" s="18">
        <f>G23*H23</f>
        <v/>
      </c>
      <c r="K23" s="18">
        <f>MAX(0, I23-J23)</f>
        <v/>
      </c>
      <c r="L23" s="19" t="n">
        <v>500</v>
      </c>
      <c r="M23" s="19" t="n">
        <v>200</v>
      </c>
      <c r="N23" s="16" t="inlineStr">
        <is>
          <t>Weighted Avg</t>
        </is>
      </c>
      <c r="O23" s="16">
        <f>IF(H23&lt;=L23,"REORDER","OK")</f>
        <v/>
      </c>
    </row>
    <row r="24">
      <c r="A24" s="20" t="inlineStr">
        <is>
          <t>SKU-1020</t>
        </is>
      </c>
      <c r="B24" s="9" t="inlineStr">
        <is>
          <t>Smart Gateway Router</t>
        </is>
      </c>
      <c r="C24" s="9" t="inlineStr">
        <is>
          <t>Finished Goods</t>
        </is>
      </c>
      <c r="D24" s="20" t="inlineStr">
        <is>
          <t>WH-A East</t>
        </is>
      </c>
      <c r="E24" s="20" t="inlineStr">
        <is>
          <t>UNITS</t>
        </is>
      </c>
      <c r="F24" s="11" t="n">
        <v>195</v>
      </c>
      <c r="G24" s="11" t="n">
        <v>210</v>
      </c>
      <c r="H24" s="10" t="n">
        <v>310</v>
      </c>
      <c r="I24" s="11">
        <f>F24*H24</f>
        <v/>
      </c>
      <c r="J24" s="11">
        <f>G24*H24</f>
        <v/>
      </c>
      <c r="K24" s="11">
        <f>MAX(0, I24-J24)</f>
        <v/>
      </c>
      <c r="L24" s="10" t="n">
        <v>100</v>
      </c>
      <c r="M24" s="10" t="n">
        <v>40</v>
      </c>
      <c r="N24" s="20" t="inlineStr">
        <is>
          <t>FIFO</t>
        </is>
      </c>
      <c r="O24" s="20">
        <f>IF(H24&lt;=L24,"REORDER","OK")</f>
        <v/>
      </c>
    </row>
    <row r="25">
      <c r="A25" s="16" t="inlineStr">
        <is>
          <t>SKU-1021</t>
        </is>
      </c>
      <c r="B25" s="17" t="inlineStr">
        <is>
          <t>Custom PCB Assembly</t>
        </is>
      </c>
      <c r="C25" s="17" t="inlineStr">
        <is>
          <t>Work in Progress</t>
        </is>
      </c>
      <c r="D25" s="16" t="inlineStr">
        <is>
          <t>WH-B West</t>
        </is>
      </c>
      <c r="E25" s="16" t="inlineStr">
        <is>
          <t>PCS</t>
        </is>
      </c>
      <c r="F25" s="18" t="n">
        <v>62</v>
      </c>
      <c r="G25" s="18" t="n">
        <v>58</v>
      </c>
      <c r="H25" s="19" t="n">
        <v>480</v>
      </c>
      <c r="I25" s="18">
        <f>F25*H25</f>
        <v/>
      </c>
      <c r="J25" s="18">
        <f>G25*H25</f>
        <v/>
      </c>
      <c r="K25" s="18">
        <f>MAX(0, I25-J25)</f>
        <v/>
      </c>
      <c r="L25" s="19" t="n">
        <v>200</v>
      </c>
      <c r="M25" s="19" t="n">
        <v>75</v>
      </c>
      <c r="N25" s="16" t="inlineStr">
        <is>
          <t>FIFO</t>
        </is>
      </c>
      <c r="O25" s="16">
        <f>IF(H25&lt;=L25,"REORDER","OK")</f>
        <v/>
      </c>
    </row>
    <row r="26">
      <c r="A26" s="20" t="inlineStr">
        <is>
          <t>SKU-1022</t>
        </is>
      </c>
      <c r="B26" s="9" t="inlineStr">
        <is>
          <t>Custom Molded Foam Inserts</t>
        </is>
      </c>
      <c r="C26" s="9" t="inlineStr">
        <is>
          <t>Packaging Materials</t>
        </is>
      </c>
      <c r="D26" s="20" t="inlineStr">
        <is>
          <t>WH-C Central</t>
        </is>
      </c>
      <c r="E26" s="20" t="inlineStr">
        <is>
          <t>PCS</t>
        </is>
      </c>
      <c r="F26" s="11" t="n">
        <v>4.1</v>
      </c>
      <c r="G26" s="11" t="n">
        <v>4.25</v>
      </c>
      <c r="H26" s="10" t="n">
        <v>2200</v>
      </c>
      <c r="I26" s="11">
        <f>F26*H26</f>
        <v/>
      </c>
      <c r="J26" s="11">
        <f>G26*H26</f>
        <v/>
      </c>
      <c r="K26" s="11">
        <f>MAX(0, I26-J26)</f>
        <v/>
      </c>
      <c r="L26" s="10" t="n">
        <v>800</v>
      </c>
      <c r="M26" s="10" t="n">
        <v>300</v>
      </c>
      <c r="N26" s="20" t="inlineStr">
        <is>
          <t>Weighted Avg</t>
        </is>
      </c>
      <c r="O26" s="20">
        <f>IF(H26&lt;=L26,"REORDER","OK")</f>
        <v/>
      </c>
    </row>
    <row r="27">
      <c r="A27" s="16" t="inlineStr">
        <is>
          <t>SKU-1023</t>
        </is>
      </c>
      <c r="B27" s="17" t="inlineStr">
        <is>
          <t>Stainless Steel Tubing 2m</t>
        </is>
      </c>
      <c r="C27" s="17" t="inlineStr">
        <is>
          <t>Raw Materials</t>
        </is>
      </c>
      <c r="D27" s="16" t="inlineStr">
        <is>
          <t>WH-A East</t>
        </is>
      </c>
      <c r="E27" s="16" t="inlineStr">
        <is>
          <t>MTR</t>
        </is>
      </c>
      <c r="F27" s="18" t="n">
        <v>34</v>
      </c>
      <c r="G27" s="18" t="n">
        <v>36</v>
      </c>
      <c r="H27" s="19" t="n">
        <v>390</v>
      </c>
      <c r="I27" s="18">
        <f>F27*H27</f>
        <v/>
      </c>
      <c r="J27" s="18">
        <f>G27*H27</f>
        <v/>
      </c>
      <c r="K27" s="18">
        <f>MAX(0, I27-J27)</f>
        <v/>
      </c>
      <c r="L27" s="19" t="n">
        <v>150</v>
      </c>
      <c r="M27" s="19" t="n">
        <v>50</v>
      </c>
      <c r="N27" s="16" t="inlineStr">
        <is>
          <t>FIFO</t>
        </is>
      </c>
      <c r="O27" s="16">
        <f>IF(H27&lt;=L27,"REORDER","OK")</f>
        <v/>
      </c>
    </row>
    <row r="28">
      <c r="A28" s="20" t="inlineStr">
        <is>
          <t>SKU-1024</t>
        </is>
      </c>
      <c r="B28" s="9" t="inlineStr">
        <is>
          <t>Brushless DC Motor 24V</t>
        </is>
      </c>
      <c r="C28" s="9" t="inlineStr">
        <is>
          <t>Raw Materials</t>
        </is>
      </c>
      <c r="D28" s="20" t="inlineStr">
        <is>
          <t>WH-B West</t>
        </is>
      </c>
      <c r="E28" s="20" t="inlineStr">
        <is>
          <t>UNITS</t>
        </is>
      </c>
      <c r="F28" s="11" t="n">
        <v>78</v>
      </c>
      <c r="G28" s="11" t="n">
        <v>72</v>
      </c>
      <c r="H28" s="10" t="n">
        <v>180</v>
      </c>
      <c r="I28" s="11">
        <f>F28*H28</f>
        <v/>
      </c>
      <c r="J28" s="11">
        <f>G28*H28</f>
        <v/>
      </c>
      <c r="K28" s="11">
        <f>MAX(0, I28-J28)</f>
        <v/>
      </c>
      <c r="L28" s="10" t="n">
        <v>100</v>
      </c>
      <c r="M28" s="10" t="n">
        <v>30</v>
      </c>
      <c r="N28" s="20" t="inlineStr">
        <is>
          <t>FIFO</t>
        </is>
      </c>
      <c r="O28" s="20">
        <f>IF(H28&lt;=L28,"REORDER","OK")</f>
        <v/>
      </c>
    </row>
    <row r="29">
      <c r="A29" s="16" t="inlineStr">
        <is>
          <t>SKU-1025</t>
        </is>
      </c>
      <c r="B29" s="17" t="inlineStr">
        <is>
          <t>LED Status Display Module</t>
        </is>
      </c>
      <c r="C29" s="17" t="inlineStr">
        <is>
          <t>Work in Progress</t>
        </is>
      </c>
      <c r="D29" s="16" t="inlineStr">
        <is>
          <t>WH-A East</t>
        </is>
      </c>
      <c r="E29" s="16" t="inlineStr">
        <is>
          <t>PCS</t>
        </is>
      </c>
      <c r="F29" s="18" t="n">
        <v>18.5</v>
      </c>
      <c r="G29" s="18" t="n">
        <v>19</v>
      </c>
      <c r="H29" s="19" t="n">
        <v>950</v>
      </c>
      <c r="I29" s="18">
        <f>F29*H29</f>
        <v/>
      </c>
      <c r="J29" s="18">
        <f>G29*H29</f>
        <v/>
      </c>
      <c r="K29" s="18">
        <f>MAX(0, I29-J29)</f>
        <v/>
      </c>
      <c r="L29" s="19" t="n">
        <v>300</v>
      </c>
      <c r="M29" s="19" t="n">
        <v>100</v>
      </c>
      <c r="N29" s="16" t="inlineStr">
        <is>
          <t>Weighted Avg</t>
        </is>
      </c>
      <c r="O29" s="16">
        <f>IF(H29&lt;=L29,"REORDER","OK")</f>
        <v/>
      </c>
    </row>
    <row r="30">
      <c r="A30" s="20" t="inlineStr">
        <is>
          <t>SKU-1026</t>
        </is>
      </c>
      <c r="B30" s="9" t="inlineStr">
        <is>
          <t>Anti-Static Shielding Bags</t>
        </is>
      </c>
      <c r="C30" s="9" t="inlineStr">
        <is>
          <t>Packaging Materials</t>
        </is>
      </c>
      <c r="D30" s="20" t="inlineStr">
        <is>
          <t>WH-B West</t>
        </is>
      </c>
      <c r="E30" s="20" t="inlineStr">
        <is>
          <t>PACK</t>
        </is>
      </c>
      <c r="F30" s="11" t="n">
        <v>12</v>
      </c>
      <c r="G30" s="11" t="n">
        <v>11.5</v>
      </c>
      <c r="H30" s="10" t="n">
        <v>650</v>
      </c>
      <c r="I30" s="11">
        <f>F30*H30</f>
        <v/>
      </c>
      <c r="J30" s="11">
        <f>G30*H30</f>
        <v/>
      </c>
      <c r="K30" s="11">
        <f>MAX(0, I30-J30)</f>
        <v/>
      </c>
      <c r="L30" s="10" t="n">
        <v>250</v>
      </c>
      <c r="M30" s="10" t="n">
        <v>80</v>
      </c>
      <c r="N30" s="20" t="inlineStr">
        <is>
          <t>Weighted Avg</t>
        </is>
      </c>
      <c r="O30" s="20">
        <f>IF(H30&lt;=L30,"REORDER","OK")</f>
        <v/>
      </c>
    </row>
    <row r="31">
      <c r="A31" s="16" t="inlineStr">
        <is>
          <t>SKU-1027</t>
        </is>
      </c>
      <c r="B31" s="17" t="inlineStr">
        <is>
          <t>Pressure Transducer Unit</t>
        </is>
      </c>
      <c r="C31" s="17" t="inlineStr">
        <is>
          <t>Finished Goods</t>
        </is>
      </c>
      <c r="D31" s="16" t="inlineStr">
        <is>
          <t>WH-C Central</t>
        </is>
      </c>
      <c r="E31" s="16" t="inlineStr">
        <is>
          <t>UNITS</t>
        </is>
      </c>
      <c r="F31" s="18" t="n">
        <v>410</v>
      </c>
      <c r="G31" s="18" t="n">
        <v>450</v>
      </c>
      <c r="H31" s="19" t="n">
        <v>40</v>
      </c>
      <c r="I31" s="18">
        <f>F31*H31</f>
        <v/>
      </c>
      <c r="J31" s="18">
        <f>G31*H31</f>
        <v/>
      </c>
      <c r="K31" s="18">
        <f>MAX(0, I31-J31)</f>
        <v/>
      </c>
      <c r="L31" s="19" t="n">
        <v>20</v>
      </c>
      <c r="M31" s="19" t="n">
        <v>10</v>
      </c>
      <c r="N31" s="16" t="inlineStr">
        <is>
          <t>FIFO</t>
        </is>
      </c>
      <c r="O31" s="16">
        <f>IF(H31&lt;=L31,"REORDER","OK")</f>
        <v/>
      </c>
    </row>
    <row r="32">
      <c r="A32" s="20" t="inlineStr">
        <is>
          <t>SKU-1028</t>
        </is>
      </c>
      <c r="B32" s="9" t="inlineStr">
        <is>
          <t>Cooling Fan 120mm 12V</t>
        </is>
      </c>
      <c r="C32" s="9" t="inlineStr">
        <is>
          <t>Raw Materials</t>
        </is>
      </c>
      <c r="D32" s="20" t="inlineStr">
        <is>
          <t>WH-A East</t>
        </is>
      </c>
      <c r="E32" s="20" t="inlineStr">
        <is>
          <t>PCS</t>
        </is>
      </c>
      <c r="F32" s="11" t="n">
        <v>8.199999999999999</v>
      </c>
      <c r="G32" s="11" t="n">
        <v>8.5</v>
      </c>
      <c r="H32" s="10" t="n">
        <v>1400</v>
      </c>
      <c r="I32" s="11">
        <f>F32*H32</f>
        <v/>
      </c>
      <c r="J32" s="11">
        <f>G32*H32</f>
        <v/>
      </c>
      <c r="K32" s="11">
        <f>MAX(0, I32-J32)</f>
        <v/>
      </c>
      <c r="L32" s="10" t="n">
        <v>400</v>
      </c>
      <c r="M32" s="10" t="n">
        <v>150</v>
      </c>
      <c r="N32" s="20" t="inlineStr">
        <is>
          <t>Weighted Avg</t>
        </is>
      </c>
      <c r="O32" s="20">
        <f>IF(H32&lt;=L32,"REORDER","OK")</f>
        <v/>
      </c>
    </row>
    <row r="33">
      <c r="A33" s="16" t="inlineStr">
        <is>
          <t>SKU-1029</t>
        </is>
      </c>
      <c r="B33" s="17" t="inlineStr">
        <is>
          <t>Industrial Wiring Harness</t>
        </is>
      </c>
      <c r="C33" s="17" t="inlineStr">
        <is>
          <t>Work in Progress</t>
        </is>
      </c>
      <c r="D33" s="16" t="inlineStr">
        <is>
          <t>WH-C Central</t>
        </is>
      </c>
      <c r="E33" s="16" t="inlineStr">
        <is>
          <t>SET</t>
        </is>
      </c>
      <c r="F33" s="18" t="n">
        <v>54</v>
      </c>
      <c r="G33" s="18" t="n">
        <v>50</v>
      </c>
      <c r="H33" s="19" t="n">
        <v>210</v>
      </c>
      <c r="I33" s="18">
        <f>F33*H33</f>
        <v/>
      </c>
      <c r="J33" s="18">
        <f>G33*H33</f>
        <v/>
      </c>
      <c r="K33" s="18">
        <f>MAX(0, I33-J33)</f>
        <v/>
      </c>
      <c r="L33" s="19" t="n">
        <v>100</v>
      </c>
      <c r="M33" s="19" t="n">
        <v>40</v>
      </c>
      <c r="N33" s="16" t="inlineStr">
        <is>
          <t>FIFO</t>
        </is>
      </c>
      <c r="O33" s="16">
        <f>IF(H33&lt;=L33,"REORDER","OK")</f>
        <v/>
      </c>
    </row>
    <row r="34">
      <c r="A34" s="20" t="inlineStr">
        <is>
          <t>SKU-1030</t>
        </is>
      </c>
      <c r="B34" s="9" t="inlineStr">
        <is>
          <t>Stretch Wrap Film Roll</t>
        </is>
      </c>
      <c r="C34" s="9" t="inlineStr">
        <is>
          <t>Packaging Materials</t>
        </is>
      </c>
      <c r="D34" s="20" t="inlineStr">
        <is>
          <t>WH-A East</t>
        </is>
      </c>
      <c r="E34" s="20" t="inlineStr">
        <is>
          <t>ROLL</t>
        </is>
      </c>
      <c r="F34" s="11" t="n">
        <v>18</v>
      </c>
      <c r="G34" s="11" t="n">
        <v>18.5</v>
      </c>
      <c r="H34" s="10" t="n">
        <v>320</v>
      </c>
      <c r="I34" s="11">
        <f>F34*H34</f>
        <v/>
      </c>
      <c r="J34" s="11">
        <f>G34*H34</f>
        <v/>
      </c>
      <c r="K34" s="11">
        <f>MAX(0, I34-J34)</f>
        <v/>
      </c>
      <c r="L34" s="10" t="n">
        <v>100</v>
      </c>
      <c r="M34" s="10" t="n">
        <v>40</v>
      </c>
      <c r="N34" s="20" t="inlineStr">
        <is>
          <t>Weighted Avg</t>
        </is>
      </c>
      <c r="O34" s="20">
        <f>IF(H34&lt;=L34,"REORDER","OK")</f>
        <v/>
      </c>
    </row>
    <row r="35">
      <c r="A35" s="21" t="n"/>
      <c r="B35" s="12" t="inlineStr">
        <is>
          <t>Total Portfolio Value</t>
        </is>
      </c>
      <c r="C35" s="21" t="n"/>
      <c r="D35" s="21" t="n"/>
      <c r="E35" s="21" t="n"/>
      <c r="F35" s="21" t="n"/>
      <c r="G35" s="21" t="n"/>
      <c r="H35" s="13">
        <f>SUM(H5:H34)</f>
        <v/>
      </c>
      <c r="I35" s="14">
        <f>SUM(I5:I34)</f>
        <v/>
      </c>
      <c r="J35" s="14">
        <f>SUM(J5:J34)</f>
        <v/>
      </c>
      <c r="K35" s="14">
        <f>SUM(K5:K34)</f>
        <v/>
      </c>
      <c r="L35" s="21" t="n"/>
      <c r="M35" s="21" t="n"/>
      <c r="N35" s="21" t="n"/>
      <c r="O35" s="21" t="n"/>
    </row>
  </sheetData>
  <conditionalFormatting sqref="O5:O34">
    <cfRule type="cellIs" priority="1" operator="equal" dxfId="0" stopIfTrue="1">
      <formula>"REORDER"</formula>
    </cfRule>
  </conditionalFormatting>
  <dataValidations count="2">
    <dataValidation sqref="C5:C34" showDropDown="0" showInputMessage="0" showErrorMessage="0" allowBlank="1" type="list">
      <formula1>"Raw Materials,Work in Progress,Finished Goods,Packaging Materials"</formula1>
    </dataValidation>
    <dataValidation sqref="D5:D34" showDropDown="0" showInputMessage="0" showErrorMessage="0" allowBlank="1" type="list">
      <formula1>"WH-A East,WH-B West,WH-C Central"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1" customWidth="1" min="1" max="1"/>
    <col width="26" customWidth="1" min="2" max="2"/>
    <col width="26" customWidth="1" min="3" max="3"/>
    <col width="29" customWidth="1" min="4" max="4"/>
    <col width="20" customWidth="1" min="5" max="5"/>
    <col width="21" customWidth="1" min="6" max="6"/>
    <col width="21" customWidth="1" min="7" max="7"/>
    <col width="21" customWidth="1" min="8" max="8"/>
    <col width="23" customWidth="1" min="9" max="9"/>
    <col width="54" customWidth="1" min="10" max="10"/>
    <col width="23" customWidth="1" min="11" max="11"/>
  </cols>
  <sheetData>
    <row r="1">
      <c r="A1" s="1" t="inlineStr">
        <is>
          <t>INVENTORY AGING ANALYSIS &amp; OBSOLESCENCE PROVISION</t>
        </is>
      </c>
    </row>
    <row r="2">
      <c r="A2" s="2" t="inlineStr">
        <is>
          <t>ESTIMATED OBSOLESCENCE RESERVE BASED ON AGING BUCKETS &amp; POLICY RATES</t>
        </is>
      </c>
    </row>
    <row r="3"/>
    <row r="4">
      <c r="A4" s="15" t="inlineStr">
        <is>
          <t>SKU ID</t>
        </is>
      </c>
      <c r="B4" s="15" t="inlineStr">
        <is>
          <t>Item Description</t>
        </is>
      </c>
      <c r="C4" s="15" t="inlineStr">
        <is>
          <t>Total Qty</t>
        </is>
      </c>
      <c r="D4" s="15" t="inlineStr">
        <is>
          <t>Total Value ($)</t>
        </is>
      </c>
      <c r="E4" s="15" t="inlineStr">
        <is>
          <t>0-30 Days</t>
        </is>
      </c>
      <c r="F4" s="15" t="inlineStr">
        <is>
          <t>31-90 Days</t>
        </is>
      </c>
      <c r="G4" s="15" t="inlineStr">
        <is>
          <t>91-180 Days</t>
        </is>
      </c>
      <c r="H4" s="15" t="inlineStr">
        <is>
          <t>181-365 Days</t>
        </is>
      </c>
      <c r="I4" s="15" t="inlineStr">
        <is>
          <t>&gt;365 Days (Obsolete)</t>
        </is>
      </c>
      <c r="J4" s="15" t="inlineStr">
        <is>
          <t>Obsolescence Reserve Rate (%)</t>
        </is>
      </c>
      <c r="K4" s="15" t="inlineStr">
        <is>
          <t>Required Reserve ($)</t>
        </is>
      </c>
    </row>
    <row r="5">
      <c r="A5" s="16">
        <f>'Inventory Master'!A5</f>
        <v/>
      </c>
      <c r="B5" s="17">
        <f>'Inventory Master'!B5</f>
        <v/>
      </c>
      <c r="C5" s="19">
        <f>'Inventory Master'!H5</f>
        <v/>
      </c>
      <c r="D5" s="18">
        <f>'Inventory Master'!I5</f>
        <v/>
      </c>
      <c r="E5" s="19">
        <f>ROUND(C5*0.6,0)</f>
        <v/>
      </c>
      <c r="F5" s="19">
        <f>ROUND(C5*0.25,0)</f>
        <v/>
      </c>
      <c r="G5" s="19">
        <f>ROUND(C5*0.1,0)</f>
        <v/>
      </c>
      <c r="H5" s="19">
        <f>ROUND(C5*0.05,0)</f>
        <v/>
      </c>
      <c r="I5" s="19">
        <f>C5-SUM(E5:H5)</f>
        <v/>
      </c>
      <c r="J5" s="22">
        <f>IF(C5&gt;0, (G5*0.10 + H5*0.30 + I5*1.00)/C5, 0)</f>
        <v/>
      </c>
      <c r="K5" s="18">
        <f>D5*J5</f>
        <v/>
      </c>
    </row>
    <row r="6">
      <c r="A6" s="20">
        <f>'Inventory Master'!A6</f>
        <v/>
      </c>
      <c r="B6" s="9">
        <f>'Inventory Master'!B6</f>
        <v/>
      </c>
      <c r="C6" s="10">
        <f>'Inventory Master'!H6</f>
        <v/>
      </c>
      <c r="D6" s="11">
        <f>'Inventory Master'!I6</f>
        <v/>
      </c>
      <c r="E6" s="10">
        <f>ROUND(C6*0.1,0)</f>
        <v/>
      </c>
      <c r="F6" s="10">
        <f>ROUND(C6*0.15,0)</f>
        <v/>
      </c>
      <c r="G6" s="10">
        <f>ROUND(C6*0.25,0)</f>
        <v/>
      </c>
      <c r="H6" s="10">
        <f>ROUND(C6*0.3,0)</f>
        <v/>
      </c>
      <c r="I6" s="10">
        <f>C6-SUM(E6:H6)</f>
        <v/>
      </c>
      <c r="J6" s="23">
        <f>IF(C6&gt;0, (G6*0.10 + H6*0.30 + I6*1.00)/C6, 0)</f>
        <v/>
      </c>
      <c r="K6" s="11">
        <f>D6*J6</f>
        <v/>
      </c>
    </row>
    <row r="7">
      <c r="A7" s="16">
        <f>'Inventory Master'!A7</f>
        <v/>
      </c>
      <c r="B7" s="17">
        <f>'Inventory Master'!B7</f>
        <v/>
      </c>
      <c r="C7" s="19">
        <f>'Inventory Master'!H7</f>
        <v/>
      </c>
      <c r="D7" s="18">
        <f>'Inventory Master'!I7</f>
        <v/>
      </c>
      <c r="E7" s="19">
        <f>ROUND(C7*0.6,0)</f>
        <v/>
      </c>
      <c r="F7" s="19">
        <f>ROUND(C7*0.25,0)</f>
        <v/>
      </c>
      <c r="G7" s="19">
        <f>ROUND(C7*0.1,0)</f>
        <v/>
      </c>
      <c r="H7" s="19">
        <f>ROUND(C7*0.05,0)</f>
        <v/>
      </c>
      <c r="I7" s="19">
        <f>C7-SUM(E7:H7)</f>
        <v/>
      </c>
      <c r="J7" s="22">
        <f>IF(C7&gt;0, (G7*0.10 + H7*0.30 + I7*1.00)/C7, 0)</f>
        <v/>
      </c>
      <c r="K7" s="18">
        <f>D7*J7</f>
        <v/>
      </c>
    </row>
    <row r="8">
      <c r="A8" s="20">
        <f>'Inventory Master'!A8</f>
        <v/>
      </c>
      <c r="B8" s="9">
        <f>'Inventory Master'!B8</f>
        <v/>
      </c>
      <c r="C8" s="10">
        <f>'Inventory Master'!H8</f>
        <v/>
      </c>
      <c r="D8" s="11">
        <f>'Inventory Master'!I8</f>
        <v/>
      </c>
      <c r="E8" s="10">
        <f>ROUND(C8*0.6,0)</f>
        <v/>
      </c>
      <c r="F8" s="10">
        <f>ROUND(C8*0.25,0)</f>
        <v/>
      </c>
      <c r="G8" s="10">
        <f>ROUND(C8*0.1,0)</f>
        <v/>
      </c>
      <c r="H8" s="10">
        <f>ROUND(C8*0.05,0)</f>
        <v/>
      </c>
      <c r="I8" s="10">
        <f>C8-SUM(E8:H8)</f>
        <v/>
      </c>
      <c r="J8" s="23">
        <f>IF(C8&gt;0, (G8*0.10 + H8*0.30 + I8*1.00)/C8, 0)</f>
        <v/>
      </c>
      <c r="K8" s="11">
        <f>D8*J8</f>
        <v/>
      </c>
    </row>
    <row r="9">
      <c r="A9" s="16">
        <f>'Inventory Master'!A9</f>
        <v/>
      </c>
      <c r="B9" s="17">
        <f>'Inventory Master'!B9</f>
        <v/>
      </c>
      <c r="C9" s="19">
        <f>'Inventory Master'!H9</f>
        <v/>
      </c>
      <c r="D9" s="18">
        <f>'Inventory Master'!I9</f>
        <v/>
      </c>
      <c r="E9" s="19">
        <f>ROUND(C9*0.6,0)</f>
        <v/>
      </c>
      <c r="F9" s="19">
        <f>ROUND(C9*0.25,0)</f>
        <v/>
      </c>
      <c r="G9" s="19">
        <f>ROUND(C9*0.1,0)</f>
        <v/>
      </c>
      <c r="H9" s="19">
        <f>ROUND(C9*0.05,0)</f>
        <v/>
      </c>
      <c r="I9" s="19">
        <f>C9-SUM(E9:H9)</f>
        <v/>
      </c>
      <c r="J9" s="22">
        <f>IF(C9&gt;0, (G9*0.10 + H9*0.30 + I9*1.00)/C9, 0)</f>
        <v/>
      </c>
      <c r="K9" s="18">
        <f>D9*J9</f>
        <v/>
      </c>
    </row>
    <row r="10">
      <c r="A10" s="20">
        <f>'Inventory Master'!A10</f>
        <v/>
      </c>
      <c r="B10" s="9">
        <f>'Inventory Master'!B10</f>
        <v/>
      </c>
      <c r="C10" s="10">
        <f>'Inventory Master'!H10</f>
        <v/>
      </c>
      <c r="D10" s="11">
        <f>'Inventory Master'!I10</f>
        <v/>
      </c>
      <c r="E10" s="10">
        <f>ROUND(C10*0.6,0)</f>
        <v/>
      </c>
      <c r="F10" s="10">
        <f>ROUND(C10*0.25,0)</f>
        <v/>
      </c>
      <c r="G10" s="10">
        <f>ROUND(C10*0.1,0)</f>
        <v/>
      </c>
      <c r="H10" s="10">
        <f>ROUND(C10*0.05,0)</f>
        <v/>
      </c>
      <c r="I10" s="10">
        <f>C10-SUM(E10:H10)</f>
        <v/>
      </c>
      <c r="J10" s="23">
        <f>IF(C10&gt;0, (G10*0.10 + H10*0.30 + I10*1.00)/C10, 0)</f>
        <v/>
      </c>
      <c r="K10" s="11">
        <f>D10*J10</f>
        <v/>
      </c>
    </row>
    <row r="11">
      <c r="A11" s="16">
        <f>'Inventory Master'!A11</f>
        <v/>
      </c>
      <c r="B11" s="17">
        <f>'Inventory Master'!B11</f>
        <v/>
      </c>
      <c r="C11" s="19">
        <f>'Inventory Master'!H11</f>
        <v/>
      </c>
      <c r="D11" s="18">
        <f>'Inventory Master'!I11</f>
        <v/>
      </c>
      <c r="E11" s="19">
        <f>ROUND(C11*0.6,0)</f>
        <v/>
      </c>
      <c r="F11" s="19">
        <f>ROUND(C11*0.25,0)</f>
        <v/>
      </c>
      <c r="G11" s="19">
        <f>ROUND(C11*0.1,0)</f>
        <v/>
      </c>
      <c r="H11" s="19">
        <f>ROUND(C11*0.05,0)</f>
        <v/>
      </c>
      <c r="I11" s="19">
        <f>C11-SUM(E11:H11)</f>
        <v/>
      </c>
      <c r="J11" s="22">
        <f>IF(C11&gt;0, (G11*0.10 + H11*0.30 + I11*1.00)/C11, 0)</f>
        <v/>
      </c>
      <c r="K11" s="18">
        <f>D11*J11</f>
        <v/>
      </c>
    </row>
    <row r="12">
      <c r="A12" s="20">
        <f>'Inventory Master'!A12</f>
        <v/>
      </c>
      <c r="B12" s="9">
        <f>'Inventory Master'!B12</f>
        <v/>
      </c>
      <c r="C12" s="10">
        <f>'Inventory Master'!H12</f>
        <v/>
      </c>
      <c r="D12" s="11">
        <f>'Inventory Master'!I12</f>
        <v/>
      </c>
      <c r="E12" s="10">
        <f>ROUND(C12*0.1,0)</f>
        <v/>
      </c>
      <c r="F12" s="10">
        <f>ROUND(C12*0.15,0)</f>
        <v/>
      </c>
      <c r="G12" s="10">
        <f>ROUND(C12*0.25,0)</f>
        <v/>
      </c>
      <c r="H12" s="10">
        <f>ROUND(C12*0.3,0)</f>
        <v/>
      </c>
      <c r="I12" s="10">
        <f>C12-SUM(E12:H12)</f>
        <v/>
      </c>
      <c r="J12" s="23">
        <f>IF(C12&gt;0, (G12*0.10 + H12*0.30 + I12*1.00)/C12, 0)</f>
        <v/>
      </c>
      <c r="K12" s="11">
        <f>D12*J12</f>
        <v/>
      </c>
    </row>
    <row r="13">
      <c r="A13" s="16">
        <f>'Inventory Master'!A13</f>
        <v/>
      </c>
      <c r="B13" s="17">
        <f>'Inventory Master'!B13</f>
        <v/>
      </c>
      <c r="C13" s="19">
        <f>'Inventory Master'!H13</f>
        <v/>
      </c>
      <c r="D13" s="18">
        <f>'Inventory Master'!I13</f>
        <v/>
      </c>
      <c r="E13" s="19">
        <f>ROUND(C13*0.6,0)</f>
        <v/>
      </c>
      <c r="F13" s="19">
        <f>ROUND(C13*0.25,0)</f>
        <v/>
      </c>
      <c r="G13" s="19">
        <f>ROUND(C13*0.1,0)</f>
        <v/>
      </c>
      <c r="H13" s="19">
        <f>ROUND(C13*0.05,0)</f>
        <v/>
      </c>
      <c r="I13" s="19">
        <f>C13-SUM(E13:H13)</f>
        <v/>
      </c>
      <c r="J13" s="22">
        <f>IF(C13&gt;0, (G13*0.10 + H13*0.30 + I13*1.00)/C13, 0)</f>
        <v/>
      </c>
      <c r="K13" s="18">
        <f>D13*J13</f>
        <v/>
      </c>
    </row>
    <row r="14">
      <c r="A14" s="20">
        <f>'Inventory Master'!A14</f>
        <v/>
      </c>
      <c r="B14" s="9">
        <f>'Inventory Master'!B14</f>
        <v/>
      </c>
      <c r="C14" s="10">
        <f>'Inventory Master'!H14</f>
        <v/>
      </c>
      <c r="D14" s="11">
        <f>'Inventory Master'!I14</f>
        <v/>
      </c>
      <c r="E14" s="10">
        <f>ROUND(C14*0.6,0)</f>
        <v/>
      </c>
      <c r="F14" s="10">
        <f>ROUND(C14*0.25,0)</f>
        <v/>
      </c>
      <c r="G14" s="10">
        <f>ROUND(C14*0.1,0)</f>
        <v/>
      </c>
      <c r="H14" s="10">
        <f>ROUND(C14*0.05,0)</f>
        <v/>
      </c>
      <c r="I14" s="10">
        <f>C14-SUM(E14:H14)</f>
        <v/>
      </c>
      <c r="J14" s="23">
        <f>IF(C14&gt;0, (G14*0.10 + H14*0.30 + I14*1.00)/C14, 0)</f>
        <v/>
      </c>
      <c r="K14" s="11">
        <f>D14*J14</f>
        <v/>
      </c>
    </row>
    <row r="15">
      <c r="A15" s="16">
        <f>'Inventory Master'!A15</f>
        <v/>
      </c>
      <c r="B15" s="17">
        <f>'Inventory Master'!B15</f>
        <v/>
      </c>
      <c r="C15" s="19">
        <f>'Inventory Master'!H15</f>
        <v/>
      </c>
      <c r="D15" s="18">
        <f>'Inventory Master'!I15</f>
        <v/>
      </c>
      <c r="E15" s="19">
        <f>ROUND(C15*0.6,0)</f>
        <v/>
      </c>
      <c r="F15" s="19">
        <f>ROUND(C15*0.25,0)</f>
        <v/>
      </c>
      <c r="G15" s="19">
        <f>ROUND(C15*0.1,0)</f>
        <v/>
      </c>
      <c r="H15" s="19">
        <f>ROUND(C15*0.05,0)</f>
        <v/>
      </c>
      <c r="I15" s="19">
        <f>C15-SUM(E15:H15)</f>
        <v/>
      </c>
      <c r="J15" s="22">
        <f>IF(C15&gt;0, (G15*0.10 + H15*0.30 + I15*1.00)/C15, 0)</f>
        <v/>
      </c>
      <c r="K15" s="18">
        <f>D15*J15</f>
        <v/>
      </c>
    </row>
    <row r="16">
      <c r="A16" s="20">
        <f>'Inventory Master'!A16</f>
        <v/>
      </c>
      <c r="B16" s="9">
        <f>'Inventory Master'!B16</f>
        <v/>
      </c>
      <c r="C16" s="10">
        <f>'Inventory Master'!H16</f>
        <v/>
      </c>
      <c r="D16" s="11">
        <f>'Inventory Master'!I16</f>
        <v/>
      </c>
      <c r="E16" s="10">
        <f>ROUND(C16*0.6,0)</f>
        <v/>
      </c>
      <c r="F16" s="10">
        <f>ROUND(C16*0.25,0)</f>
        <v/>
      </c>
      <c r="G16" s="10">
        <f>ROUND(C16*0.1,0)</f>
        <v/>
      </c>
      <c r="H16" s="10">
        <f>ROUND(C16*0.05,0)</f>
        <v/>
      </c>
      <c r="I16" s="10">
        <f>C16-SUM(E16:H16)</f>
        <v/>
      </c>
      <c r="J16" s="23">
        <f>IF(C16&gt;0, (G16*0.10 + H16*0.30 + I16*1.00)/C16, 0)</f>
        <v/>
      </c>
      <c r="K16" s="11">
        <f>D16*J16</f>
        <v/>
      </c>
    </row>
    <row r="17">
      <c r="A17" s="16">
        <f>'Inventory Master'!A17</f>
        <v/>
      </c>
      <c r="B17" s="17">
        <f>'Inventory Master'!B17</f>
        <v/>
      </c>
      <c r="C17" s="19">
        <f>'Inventory Master'!H17</f>
        <v/>
      </c>
      <c r="D17" s="18">
        <f>'Inventory Master'!I17</f>
        <v/>
      </c>
      <c r="E17" s="19">
        <f>ROUND(C17*0.6,0)</f>
        <v/>
      </c>
      <c r="F17" s="19">
        <f>ROUND(C17*0.25,0)</f>
        <v/>
      </c>
      <c r="G17" s="19">
        <f>ROUND(C17*0.1,0)</f>
        <v/>
      </c>
      <c r="H17" s="19">
        <f>ROUND(C17*0.05,0)</f>
        <v/>
      </c>
      <c r="I17" s="19">
        <f>C17-SUM(E17:H17)</f>
        <v/>
      </c>
      <c r="J17" s="22">
        <f>IF(C17&gt;0, (G17*0.10 + H17*0.30 + I17*1.00)/C17, 0)</f>
        <v/>
      </c>
      <c r="K17" s="18">
        <f>D17*J17</f>
        <v/>
      </c>
    </row>
    <row r="18">
      <c r="A18" s="20">
        <f>'Inventory Master'!A18</f>
        <v/>
      </c>
      <c r="B18" s="9">
        <f>'Inventory Master'!B18</f>
        <v/>
      </c>
      <c r="C18" s="10">
        <f>'Inventory Master'!H18</f>
        <v/>
      </c>
      <c r="D18" s="11">
        <f>'Inventory Master'!I18</f>
        <v/>
      </c>
      <c r="E18" s="10">
        <f>ROUND(C18*0.6,0)</f>
        <v/>
      </c>
      <c r="F18" s="10">
        <f>ROUND(C18*0.25,0)</f>
        <v/>
      </c>
      <c r="G18" s="10">
        <f>ROUND(C18*0.1,0)</f>
        <v/>
      </c>
      <c r="H18" s="10">
        <f>ROUND(C18*0.05,0)</f>
        <v/>
      </c>
      <c r="I18" s="10">
        <f>C18-SUM(E18:H18)</f>
        <v/>
      </c>
      <c r="J18" s="23">
        <f>IF(C18&gt;0, (G18*0.10 + H18*0.30 + I18*1.00)/C18, 0)</f>
        <v/>
      </c>
      <c r="K18" s="11">
        <f>D18*J18</f>
        <v/>
      </c>
    </row>
    <row r="19">
      <c r="A19" s="16">
        <f>'Inventory Master'!A19</f>
        <v/>
      </c>
      <c r="B19" s="17">
        <f>'Inventory Master'!B19</f>
        <v/>
      </c>
      <c r="C19" s="19">
        <f>'Inventory Master'!H19</f>
        <v/>
      </c>
      <c r="D19" s="18">
        <f>'Inventory Master'!I19</f>
        <v/>
      </c>
      <c r="E19" s="19">
        <f>ROUND(C19*0.1,0)</f>
        <v/>
      </c>
      <c r="F19" s="19">
        <f>ROUND(C19*0.15,0)</f>
        <v/>
      </c>
      <c r="G19" s="19">
        <f>ROUND(C19*0.25,0)</f>
        <v/>
      </c>
      <c r="H19" s="19">
        <f>ROUND(C19*0.3,0)</f>
        <v/>
      </c>
      <c r="I19" s="19">
        <f>C19-SUM(E19:H19)</f>
        <v/>
      </c>
      <c r="J19" s="22">
        <f>IF(C19&gt;0, (G19*0.10 + H19*0.30 + I19*1.00)/C19, 0)</f>
        <v/>
      </c>
      <c r="K19" s="18">
        <f>D19*J19</f>
        <v/>
      </c>
    </row>
    <row r="20">
      <c r="A20" s="20">
        <f>'Inventory Master'!A20</f>
        <v/>
      </c>
      <c r="B20" s="9">
        <f>'Inventory Master'!B20</f>
        <v/>
      </c>
      <c r="C20" s="10">
        <f>'Inventory Master'!H20</f>
        <v/>
      </c>
      <c r="D20" s="11">
        <f>'Inventory Master'!I20</f>
        <v/>
      </c>
      <c r="E20" s="10">
        <f>ROUND(C20*0.6,0)</f>
        <v/>
      </c>
      <c r="F20" s="10">
        <f>ROUND(C20*0.25,0)</f>
        <v/>
      </c>
      <c r="G20" s="10">
        <f>ROUND(C20*0.1,0)</f>
        <v/>
      </c>
      <c r="H20" s="10">
        <f>ROUND(C20*0.05,0)</f>
        <v/>
      </c>
      <c r="I20" s="10">
        <f>C20-SUM(E20:H20)</f>
        <v/>
      </c>
      <c r="J20" s="23">
        <f>IF(C20&gt;0, (G20*0.10 + H20*0.30 + I20*1.00)/C20, 0)</f>
        <v/>
      </c>
      <c r="K20" s="11">
        <f>D20*J20</f>
        <v/>
      </c>
    </row>
    <row r="21">
      <c r="A21" s="16">
        <f>'Inventory Master'!A21</f>
        <v/>
      </c>
      <c r="B21" s="17">
        <f>'Inventory Master'!B21</f>
        <v/>
      </c>
      <c r="C21" s="19">
        <f>'Inventory Master'!H21</f>
        <v/>
      </c>
      <c r="D21" s="18">
        <f>'Inventory Master'!I21</f>
        <v/>
      </c>
      <c r="E21" s="19">
        <f>ROUND(C21*0.6,0)</f>
        <v/>
      </c>
      <c r="F21" s="19">
        <f>ROUND(C21*0.25,0)</f>
        <v/>
      </c>
      <c r="G21" s="19">
        <f>ROUND(C21*0.1,0)</f>
        <v/>
      </c>
      <c r="H21" s="19">
        <f>ROUND(C21*0.05,0)</f>
        <v/>
      </c>
      <c r="I21" s="19">
        <f>C21-SUM(E21:H21)</f>
        <v/>
      </c>
      <c r="J21" s="22">
        <f>IF(C21&gt;0, (G21*0.10 + H21*0.30 + I21*1.00)/C21, 0)</f>
        <v/>
      </c>
      <c r="K21" s="18">
        <f>D21*J21</f>
        <v/>
      </c>
    </row>
    <row r="22">
      <c r="A22" s="20">
        <f>'Inventory Master'!A22</f>
        <v/>
      </c>
      <c r="B22" s="9">
        <f>'Inventory Master'!B22</f>
        <v/>
      </c>
      <c r="C22" s="10">
        <f>'Inventory Master'!H22</f>
        <v/>
      </c>
      <c r="D22" s="11">
        <f>'Inventory Master'!I22</f>
        <v/>
      </c>
      <c r="E22" s="10">
        <f>ROUND(C22*0.6,0)</f>
        <v/>
      </c>
      <c r="F22" s="10">
        <f>ROUND(C22*0.25,0)</f>
        <v/>
      </c>
      <c r="G22" s="10">
        <f>ROUND(C22*0.1,0)</f>
        <v/>
      </c>
      <c r="H22" s="10">
        <f>ROUND(C22*0.05,0)</f>
        <v/>
      </c>
      <c r="I22" s="10">
        <f>C22-SUM(E22:H22)</f>
        <v/>
      </c>
      <c r="J22" s="23">
        <f>IF(C22&gt;0, (G22*0.10 + H22*0.30 + I22*1.00)/C22, 0)</f>
        <v/>
      </c>
      <c r="K22" s="11">
        <f>D22*J22</f>
        <v/>
      </c>
    </row>
    <row r="23">
      <c r="A23" s="16">
        <f>'Inventory Master'!A23</f>
        <v/>
      </c>
      <c r="B23" s="17">
        <f>'Inventory Master'!B23</f>
        <v/>
      </c>
      <c r="C23" s="19">
        <f>'Inventory Master'!H23</f>
        <v/>
      </c>
      <c r="D23" s="18">
        <f>'Inventory Master'!I23</f>
        <v/>
      </c>
      <c r="E23" s="19">
        <f>ROUND(C23*0.6,0)</f>
        <v/>
      </c>
      <c r="F23" s="19">
        <f>ROUND(C23*0.25,0)</f>
        <v/>
      </c>
      <c r="G23" s="19">
        <f>ROUND(C23*0.1,0)</f>
        <v/>
      </c>
      <c r="H23" s="19">
        <f>ROUND(C23*0.05,0)</f>
        <v/>
      </c>
      <c r="I23" s="19">
        <f>C23-SUM(E23:H23)</f>
        <v/>
      </c>
      <c r="J23" s="22">
        <f>IF(C23&gt;0, (G23*0.10 + H23*0.30 + I23*1.00)/C23, 0)</f>
        <v/>
      </c>
      <c r="K23" s="18">
        <f>D23*J23</f>
        <v/>
      </c>
    </row>
    <row r="24">
      <c r="A24" s="20">
        <f>'Inventory Master'!A24</f>
        <v/>
      </c>
      <c r="B24" s="9">
        <f>'Inventory Master'!B24</f>
        <v/>
      </c>
      <c r="C24" s="10">
        <f>'Inventory Master'!H24</f>
        <v/>
      </c>
      <c r="D24" s="11">
        <f>'Inventory Master'!I24</f>
        <v/>
      </c>
      <c r="E24" s="10">
        <f>ROUND(C24*0.1,0)</f>
        <v/>
      </c>
      <c r="F24" s="10">
        <f>ROUND(C24*0.15,0)</f>
        <v/>
      </c>
      <c r="G24" s="10">
        <f>ROUND(C24*0.25,0)</f>
        <v/>
      </c>
      <c r="H24" s="10">
        <f>ROUND(C24*0.3,0)</f>
        <v/>
      </c>
      <c r="I24" s="10">
        <f>C24-SUM(E24:H24)</f>
        <v/>
      </c>
      <c r="J24" s="23">
        <f>IF(C24&gt;0, (G24*0.10 + H24*0.30 + I24*1.00)/C24, 0)</f>
        <v/>
      </c>
      <c r="K24" s="11">
        <f>D24*J24</f>
        <v/>
      </c>
    </row>
    <row r="25">
      <c r="A25" s="16">
        <f>'Inventory Master'!A25</f>
        <v/>
      </c>
      <c r="B25" s="17">
        <f>'Inventory Master'!B25</f>
        <v/>
      </c>
      <c r="C25" s="19">
        <f>'Inventory Master'!H25</f>
        <v/>
      </c>
      <c r="D25" s="18">
        <f>'Inventory Master'!I25</f>
        <v/>
      </c>
      <c r="E25" s="19">
        <f>ROUND(C25*0.6,0)</f>
        <v/>
      </c>
      <c r="F25" s="19">
        <f>ROUND(C25*0.25,0)</f>
        <v/>
      </c>
      <c r="G25" s="19">
        <f>ROUND(C25*0.1,0)</f>
        <v/>
      </c>
      <c r="H25" s="19">
        <f>ROUND(C25*0.05,0)</f>
        <v/>
      </c>
      <c r="I25" s="19">
        <f>C25-SUM(E25:H25)</f>
        <v/>
      </c>
      <c r="J25" s="22">
        <f>IF(C25&gt;0, (G25*0.10 + H25*0.30 + I25*1.00)/C25, 0)</f>
        <v/>
      </c>
      <c r="K25" s="18">
        <f>D25*J25</f>
        <v/>
      </c>
    </row>
    <row r="26">
      <c r="A26" s="20">
        <f>'Inventory Master'!A26</f>
        <v/>
      </c>
      <c r="B26" s="9">
        <f>'Inventory Master'!B26</f>
        <v/>
      </c>
      <c r="C26" s="10">
        <f>'Inventory Master'!H26</f>
        <v/>
      </c>
      <c r="D26" s="11">
        <f>'Inventory Master'!I26</f>
        <v/>
      </c>
      <c r="E26" s="10">
        <f>ROUND(C26*0.6,0)</f>
        <v/>
      </c>
      <c r="F26" s="10">
        <f>ROUND(C26*0.25,0)</f>
        <v/>
      </c>
      <c r="G26" s="10">
        <f>ROUND(C26*0.1,0)</f>
        <v/>
      </c>
      <c r="H26" s="10">
        <f>ROUND(C26*0.05,0)</f>
        <v/>
      </c>
      <c r="I26" s="10">
        <f>C26-SUM(E26:H26)</f>
        <v/>
      </c>
      <c r="J26" s="23">
        <f>IF(C26&gt;0, (G26*0.10 + H26*0.30 + I26*1.00)/C26, 0)</f>
        <v/>
      </c>
      <c r="K26" s="11">
        <f>D26*J26</f>
        <v/>
      </c>
    </row>
    <row r="27">
      <c r="A27" s="16">
        <f>'Inventory Master'!A27</f>
        <v/>
      </c>
      <c r="B27" s="17">
        <f>'Inventory Master'!B27</f>
        <v/>
      </c>
      <c r="C27" s="19">
        <f>'Inventory Master'!H27</f>
        <v/>
      </c>
      <c r="D27" s="18">
        <f>'Inventory Master'!I27</f>
        <v/>
      </c>
      <c r="E27" s="19">
        <f>ROUND(C27*0.6,0)</f>
        <v/>
      </c>
      <c r="F27" s="19">
        <f>ROUND(C27*0.25,0)</f>
        <v/>
      </c>
      <c r="G27" s="19">
        <f>ROUND(C27*0.1,0)</f>
        <v/>
      </c>
      <c r="H27" s="19">
        <f>ROUND(C27*0.05,0)</f>
        <v/>
      </c>
      <c r="I27" s="19">
        <f>C27-SUM(E27:H27)</f>
        <v/>
      </c>
      <c r="J27" s="22">
        <f>IF(C27&gt;0, (G27*0.10 + H27*0.30 + I27*1.00)/C27, 0)</f>
        <v/>
      </c>
      <c r="K27" s="18">
        <f>D27*J27</f>
        <v/>
      </c>
    </row>
    <row r="28">
      <c r="A28" s="20">
        <f>'Inventory Master'!A28</f>
        <v/>
      </c>
      <c r="B28" s="9">
        <f>'Inventory Master'!B28</f>
        <v/>
      </c>
      <c r="C28" s="10">
        <f>'Inventory Master'!H28</f>
        <v/>
      </c>
      <c r="D28" s="11">
        <f>'Inventory Master'!I28</f>
        <v/>
      </c>
      <c r="E28" s="10">
        <f>ROUND(C28*0.6,0)</f>
        <v/>
      </c>
      <c r="F28" s="10">
        <f>ROUND(C28*0.25,0)</f>
        <v/>
      </c>
      <c r="G28" s="10">
        <f>ROUND(C28*0.1,0)</f>
        <v/>
      </c>
      <c r="H28" s="10">
        <f>ROUND(C28*0.05,0)</f>
        <v/>
      </c>
      <c r="I28" s="10">
        <f>C28-SUM(E28:H28)</f>
        <v/>
      </c>
      <c r="J28" s="23">
        <f>IF(C28&gt;0, (G28*0.10 + H28*0.30 + I28*1.00)/C28, 0)</f>
        <v/>
      </c>
      <c r="K28" s="11">
        <f>D28*J28</f>
        <v/>
      </c>
    </row>
    <row r="29">
      <c r="A29" s="16">
        <f>'Inventory Master'!A29</f>
        <v/>
      </c>
      <c r="B29" s="17">
        <f>'Inventory Master'!B29</f>
        <v/>
      </c>
      <c r="C29" s="19">
        <f>'Inventory Master'!H29</f>
        <v/>
      </c>
      <c r="D29" s="18">
        <f>'Inventory Master'!I29</f>
        <v/>
      </c>
      <c r="E29" s="19">
        <f>ROUND(C29*0.1,0)</f>
        <v/>
      </c>
      <c r="F29" s="19">
        <f>ROUND(C29*0.15,0)</f>
        <v/>
      </c>
      <c r="G29" s="19">
        <f>ROUND(C29*0.25,0)</f>
        <v/>
      </c>
      <c r="H29" s="19">
        <f>ROUND(C29*0.3,0)</f>
        <v/>
      </c>
      <c r="I29" s="19">
        <f>C29-SUM(E29:H29)</f>
        <v/>
      </c>
      <c r="J29" s="22">
        <f>IF(C29&gt;0, (G29*0.10 + H29*0.30 + I29*1.00)/C29, 0)</f>
        <v/>
      </c>
      <c r="K29" s="18">
        <f>D29*J29</f>
        <v/>
      </c>
    </row>
    <row r="30">
      <c r="A30" s="20">
        <f>'Inventory Master'!A30</f>
        <v/>
      </c>
      <c r="B30" s="9">
        <f>'Inventory Master'!B30</f>
        <v/>
      </c>
      <c r="C30" s="10">
        <f>'Inventory Master'!H30</f>
        <v/>
      </c>
      <c r="D30" s="11">
        <f>'Inventory Master'!I30</f>
        <v/>
      </c>
      <c r="E30" s="10">
        <f>ROUND(C30*0.6,0)</f>
        <v/>
      </c>
      <c r="F30" s="10">
        <f>ROUND(C30*0.25,0)</f>
        <v/>
      </c>
      <c r="G30" s="10">
        <f>ROUND(C30*0.1,0)</f>
        <v/>
      </c>
      <c r="H30" s="10">
        <f>ROUND(C30*0.05,0)</f>
        <v/>
      </c>
      <c r="I30" s="10">
        <f>C30-SUM(E30:H30)</f>
        <v/>
      </c>
      <c r="J30" s="23">
        <f>IF(C30&gt;0, (G30*0.10 + H30*0.30 + I30*1.00)/C30, 0)</f>
        <v/>
      </c>
      <c r="K30" s="11">
        <f>D30*J30</f>
        <v/>
      </c>
    </row>
    <row r="31">
      <c r="A31" s="16">
        <f>'Inventory Master'!A31</f>
        <v/>
      </c>
      <c r="B31" s="17">
        <f>'Inventory Master'!B31</f>
        <v/>
      </c>
      <c r="C31" s="19">
        <f>'Inventory Master'!H31</f>
        <v/>
      </c>
      <c r="D31" s="18">
        <f>'Inventory Master'!I31</f>
        <v/>
      </c>
      <c r="E31" s="19">
        <f>ROUND(C31*0.6,0)</f>
        <v/>
      </c>
      <c r="F31" s="19">
        <f>ROUND(C31*0.25,0)</f>
        <v/>
      </c>
      <c r="G31" s="19">
        <f>ROUND(C31*0.1,0)</f>
        <v/>
      </c>
      <c r="H31" s="19">
        <f>ROUND(C31*0.05,0)</f>
        <v/>
      </c>
      <c r="I31" s="19">
        <f>C31-SUM(E31:H31)</f>
        <v/>
      </c>
      <c r="J31" s="22">
        <f>IF(C31&gt;0, (G31*0.10 + H31*0.30 + I31*1.00)/C31, 0)</f>
        <v/>
      </c>
      <c r="K31" s="18">
        <f>D31*J31</f>
        <v/>
      </c>
    </row>
    <row r="32">
      <c r="A32" s="20">
        <f>'Inventory Master'!A32</f>
        <v/>
      </c>
      <c r="B32" s="9">
        <f>'Inventory Master'!B32</f>
        <v/>
      </c>
      <c r="C32" s="10">
        <f>'Inventory Master'!H32</f>
        <v/>
      </c>
      <c r="D32" s="11">
        <f>'Inventory Master'!I32</f>
        <v/>
      </c>
      <c r="E32" s="10">
        <f>ROUND(C32*0.6,0)</f>
        <v/>
      </c>
      <c r="F32" s="10">
        <f>ROUND(C32*0.25,0)</f>
        <v/>
      </c>
      <c r="G32" s="10">
        <f>ROUND(C32*0.1,0)</f>
        <v/>
      </c>
      <c r="H32" s="10">
        <f>ROUND(C32*0.05,0)</f>
        <v/>
      </c>
      <c r="I32" s="10">
        <f>C32-SUM(E32:H32)</f>
        <v/>
      </c>
      <c r="J32" s="23">
        <f>IF(C32&gt;0, (G32*0.10 + H32*0.30 + I32*1.00)/C32, 0)</f>
        <v/>
      </c>
      <c r="K32" s="11">
        <f>D32*J32</f>
        <v/>
      </c>
    </row>
    <row r="33">
      <c r="A33" s="16">
        <f>'Inventory Master'!A33</f>
        <v/>
      </c>
      <c r="B33" s="17">
        <f>'Inventory Master'!B33</f>
        <v/>
      </c>
      <c r="C33" s="19">
        <f>'Inventory Master'!H33</f>
        <v/>
      </c>
      <c r="D33" s="18">
        <f>'Inventory Master'!I33</f>
        <v/>
      </c>
      <c r="E33" s="19">
        <f>ROUND(C33*0.6,0)</f>
        <v/>
      </c>
      <c r="F33" s="19">
        <f>ROUND(C33*0.25,0)</f>
        <v/>
      </c>
      <c r="G33" s="19">
        <f>ROUND(C33*0.1,0)</f>
        <v/>
      </c>
      <c r="H33" s="19">
        <f>ROUND(C33*0.05,0)</f>
        <v/>
      </c>
      <c r="I33" s="19">
        <f>C33-SUM(E33:H33)</f>
        <v/>
      </c>
      <c r="J33" s="22">
        <f>IF(C33&gt;0, (G33*0.10 + H33*0.30 + I33*1.00)/C33, 0)</f>
        <v/>
      </c>
      <c r="K33" s="18">
        <f>D33*J33</f>
        <v/>
      </c>
    </row>
    <row r="34">
      <c r="A34" s="20">
        <f>'Inventory Master'!A34</f>
        <v/>
      </c>
      <c r="B34" s="9">
        <f>'Inventory Master'!B34</f>
        <v/>
      </c>
      <c r="C34" s="10">
        <f>'Inventory Master'!H34</f>
        <v/>
      </c>
      <c r="D34" s="11">
        <f>'Inventory Master'!I34</f>
        <v/>
      </c>
      <c r="E34" s="10">
        <f>ROUND(C34*0.6,0)</f>
        <v/>
      </c>
      <c r="F34" s="10">
        <f>ROUND(C34*0.25,0)</f>
        <v/>
      </c>
      <c r="G34" s="10">
        <f>ROUND(C34*0.1,0)</f>
        <v/>
      </c>
      <c r="H34" s="10">
        <f>ROUND(C34*0.05,0)</f>
        <v/>
      </c>
      <c r="I34" s="10">
        <f>C34-SUM(E34:H34)</f>
        <v/>
      </c>
      <c r="J34" s="23">
        <f>IF(C34&gt;0, (G34*0.10 + H34*0.30 + I34*1.00)/C34, 0)</f>
        <v/>
      </c>
      <c r="K34" s="11">
        <f>D34*J34</f>
        <v/>
      </c>
    </row>
    <row r="35">
      <c r="A35" s="21" t="n"/>
      <c r="B35" s="12" t="inlineStr">
        <is>
          <t>Total</t>
        </is>
      </c>
      <c r="C35" s="13">
        <f>SUM(C5:C34)</f>
        <v/>
      </c>
      <c r="D35" s="14">
        <f>SUM(D5:D34)</f>
        <v/>
      </c>
      <c r="E35" s="13">
        <f>SUM(E5:E34)</f>
        <v/>
      </c>
      <c r="F35" s="13">
        <f>SUM(F5:F34)</f>
        <v/>
      </c>
      <c r="G35" s="13">
        <f>SUM(G5:G34)</f>
        <v/>
      </c>
      <c r="H35" s="13">
        <f>SUM(H5:H34)</f>
        <v/>
      </c>
      <c r="I35" s="13">
        <f>SUM(I5:I34)</f>
        <v/>
      </c>
      <c r="J35" s="24">
        <f>K35/D35</f>
        <v/>
      </c>
      <c r="K35" s="14">
        <f>SUM(K5:K34)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33" customWidth="1" min="4" max="4"/>
    <col width="16" customWidth="1" min="5" max="5"/>
    <col width="15" customWidth="1" min="6" max="6"/>
    <col width="16" customWidth="1" min="7" max="7"/>
    <col width="19" customWidth="1" min="8" max="8"/>
    <col width="21" customWidth="1" min="9" max="9"/>
    <col width="15" customWidth="1" min="10" max="10"/>
  </cols>
  <sheetData>
    <row r="1">
      <c r="A1" s="1" t="inlineStr">
        <is>
          <t>INVENTORY MOVEMENT &amp; TRANSACTION LEDGER</t>
        </is>
      </c>
    </row>
    <row r="2">
      <c r="A2" s="2" t="inlineStr">
        <is>
          <t>AUDIT TRAIL FOR RECEIPTS, ISSUES, AND ADJUSTMENTS</t>
        </is>
      </c>
    </row>
    <row r="3"/>
    <row r="4">
      <c r="A4" s="15" t="inlineStr">
        <is>
          <t>Txn ID</t>
        </is>
      </c>
      <c r="B4" s="15" t="inlineStr">
        <is>
          <t>Date</t>
        </is>
      </c>
      <c r="C4" s="15" t="inlineStr">
        <is>
          <t>SKU ID</t>
        </is>
      </c>
      <c r="D4" s="15" t="inlineStr">
        <is>
          <t>Item Description</t>
        </is>
      </c>
      <c r="E4" s="15" t="inlineStr">
        <is>
          <t>Movement Type</t>
        </is>
      </c>
      <c r="F4" s="15" t="inlineStr">
        <is>
          <t>Quantity</t>
        </is>
      </c>
      <c r="G4" s="15" t="inlineStr">
        <is>
          <t>Unit Cost ($)</t>
        </is>
      </c>
      <c r="H4" s="15" t="inlineStr">
        <is>
          <t>Total Amount ($)</t>
        </is>
      </c>
      <c r="I4" s="15" t="inlineStr">
        <is>
          <t>Reference Doc / PO</t>
        </is>
      </c>
      <c r="J4" s="15" t="inlineStr">
        <is>
          <t>Performed By</t>
        </is>
      </c>
    </row>
    <row r="5">
      <c r="A5" s="16" t="inlineStr">
        <is>
          <t>TXN-9001</t>
        </is>
      </c>
      <c r="B5" s="16" t="inlineStr">
        <is>
          <t>2026-08-01</t>
        </is>
      </c>
      <c r="C5" s="16" t="inlineStr">
        <is>
          <t>SKU-1001</t>
        </is>
      </c>
      <c r="D5" s="17" t="inlineStr">
        <is>
          <t>Precision Steel Bearings</t>
        </is>
      </c>
      <c r="E5" s="16" t="inlineStr">
        <is>
          <t>Goods Receipt</t>
        </is>
      </c>
      <c r="F5" s="19" t="n">
        <v>500</v>
      </c>
      <c r="G5" s="18" t="n">
        <v>12.5</v>
      </c>
      <c r="H5" s="18">
        <f>F5*G5</f>
        <v/>
      </c>
      <c r="I5" s="16" t="inlineStr">
        <is>
          <t>PO-8841</t>
        </is>
      </c>
      <c r="J5" s="16" t="inlineStr">
        <is>
          <t>M. Scott</t>
        </is>
      </c>
    </row>
    <row r="6">
      <c r="A6" s="20" t="inlineStr">
        <is>
          <t>TXN-9002</t>
        </is>
      </c>
      <c r="B6" s="20" t="inlineStr">
        <is>
          <t>2026-08-01</t>
        </is>
      </c>
      <c r="C6" s="20" t="inlineStr">
        <is>
          <t>SKU-1005</t>
        </is>
      </c>
      <c r="D6" s="9" t="inlineStr">
        <is>
          <t>Industrial Control Panel Alpha</t>
        </is>
      </c>
      <c r="E6" s="20" t="inlineStr">
        <is>
          <t>Goods Issue</t>
        </is>
      </c>
      <c r="F6" s="10" t="n">
        <v>-5</v>
      </c>
      <c r="G6" s="11" t="n">
        <v>650</v>
      </c>
      <c r="H6" s="11">
        <f>F6*G6</f>
        <v/>
      </c>
      <c r="I6" s="20" t="inlineStr">
        <is>
          <t>WO-3021</t>
        </is>
      </c>
      <c r="J6" s="20" t="inlineStr">
        <is>
          <t>J. Halpert</t>
        </is>
      </c>
    </row>
    <row r="7">
      <c r="A7" s="16" t="inlineStr">
        <is>
          <t>TXN-9003</t>
        </is>
      </c>
      <c r="B7" s="16" t="inlineStr">
        <is>
          <t>2026-08-02</t>
        </is>
      </c>
      <c r="C7" s="16" t="inlineStr">
        <is>
          <t>SKU-1003</t>
        </is>
      </c>
      <c r="D7" s="17" t="inlineStr">
        <is>
          <t>Microcontroller Units v2</t>
        </is>
      </c>
      <c r="E7" s="16" t="inlineStr">
        <is>
          <t>Goods Receipt</t>
        </is>
      </c>
      <c r="F7" s="19" t="n">
        <v>1000</v>
      </c>
      <c r="G7" s="18" t="n">
        <v>4.75</v>
      </c>
      <c r="H7" s="18">
        <f>F7*G7</f>
        <v/>
      </c>
      <c r="I7" s="16" t="inlineStr">
        <is>
          <t>PO-8845</t>
        </is>
      </c>
      <c r="J7" s="16" t="inlineStr">
        <is>
          <t>P. Beesly</t>
        </is>
      </c>
    </row>
    <row r="8">
      <c r="A8" s="20" t="inlineStr">
        <is>
          <t>TXN-9004</t>
        </is>
      </c>
      <c r="B8" s="20" t="inlineStr">
        <is>
          <t>2026-08-03</t>
        </is>
      </c>
      <c r="C8" s="20" t="inlineStr">
        <is>
          <t>SKU-1008</t>
        </is>
      </c>
      <c r="D8" s="9" t="inlineStr">
        <is>
          <t>Lithium-Ion Battery Pack 24V</t>
        </is>
      </c>
      <c r="E8" s="20" t="inlineStr">
        <is>
          <t>Goods Issue</t>
        </is>
      </c>
      <c r="F8" s="10" t="n">
        <v>-20</v>
      </c>
      <c r="G8" s="11" t="n">
        <v>110</v>
      </c>
      <c r="H8" s="11">
        <f>F8*G8</f>
        <v/>
      </c>
      <c r="I8" s="20" t="inlineStr">
        <is>
          <t>WO-3025</t>
        </is>
      </c>
      <c r="J8" s="20" t="inlineStr">
        <is>
          <t>D. Schrute</t>
        </is>
      </c>
    </row>
    <row r="9">
      <c r="A9" s="16" t="inlineStr">
        <is>
          <t>TXN-9005</t>
        </is>
      </c>
      <c r="B9" s="16" t="inlineStr">
        <is>
          <t>2026-08-04</t>
        </is>
      </c>
      <c r="C9" s="16" t="inlineStr">
        <is>
          <t>SKU-1011</t>
        </is>
      </c>
      <c r="D9" s="17" t="inlineStr">
        <is>
          <t>High-Temp Gasket Seal</t>
        </is>
      </c>
      <c r="E9" s="16" t="inlineStr">
        <is>
          <t>Inventory Adj</t>
        </is>
      </c>
      <c r="F9" s="19" t="n">
        <v>-50</v>
      </c>
      <c r="G9" s="18" t="n">
        <v>3.2</v>
      </c>
      <c r="H9" s="18">
        <f>F9*G9</f>
        <v/>
      </c>
      <c r="I9" s="16" t="inlineStr">
        <is>
          <t>ADJ-104</t>
        </is>
      </c>
      <c r="J9" s="16" t="inlineStr">
        <is>
          <t>A. Martin</t>
        </is>
      </c>
    </row>
    <row r="10">
      <c r="A10" s="20" t="inlineStr">
        <is>
          <t>TXN-9006</t>
        </is>
      </c>
      <c r="B10" s="20" t="inlineStr">
        <is>
          <t>2026-08-05</t>
        </is>
      </c>
      <c r="C10" s="20" t="inlineStr">
        <is>
          <t>SKU-1002</t>
        </is>
      </c>
      <c r="D10" s="9" t="inlineStr">
        <is>
          <t>Aluminum Extrusion Bars</t>
        </is>
      </c>
      <c r="E10" s="20" t="inlineStr">
        <is>
          <t>Goods Receipt</t>
        </is>
      </c>
      <c r="F10" s="10" t="n">
        <v>300</v>
      </c>
      <c r="G10" s="11" t="n">
        <v>28</v>
      </c>
      <c r="H10" s="11">
        <f>F10*G10</f>
        <v/>
      </c>
      <c r="I10" s="20" t="inlineStr">
        <is>
          <t>PO-8850</t>
        </is>
      </c>
      <c r="J10" s="20" t="inlineStr">
        <is>
          <t>M. Scott</t>
        </is>
      </c>
    </row>
    <row r="11">
      <c r="A11" s="16" t="inlineStr">
        <is>
          <t>TXN-9007</t>
        </is>
      </c>
      <c r="B11" s="16" t="inlineStr">
        <is>
          <t>2026-08-06</t>
        </is>
      </c>
      <c r="C11" s="16" t="inlineStr">
        <is>
          <t>SKU-1019</t>
        </is>
      </c>
      <c r="D11" s="17" t="inlineStr">
        <is>
          <t>Thermal Paste Tube 50g</t>
        </is>
      </c>
      <c r="E11" s="16" t="inlineStr">
        <is>
          <t>Goods Issue</t>
        </is>
      </c>
      <c r="F11" s="19" t="n">
        <v>-100</v>
      </c>
      <c r="G11" s="18" t="n">
        <v>6.5</v>
      </c>
      <c r="H11" s="18">
        <f>F11*G11</f>
        <v/>
      </c>
      <c r="I11" s="16" t="inlineStr">
        <is>
          <t>WO-3030</t>
        </is>
      </c>
      <c r="J11" s="16" t="inlineStr">
        <is>
          <t>J. Halpert</t>
        </is>
      </c>
    </row>
    <row r="12">
      <c r="A12" s="20" t="inlineStr">
        <is>
          <t>TXN-9008</t>
        </is>
      </c>
      <c r="B12" s="20" t="inlineStr">
        <is>
          <t>2026-08-07</t>
        </is>
      </c>
      <c r="C12" s="20" t="inlineStr">
        <is>
          <t>SKU-1014</t>
        </is>
      </c>
      <c r="D12" s="9" t="inlineStr">
        <is>
          <t>Titanium Fastener Kit</t>
        </is>
      </c>
      <c r="E12" s="20" t="inlineStr">
        <is>
          <t>Goods Receipt</t>
        </is>
      </c>
      <c r="F12" s="10" t="n">
        <v>50</v>
      </c>
      <c r="G12" s="11" t="n">
        <v>88</v>
      </c>
      <c r="H12" s="11">
        <f>F12*G12</f>
        <v/>
      </c>
      <c r="I12" s="20" t="inlineStr">
        <is>
          <t>PO-8855</t>
        </is>
      </c>
      <c r="J12" s="20" t="inlineStr">
        <is>
          <t>P. Beesly</t>
        </is>
      </c>
    </row>
    <row r="13">
      <c r="A13" s="16" t="inlineStr">
        <is>
          <t>TXN-9009</t>
        </is>
      </c>
      <c r="B13" s="16" t="inlineStr">
        <is>
          <t>2026-08-08</t>
        </is>
      </c>
      <c r="C13" s="16" t="inlineStr">
        <is>
          <t>SKU-1004</t>
        </is>
      </c>
      <c r="D13" s="17" t="inlineStr">
        <is>
          <t>Hydraulic Cylinder Sub-Assy</t>
        </is>
      </c>
      <c r="E13" s="16" t="inlineStr">
        <is>
          <t>Goods Issue</t>
        </is>
      </c>
      <c r="F13" s="19" t="n">
        <v>-8</v>
      </c>
      <c r="G13" s="18" t="n">
        <v>185</v>
      </c>
      <c r="H13" s="18">
        <f>F13*G13</f>
        <v/>
      </c>
      <c r="I13" s="16" t="inlineStr">
        <is>
          <t>WO-3033</t>
        </is>
      </c>
      <c r="J13" s="16" t="inlineStr">
        <is>
          <t>D. Schrute</t>
        </is>
      </c>
    </row>
    <row r="14">
      <c r="A14" s="20" t="inlineStr">
        <is>
          <t>TXN-9010</t>
        </is>
      </c>
      <c r="B14" s="20" t="inlineStr">
        <is>
          <t>2026-08-09</t>
        </is>
      </c>
      <c r="C14" s="20" t="inlineStr">
        <is>
          <t>SKU-1020</t>
        </is>
      </c>
      <c r="D14" s="9" t="inlineStr">
        <is>
          <t>Smart Gateway Router</t>
        </is>
      </c>
      <c r="E14" s="20" t="inlineStr">
        <is>
          <t>Goods Receipt</t>
        </is>
      </c>
      <c r="F14" s="10" t="n">
        <v>100</v>
      </c>
      <c r="G14" s="11" t="n">
        <v>195</v>
      </c>
      <c r="H14" s="11">
        <f>F14*G14</f>
        <v/>
      </c>
      <c r="I14" s="20" t="inlineStr">
        <is>
          <t>PO-8860</t>
        </is>
      </c>
      <c r="J14" s="20" t="inlineStr">
        <is>
          <t>M. Scott</t>
        </is>
      </c>
    </row>
    <row r="15">
      <c r="A15" s="16" t="inlineStr">
        <is>
          <t>TXN-9011</t>
        </is>
      </c>
      <c r="B15" s="16" t="inlineStr">
        <is>
          <t>2026-08-10</t>
        </is>
      </c>
      <c r="C15" s="16" t="inlineStr">
        <is>
          <t>SKU-1028</t>
        </is>
      </c>
      <c r="D15" s="17" t="inlineStr">
        <is>
          <t>Cooling Fan 120mm 12V</t>
        </is>
      </c>
      <c r="E15" s="16" t="inlineStr">
        <is>
          <t>Goods Issue</t>
        </is>
      </c>
      <c r="F15" s="19" t="n">
        <v>-200</v>
      </c>
      <c r="G15" s="18" t="n">
        <v>8.199999999999999</v>
      </c>
      <c r="H15" s="18">
        <f>F15*G15</f>
        <v/>
      </c>
      <c r="I15" s="16" t="inlineStr">
        <is>
          <t>WO-3040</t>
        </is>
      </c>
      <c r="J15" s="16" t="inlineStr">
        <is>
          <t>J. Halpert</t>
        </is>
      </c>
    </row>
    <row r="16">
      <c r="A16" s="20" t="inlineStr">
        <is>
          <t>TXN-9012</t>
        </is>
      </c>
      <c r="B16" s="20" t="inlineStr">
        <is>
          <t>2026-08-11</t>
        </is>
      </c>
      <c r="C16" s="20" t="inlineStr">
        <is>
          <t>SKU-1007</t>
        </is>
      </c>
      <c r="D16" s="9" t="inlineStr">
        <is>
          <t>Copper Wiring Spool 100m</t>
        </is>
      </c>
      <c r="E16" s="20" t="inlineStr">
        <is>
          <t>Inventory Adj</t>
        </is>
      </c>
      <c r="F16" s="10" t="n">
        <v>-10</v>
      </c>
      <c r="G16" s="11" t="n">
        <v>45</v>
      </c>
      <c r="H16" s="11">
        <f>F16*G16</f>
        <v/>
      </c>
      <c r="I16" s="20" t="inlineStr">
        <is>
          <t>ADJ-108</t>
        </is>
      </c>
      <c r="J16" s="20" t="inlineStr">
        <is>
          <t>A. Martin</t>
        </is>
      </c>
    </row>
    <row r="17">
      <c r="A17" s="21" t="n"/>
      <c r="B17" s="21" t="n"/>
      <c r="C17" s="21" t="n"/>
      <c r="D17" s="12" t="inlineStr">
        <is>
          <t>Net Movement Total</t>
        </is>
      </c>
      <c r="E17" s="21" t="n"/>
      <c r="F17" s="13">
        <f>SUM(F5:F16)</f>
        <v/>
      </c>
      <c r="G17" s="21" t="n"/>
      <c r="H17" s="14">
        <f>SUM(H5:H16)</f>
        <v/>
      </c>
      <c r="I17" s="21" t="n"/>
      <c r="J17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38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5" customWidth="1" min="8" max="8"/>
    <col width="29" customWidth="1" min="9" max="9"/>
    <col width="23" customWidth="1" min="10" max="10"/>
  </cols>
  <sheetData>
    <row r="1">
      <c r="A1" s="1" t="inlineStr">
        <is>
          <t>REORDER &amp; PROCUREMENT PLANNING WORKSHEET</t>
        </is>
      </c>
    </row>
    <row r="2">
      <c r="A2" s="2" t="inlineStr">
        <is>
          <t>AUTOMATIC REORDER TRIGGER &amp; PURCHASE ORDER ESTIMATION</t>
        </is>
      </c>
    </row>
    <row r="3"/>
    <row r="4">
      <c r="A4" s="15" t="inlineStr">
        <is>
          <t>SKU ID</t>
        </is>
      </c>
      <c r="B4" s="15" t="inlineStr">
        <is>
          <t>Item Description</t>
        </is>
      </c>
      <c r="C4" s="15" t="inlineStr">
        <is>
          <t>Category</t>
        </is>
      </c>
      <c r="D4" s="15" t="inlineStr">
        <is>
          <t>Qty On Hand</t>
        </is>
      </c>
      <c r="E4" s="15" t="inlineStr">
        <is>
          <t>Reorder Point</t>
        </is>
      </c>
      <c r="F4" s="15" t="inlineStr">
        <is>
          <t>Safety Stock</t>
        </is>
      </c>
      <c r="G4" s="15" t="inlineStr">
        <is>
          <t>Reorder Flag</t>
        </is>
      </c>
      <c r="H4" s="15" t="inlineStr">
        <is>
          <t>EOQ / Order Qty</t>
        </is>
      </c>
      <c r="I4" s="15" t="inlineStr">
        <is>
          <t>Unit Cost ($)</t>
        </is>
      </c>
      <c r="J4" s="15" t="inlineStr">
        <is>
          <t>Est Purchase Amt ($)</t>
        </is>
      </c>
    </row>
    <row r="5">
      <c r="A5" s="16">
        <f>'Inventory Master'!A5</f>
        <v/>
      </c>
      <c r="B5" s="17">
        <f>'Inventory Master'!B5</f>
        <v/>
      </c>
      <c r="C5" s="17">
        <f>'Inventory Master'!C5</f>
        <v/>
      </c>
      <c r="D5" s="19">
        <f>'Inventory Master'!H5</f>
        <v/>
      </c>
      <c r="E5" s="19">
        <f>'Inventory Master'!L5</f>
        <v/>
      </c>
      <c r="F5" s="19">
        <f>'Inventory Master'!M5</f>
        <v/>
      </c>
      <c r="G5" s="16">
        <f>'Inventory Master'!O5</f>
        <v/>
      </c>
      <c r="H5" s="19">
        <f>IF(G5="REORDER", (E5 + F5)*2 - D5, 0)</f>
        <v/>
      </c>
      <c r="I5" s="18">
        <f>'Inventory Master'!F5</f>
        <v/>
      </c>
      <c r="J5" s="18">
        <f>H5*I5</f>
        <v/>
      </c>
    </row>
    <row r="6">
      <c r="A6" s="20">
        <f>'Inventory Master'!A6</f>
        <v/>
      </c>
      <c r="B6" s="9">
        <f>'Inventory Master'!B6</f>
        <v/>
      </c>
      <c r="C6" s="9">
        <f>'Inventory Master'!C6</f>
        <v/>
      </c>
      <c r="D6" s="10">
        <f>'Inventory Master'!H6</f>
        <v/>
      </c>
      <c r="E6" s="10">
        <f>'Inventory Master'!L6</f>
        <v/>
      </c>
      <c r="F6" s="10">
        <f>'Inventory Master'!M6</f>
        <v/>
      </c>
      <c r="G6" s="20">
        <f>'Inventory Master'!O6</f>
        <v/>
      </c>
      <c r="H6" s="10">
        <f>IF(G6="REORDER", (E6 + F6)*2 - D6, 0)</f>
        <v/>
      </c>
      <c r="I6" s="11">
        <f>'Inventory Master'!F6</f>
        <v/>
      </c>
      <c r="J6" s="11">
        <f>H6*I6</f>
        <v/>
      </c>
    </row>
    <row r="7">
      <c r="A7" s="16">
        <f>'Inventory Master'!A7</f>
        <v/>
      </c>
      <c r="B7" s="17">
        <f>'Inventory Master'!B7</f>
        <v/>
      </c>
      <c r="C7" s="17">
        <f>'Inventory Master'!C7</f>
        <v/>
      </c>
      <c r="D7" s="19">
        <f>'Inventory Master'!H7</f>
        <v/>
      </c>
      <c r="E7" s="19">
        <f>'Inventory Master'!L7</f>
        <v/>
      </c>
      <c r="F7" s="19">
        <f>'Inventory Master'!M7</f>
        <v/>
      </c>
      <c r="G7" s="16">
        <f>'Inventory Master'!O7</f>
        <v/>
      </c>
      <c r="H7" s="19">
        <f>IF(G7="REORDER", (E7 + F7)*2 - D7, 0)</f>
        <v/>
      </c>
      <c r="I7" s="18">
        <f>'Inventory Master'!F7</f>
        <v/>
      </c>
      <c r="J7" s="18">
        <f>H7*I7</f>
        <v/>
      </c>
    </row>
    <row r="8">
      <c r="A8" s="20">
        <f>'Inventory Master'!A8</f>
        <v/>
      </c>
      <c r="B8" s="9">
        <f>'Inventory Master'!B8</f>
        <v/>
      </c>
      <c r="C8" s="9">
        <f>'Inventory Master'!C8</f>
        <v/>
      </c>
      <c r="D8" s="10">
        <f>'Inventory Master'!H8</f>
        <v/>
      </c>
      <c r="E8" s="10">
        <f>'Inventory Master'!L8</f>
        <v/>
      </c>
      <c r="F8" s="10">
        <f>'Inventory Master'!M8</f>
        <v/>
      </c>
      <c r="G8" s="20">
        <f>'Inventory Master'!O8</f>
        <v/>
      </c>
      <c r="H8" s="10">
        <f>IF(G8="REORDER", (E8 + F8)*2 - D8, 0)</f>
        <v/>
      </c>
      <c r="I8" s="11">
        <f>'Inventory Master'!F8</f>
        <v/>
      </c>
      <c r="J8" s="11">
        <f>H8*I8</f>
        <v/>
      </c>
    </row>
    <row r="9">
      <c r="A9" s="16">
        <f>'Inventory Master'!A9</f>
        <v/>
      </c>
      <c r="B9" s="17">
        <f>'Inventory Master'!B9</f>
        <v/>
      </c>
      <c r="C9" s="17">
        <f>'Inventory Master'!C9</f>
        <v/>
      </c>
      <c r="D9" s="19">
        <f>'Inventory Master'!H9</f>
        <v/>
      </c>
      <c r="E9" s="19">
        <f>'Inventory Master'!L9</f>
        <v/>
      </c>
      <c r="F9" s="19">
        <f>'Inventory Master'!M9</f>
        <v/>
      </c>
      <c r="G9" s="16">
        <f>'Inventory Master'!O9</f>
        <v/>
      </c>
      <c r="H9" s="19">
        <f>IF(G9="REORDER", (E9 + F9)*2 - D9, 0)</f>
        <v/>
      </c>
      <c r="I9" s="18">
        <f>'Inventory Master'!F9</f>
        <v/>
      </c>
      <c r="J9" s="18">
        <f>H9*I9</f>
        <v/>
      </c>
    </row>
    <row r="10">
      <c r="A10" s="20">
        <f>'Inventory Master'!A10</f>
        <v/>
      </c>
      <c r="B10" s="9">
        <f>'Inventory Master'!B10</f>
        <v/>
      </c>
      <c r="C10" s="9">
        <f>'Inventory Master'!C10</f>
        <v/>
      </c>
      <c r="D10" s="10">
        <f>'Inventory Master'!H10</f>
        <v/>
      </c>
      <c r="E10" s="10">
        <f>'Inventory Master'!L10</f>
        <v/>
      </c>
      <c r="F10" s="10">
        <f>'Inventory Master'!M10</f>
        <v/>
      </c>
      <c r="G10" s="20">
        <f>'Inventory Master'!O10</f>
        <v/>
      </c>
      <c r="H10" s="10">
        <f>IF(G10="REORDER", (E10 + F10)*2 - D10, 0)</f>
        <v/>
      </c>
      <c r="I10" s="11">
        <f>'Inventory Master'!F10</f>
        <v/>
      </c>
      <c r="J10" s="11">
        <f>H10*I10</f>
        <v/>
      </c>
    </row>
    <row r="11">
      <c r="A11" s="16">
        <f>'Inventory Master'!A11</f>
        <v/>
      </c>
      <c r="B11" s="17">
        <f>'Inventory Master'!B11</f>
        <v/>
      </c>
      <c r="C11" s="17">
        <f>'Inventory Master'!C11</f>
        <v/>
      </c>
      <c r="D11" s="19">
        <f>'Inventory Master'!H11</f>
        <v/>
      </c>
      <c r="E11" s="19">
        <f>'Inventory Master'!L11</f>
        <v/>
      </c>
      <c r="F11" s="19">
        <f>'Inventory Master'!M11</f>
        <v/>
      </c>
      <c r="G11" s="16">
        <f>'Inventory Master'!O11</f>
        <v/>
      </c>
      <c r="H11" s="19">
        <f>IF(G11="REORDER", (E11 + F11)*2 - D11, 0)</f>
        <v/>
      </c>
      <c r="I11" s="18">
        <f>'Inventory Master'!F11</f>
        <v/>
      </c>
      <c r="J11" s="18">
        <f>H11*I11</f>
        <v/>
      </c>
    </row>
    <row r="12">
      <c r="A12" s="20">
        <f>'Inventory Master'!A12</f>
        <v/>
      </c>
      <c r="B12" s="9">
        <f>'Inventory Master'!B12</f>
        <v/>
      </c>
      <c r="C12" s="9">
        <f>'Inventory Master'!C12</f>
        <v/>
      </c>
      <c r="D12" s="10">
        <f>'Inventory Master'!H12</f>
        <v/>
      </c>
      <c r="E12" s="10">
        <f>'Inventory Master'!L12</f>
        <v/>
      </c>
      <c r="F12" s="10">
        <f>'Inventory Master'!M12</f>
        <v/>
      </c>
      <c r="G12" s="20">
        <f>'Inventory Master'!O12</f>
        <v/>
      </c>
      <c r="H12" s="10">
        <f>IF(G12="REORDER", (E12 + F12)*2 - D12, 0)</f>
        <v/>
      </c>
      <c r="I12" s="11">
        <f>'Inventory Master'!F12</f>
        <v/>
      </c>
      <c r="J12" s="11">
        <f>H12*I12</f>
        <v/>
      </c>
    </row>
    <row r="13">
      <c r="A13" s="16">
        <f>'Inventory Master'!A13</f>
        <v/>
      </c>
      <c r="B13" s="17">
        <f>'Inventory Master'!B13</f>
        <v/>
      </c>
      <c r="C13" s="17">
        <f>'Inventory Master'!C13</f>
        <v/>
      </c>
      <c r="D13" s="19">
        <f>'Inventory Master'!H13</f>
        <v/>
      </c>
      <c r="E13" s="19">
        <f>'Inventory Master'!L13</f>
        <v/>
      </c>
      <c r="F13" s="19">
        <f>'Inventory Master'!M13</f>
        <v/>
      </c>
      <c r="G13" s="16">
        <f>'Inventory Master'!O13</f>
        <v/>
      </c>
      <c r="H13" s="19">
        <f>IF(G13="REORDER", (E13 + F13)*2 - D13, 0)</f>
        <v/>
      </c>
      <c r="I13" s="18">
        <f>'Inventory Master'!F13</f>
        <v/>
      </c>
      <c r="J13" s="18">
        <f>H13*I13</f>
        <v/>
      </c>
    </row>
    <row r="14">
      <c r="A14" s="20">
        <f>'Inventory Master'!A14</f>
        <v/>
      </c>
      <c r="B14" s="9">
        <f>'Inventory Master'!B14</f>
        <v/>
      </c>
      <c r="C14" s="9">
        <f>'Inventory Master'!C14</f>
        <v/>
      </c>
      <c r="D14" s="10">
        <f>'Inventory Master'!H14</f>
        <v/>
      </c>
      <c r="E14" s="10">
        <f>'Inventory Master'!L14</f>
        <v/>
      </c>
      <c r="F14" s="10">
        <f>'Inventory Master'!M14</f>
        <v/>
      </c>
      <c r="G14" s="20">
        <f>'Inventory Master'!O14</f>
        <v/>
      </c>
      <c r="H14" s="10">
        <f>IF(G14="REORDER", (E14 + F14)*2 - D14, 0)</f>
        <v/>
      </c>
      <c r="I14" s="11">
        <f>'Inventory Master'!F14</f>
        <v/>
      </c>
      <c r="J14" s="11">
        <f>H14*I14</f>
        <v/>
      </c>
    </row>
    <row r="15">
      <c r="A15" s="16">
        <f>'Inventory Master'!A15</f>
        <v/>
      </c>
      <c r="B15" s="17">
        <f>'Inventory Master'!B15</f>
        <v/>
      </c>
      <c r="C15" s="17">
        <f>'Inventory Master'!C15</f>
        <v/>
      </c>
      <c r="D15" s="19">
        <f>'Inventory Master'!H15</f>
        <v/>
      </c>
      <c r="E15" s="19">
        <f>'Inventory Master'!L15</f>
        <v/>
      </c>
      <c r="F15" s="19">
        <f>'Inventory Master'!M15</f>
        <v/>
      </c>
      <c r="G15" s="16">
        <f>'Inventory Master'!O15</f>
        <v/>
      </c>
      <c r="H15" s="19">
        <f>IF(G15="REORDER", (E15 + F15)*2 - D15, 0)</f>
        <v/>
      </c>
      <c r="I15" s="18">
        <f>'Inventory Master'!F15</f>
        <v/>
      </c>
      <c r="J15" s="18">
        <f>H15*I15</f>
        <v/>
      </c>
    </row>
    <row r="16">
      <c r="A16" s="20">
        <f>'Inventory Master'!A16</f>
        <v/>
      </c>
      <c r="B16" s="9">
        <f>'Inventory Master'!B16</f>
        <v/>
      </c>
      <c r="C16" s="9">
        <f>'Inventory Master'!C16</f>
        <v/>
      </c>
      <c r="D16" s="10">
        <f>'Inventory Master'!H16</f>
        <v/>
      </c>
      <c r="E16" s="10">
        <f>'Inventory Master'!L16</f>
        <v/>
      </c>
      <c r="F16" s="10">
        <f>'Inventory Master'!M16</f>
        <v/>
      </c>
      <c r="G16" s="20">
        <f>'Inventory Master'!O16</f>
        <v/>
      </c>
      <c r="H16" s="10">
        <f>IF(G16="REORDER", (E16 + F16)*2 - D16, 0)</f>
        <v/>
      </c>
      <c r="I16" s="11">
        <f>'Inventory Master'!F16</f>
        <v/>
      </c>
      <c r="J16" s="11">
        <f>H16*I16</f>
        <v/>
      </c>
    </row>
    <row r="17">
      <c r="A17" s="16">
        <f>'Inventory Master'!A17</f>
        <v/>
      </c>
      <c r="B17" s="17">
        <f>'Inventory Master'!B17</f>
        <v/>
      </c>
      <c r="C17" s="17">
        <f>'Inventory Master'!C17</f>
        <v/>
      </c>
      <c r="D17" s="19">
        <f>'Inventory Master'!H17</f>
        <v/>
      </c>
      <c r="E17" s="19">
        <f>'Inventory Master'!L17</f>
        <v/>
      </c>
      <c r="F17" s="19">
        <f>'Inventory Master'!M17</f>
        <v/>
      </c>
      <c r="G17" s="16">
        <f>'Inventory Master'!O17</f>
        <v/>
      </c>
      <c r="H17" s="19">
        <f>IF(G17="REORDER", (E17 + F17)*2 - D17, 0)</f>
        <v/>
      </c>
      <c r="I17" s="18">
        <f>'Inventory Master'!F17</f>
        <v/>
      </c>
      <c r="J17" s="18">
        <f>H17*I17</f>
        <v/>
      </c>
    </row>
    <row r="18">
      <c r="A18" s="20">
        <f>'Inventory Master'!A18</f>
        <v/>
      </c>
      <c r="B18" s="9">
        <f>'Inventory Master'!B18</f>
        <v/>
      </c>
      <c r="C18" s="9">
        <f>'Inventory Master'!C18</f>
        <v/>
      </c>
      <c r="D18" s="10">
        <f>'Inventory Master'!H18</f>
        <v/>
      </c>
      <c r="E18" s="10">
        <f>'Inventory Master'!L18</f>
        <v/>
      </c>
      <c r="F18" s="10">
        <f>'Inventory Master'!M18</f>
        <v/>
      </c>
      <c r="G18" s="20">
        <f>'Inventory Master'!O18</f>
        <v/>
      </c>
      <c r="H18" s="10">
        <f>IF(G18="REORDER", (E18 + F18)*2 - D18, 0)</f>
        <v/>
      </c>
      <c r="I18" s="11">
        <f>'Inventory Master'!F18</f>
        <v/>
      </c>
      <c r="J18" s="11">
        <f>H18*I18</f>
        <v/>
      </c>
    </row>
    <row r="19">
      <c r="A19" s="16">
        <f>'Inventory Master'!A19</f>
        <v/>
      </c>
      <c r="B19" s="17">
        <f>'Inventory Master'!B19</f>
        <v/>
      </c>
      <c r="C19" s="17">
        <f>'Inventory Master'!C19</f>
        <v/>
      </c>
      <c r="D19" s="19">
        <f>'Inventory Master'!H19</f>
        <v/>
      </c>
      <c r="E19" s="19">
        <f>'Inventory Master'!L19</f>
        <v/>
      </c>
      <c r="F19" s="19">
        <f>'Inventory Master'!M19</f>
        <v/>
      </c>
      <c r="G19" s="16">
        <f>'Inventory Master'!O19</f>
        <v/>
      </c>
      <c r="H19" s="19">
        <f>IF(G19="REORDER", (E19 + F19)*2 - D19, 0)</f>
        <v/>
      </c>
      <c r="I19" s="18">
        <f>'Inventory Master'!F19</f>
        <v/>
      </c>
      <c r="J19" s="18">
        <f>H19*I19</f>
        <v/>
      </c>
    </row>
    <row r="20">
      <c r="A20" s="20">
        <f>'Inventory Master'!A20</f>
        <v/>
      </c>
      <c r="B20" s="9">
        <f>'Inventory Master'!B20</f>
        <v/>
      </c>
      <c r="C20" s="9">
        <f>'Inventory Master'!C20</f>
        <v/>
      </c>
      <c r="D20" s="10">
        <f>'Inventory Master'!H20</f>
        <v/>
      </c>
      <c r="E20" s="10">
        <f>'Inventory Master'!L20</f>
        <v/>
      </c>
      <c r="F20" s="10">
        <f>'Inventory Master'!M20</f>
        <v/>
      </c>
      <c r="G20" s="20">
        <f>'Inventory Master'!O20</f>
        <v/>
      </c>
      <c r="H20" s="10">
        <f>IF(G20="REORDER", (E20 + F20)*2 - D20, 0)</f>
        <v/>
      </c>
      <c r="I20" s="11">
        <f>'Inventory Master'!F20</f>
        <v/>
      </c>
      <c r="J20" s="11">
        <f>H20*I20</f>
        <v/>
      </c>
    </row>
    <row r="21">
      <c r="A21" s="16">
        <f>'Inventory Master'!A21</f>
        <v/>
      </c>
      <c r="B21" s="17">
        <f>'Inventory Master'!B21</f>
        <v/>
      </c>
      <c r="C21" s="17">
        <f>'Inventory Master'!C21</f>
        <v/>
      </c>
      <c r="D21" s="19">
        <f>'Inventory Master'!H21</f>
        <v/>
      </c>
      <c r="E21" s="19">
        <f>'Inventory Master'!L21</f>
        <v/>
      </c>
      <c r="F21" s="19">
        <f>'Inventory Master'!M21</f>
        <v/>
      </c>
      <c r="G21" s="16">
        <f>'Inventory Master'!O21</f>
        <v/>
      </c>
      <c r="H21" s="19">
        <f>IF(G21="REORDER", (E21 + F21)*2 - D21, 0)</f>
        <v/>
      </c>
      <c r="I21" s="18">
        <f>'Inventory Master'!F21</f>
        <v/>
      </c>
      <c r="J21" s="18">
        <f>H21*I21</f>
        <v/>
      </c>
    </row>
    <row r="22">
      <c r="A22" s="20">
        <f>'Inventory Master'!A22</f>
        <v/>
      </c>
      <c r="B22" s="9">
        <f>'Inventory Master'!B22</f>
        <v/>
      </c>
      <c r="C22" s="9">
        <f>'Inventory Master'!C22</f>
        <v/>
      </c>
      <c r="D22" s="10">
        <f>'Inventory Master'!H22</f>
        <v/>
      </c>
      <c r="E22" s="10">
        <f>'Inventory Master'!L22</f>
        <v/>
      </c>
      <c r="F22" s="10">
        <f>'Inventory Master'!M22</f>
        <v/>
      </c>
      <c r="G22" s="20">
        <f>'Inventory Master'!O22</f>
        <v/>
      </c>
      <c r="H22" s="10">
        <f>IF(G22="REORDER", (E22 + F22)*2 - D22, 0)</f>
        <v/>
      </c>
      <c r="I22" s="11">
        <f>'Inventory Master'!F22</f>
        <v/>
      </c>
      <c r="J22" s="11">
        <f>H22*I22</f>
        <v/>
      </c>
    </row>
    <row r="23">
      <c r="A23" s="16">
        <f>'Inventory Master'!A23</f>
        <v/>
      </c>
      <c r="B23" s="17">
        <f>'Inventory Master'!B23</f>
        <v/>
      </c>
      <c r="C23" s="17">
        <f>'Inventory Master'!C23</f>
        <v/>
      </c>
      <c r="D23" s="19">
        <f>'Inventory Master'!H23</f>
        <v/>
      </c>
      <c r="E23" s="19">
        <f>'Inventory Master'!L23</f>
        <v/>
      </c>
      <c r="F23" s="19">
        <f>'Inventory Master'!M23</f>
        <v/>
      </c>
      <c r="G23" s="16">
        <f>'Inventory Master'!O23</f>
        <v/>
      </c>
      <c r="H23" s="19">
        <f>IF(G23="REORDER", (E23 + F23)*2 - D23, 0)</f>
        <v/>
      </c>
      <c r="I23" s="18">
        <f>'Inventory Master'!F23</f>
        <v/>
      </c>
      <c r="J23" s="18">
        <f>H23*I23</f>
        <v/>
      </c>
    </row>
    <row r="24">
      <c r="A24" s="20">
        <f>'Inventory Master'!A24</f>
        <v/>
      </c>
      <c r="B24" s="9">
        <f>'Inventory Master'!B24</f>
        <v/>
      </c>
      <c r="C24" s="9">
        <f>'Inventory Master'!C24</f>
        <v/>
      </c>
      <c r="D24" s="10">
        <f>'Inventory Master'!H24</f>
        <v/>
      </c>
      <c r="E24" s="10">
        <f>'Inventory Master'!L24</f>
        <v/>
      </c>
      <c r="F24" s="10">
        <f>'Inventory Master'!M24</f>
        <v/>
      </c>
      <c r="G24" s="20">
        <f>'Inventory Master'!O24</f>
        <v/>
      </c>
      <c r="H24" s="10">
        <f>IF(G24="REORDER", (E24 + F24)*2 - D24, 0)</f>
        <v/>
      </c>
      <c r="I24" s="11">
        <f>'Inventory Master'!F24</f>
        <v/>
      </c>
      <c r="J24" s="11">
        <f>H24*I24</f>
        <v/>
      </c>
    </row>
    <row r="25">
      <c r="A25" s="16">
        <f>'Inventory Master'!A25</f>
        <v/>
      </c>
      <c r="B25" s="17">
        <f>'Inventory Master'!B25</f>
        <v/>
      </c>
      <c r="C25" s="17">
        <f>'Inventory Master'!C25</f>
        <v/>
      </c>
      <c r="D25" s="19">
        <f>'Inventory Master'!H25</f>
        <v/>
      </c>
      <c r="E25" s="19">
        <f>'Inventory Master'!L25</f>
        <v/>
      </c>
      <c r="F25" s="19">
        <f>'Inventory Master'!M25</f>
        <v/>
      </c>
      <c r="G25" s="16">
        <f>'Inventory Master'!O25</f>
        <v/>
      </c>
      <c r="H25" s="19">
        <f>IF(G25="REORDER", (E25 + F25)*2 - D25, 0)</f>
        <v/>
      </c>
      <c r="I25" s="18">
        <f>'Inventory Master'!F25</f>
        <v/>
      </c>
      <c r="J25" s="18">
        <f>H25*I25</f>
        <v/>
      </c>
    </row>
    <row r="26">
      <c r="A26" s="20">
        <f>'Inventory Master'!A26</f>
        <v/>
      </c>
      <c r="B26" s="9">
        <f>'Inventory Master'!B26</f>
        <v/>
      </c>
      <c r="C26" s="9">
        <f>'Inventory Master'!C26</f>
        <v/>
      </c>
      <c r="D26" s="10">
        <f>'Inventory Master'!H26</f>
        <v/>
      </c>
      <c r="E26" s="10">
        <f>'Inventory Master'!L26</f>
        <v/>
      </c>
      <c r="F26" s="10">
        <f>'Inventory Master'!M26</f>
        <v/>
      </c>
      <c r="G26" s="20">
        <f>'Inventory Master'!O26</f>
        <v/>
      </c>
      <c r="H26" s="10">
        <f>IF(G26="REORDER", (E26 + F26)*2 - D26, 0)</f>
        <v/>
      </c>
      <c r="I26" s="11">
        <f>'Inventory Master'!F26</f>
        <v/>
      </c>
      <c r="J26" s="11">
        <f>H26*I26</f>
        <v/>
      </c>
    </row>
    <row r="27">
      <c r="A27" s="16">
        <f>'Inventory Master'!A27</f>
        <v/>
      </c>
      <c r="B27" s="17">
        <f>'Inventory Master'!B27</f>
        <v/>
      </c>
      <c r="C27" s="17">
        <f>'Inventory Master'!C27</f>
        <v/>
      </c>
      <c r="D27" s="19">
        <f>'Inventory Master'!H27</f>
        <v/>
      </c>
      <c r="E27" s="19">
        <f>'Inventory Master'!L27</f>
        <v/>
      </c>
      <c r="F27" s="19">
        <f>'Inventory Master'!M27</f>
        <v/>
      </c>
      <c r="G27" s="16">
        <f>'Inventory Master'!O27</f>
        <v/>
      </c>
      <c r="H27" s="19">
        <f>IF(G27="REORDER", (E27 + F27)*2 - D27, 0)</f>
        <v/>
      </c>
      <c r="I27" s="18">
        <f>'Inventory Master'!F27</f>
        <v/>
      </c>
      <c r="J27" s="18">
        <f>H27*I27</f>
        <v/>
      </c>
    </row>
    <row r="28">
      <c r="A28" s="20">
        <f>'Inventory Master'!A28</f>
        <v/>
      </c>
      <c r="B28" s="9">
        <f>'Inventory Master'!B28</f>
        <v/>
      </c>
      <c r="C28" s="9">
        <f>'Inventory Master'!C28</f>
        <v/>
      </c>
      <c r="D28" s="10">
        <f>'Inventory Master'!H28</f>
        <v/>
      </c>
      <c r="E28" s="10">
        <f>'Inventory Master'!L28</f>
        <v/>
      </c>
      <c r="F28" s="10">
        <f>'Inventory Master'!M28</f>
        <v/>
      </c>
      <c r="G28" s="20">
        <f>'Inventory Master'!O28</f>
        <v/>
      </c>
      <c r="H28" s="10">
        <f>IF(G28="REORDER", (E28 + F28)*2 - D28, 0)</f>
        <v/>
      </c>
      <c r="I28" s="11">
        <f>'Inventory Master'!F28</f>
        <v/>
      </c>
      <c r="J28" s="11">
        <f>H28*I28</f>
        <v/>
      </c>
    </row>
    <row r="29">
      <c r="A29" s="16">
        <f>'Inventory Master'!A29</f>
        <v/>
      </c>
      <c r="B29" s="17">
        <f>'Inventory Master'!B29</f>
        <v/>
      </c>
      <c r="C29" s="17">
        <f>'Inventory Master'!C29</f>
        <v/>
      </c>
      <c r="D29" s="19">
        <f>'Inventory Master'!H29</f>
        <v/>
      </c>
      <c r="E29" s="19">
        <f>'Inventory Master'!L29</f>
        <v/>
      </c>
      <c r="F29" s="19">
        <f>'Inventory Master'!M29</f>
        <v/>
      </c>
      <c r="G29" s="16">
        <f>'Inventory Master'!O29</f>
        <v/>
      </c>
      <c r="H29" s="19">
        <f>IF(G29="REORDER", (E29 + F29)*2 - D29, 0)</f>
        <v/>
      </c>
      <c r="I29" s="18">
        <f>'Inventory Master'!F29</f>
        <v/>
      </c>
      <c r="J29" s="18">
        <f>H29*I29</f>
        <v/>
      </c>
    </row>
    <row r="30">
      <c r="A30" s="20">
        <f>'Inventory Master'!A30</f>
        <v/>
      </c>
      <c r="B30" s="9">
        <f>'Inventory Master'!B30</f>
        <v/>
      </c>
      <c r="C30" s="9">
        <f>'Inventory Master'!C30</f>
        <v/>
      </c>
      <c r="D30" s="10">
        <f>'Inventory Master'!H30</f>
        <v/>
      </c>
      <c r="E30" s="10">
        <f>'Inventory Master'!L30</f>
        <v/>
      </c>
      <c r="F30" s="10">
        <f>'Inventory Master'!M30</f>
        <v/>
      </c>
      <c r="G30" s="20">
        <f>'Inventory Master'!O30</f>
        <v/>
      </c>
      <c r="H30" s="10">
        <f>IF(G30="REORDER", (E30 + F30)*2 - D30, 0)</f>
        <v/>
      </c>
      <c r="I30" s="11">
        <f>'Inventory Master'!F30</f>
        <v/>
      </c>
      <c r="J30" s="11">
        <f>H30*I30</f>
        <v/>
      </c>
    </row>
    <row r="31">
      <c r="A31" s="16">
        <f>'Inventory Master'!A31</f>
        <v/>
      </c>
      <c r="B31" s="17">
        <f>'Inventory Master'!B31</f>
        <v/>
      </c>
      <c r="C31" s="17">
        <f>'Inventory Master'!C31</f>
        <v/>
      </c>
      <c r="D31" s="19">
        <f>'Inventory Master'!H31</f>
        <v/>
      </c>
      <c r="E31" s="19">
        <f>'Inventory Master'!L31</f>
        <v/>
      </c>
      <c r="F31" s="19">
        <f>'Inventory Master'!M31</f>
        <v/>
      </c>
      <c r="G31" s="16">
        <f>'Inventory Master'!O31</f>
        <v/>
      </c>
      <c r="H31" s="19">
        <f>IF(G31="REORDER", (E31 + F31)*2 - D31, 0)</f>
        <v/>
      </c>
      <c r="I31" s="18">
        <f>'Inventory Master'!F31</f>
        <v/>
      </c>
      <c r="J31" s="18">
        <f>H31*I31</f>
        <v/>
      </c>
    </row>
    <row r="32">
      <c r="A32" s="20">
        <f>'Inventory Master'!A32</f>
        <v/>
      </c>
      <c r="B32" s="9">
        <f>'Inventory Master'!B32</f>
        <v/>
      </c>
      <c r="C32" s="9">
        <f>'Inventory Master'!C32</f>
        <v/>
      </c>
      <c r="D32" s="10">
        <f>'Inventory Master'!H32</f>
        <v/>
      </c>
      <c r="E32" s="10">
        <f>'Inventory Master'!L32</f>
        <v/>
      </c>
      <c r="F32" s="10">
        <f>'Inventory Master'!M32</f>
        <v/>
      </c>
      <c r="G32" s="20">
        <f>'Inventory Master'!O32</f>
        <v/>
      </c>
      <c r="H32" s="10">
        <f>IF(G32="REORDER", (E32 + F32)*2 - D32, 0)</f>
        <v/>
      </c>
      <c r="I32" s="11">
        <f>'Inventory Master'!F32</f>
        <v/>
      </c>
      <c r="J32" s="11">
        <f>H32*I32</f>
        <v/>
      </c>
    </row>
    <row r="33">
      <c r="A33" s="16">
        <f>'Inventory Master'!A33</f>
        <v/>
      </c>
      <c r="B33" s="17">
        <f>'Inventory Master'!B33</f>
        <v/>
      </c>
      <c r="C33" s="17">
        <f>'Inventory Master'!C33</f>
        <v/>
      </c>
      <c r="D33" s="19">
        <f>'Inventory Master'!H33</f>
        <v/>
      </c>
      <c r="E33" s="19">
        <f>'Inventory Master'!L33</f>
        <v/>
      </c>
      <c r="F33" s="19">
        <f>'Inventory Master'!M33</f>
        <v/>
      </c>
      <c r="G33" s="16">
        <f>'Inventory Master'!O33</f>
        <v/>
      </c>
      <c r="H33" s="19">
        <f>IF(G33="REORDER", (E33 + F33)*2 - D33, 0)</f>
        <v/>
      </c>
      <c r="I33" s="18">
        <f>'Inventory Master'!F33</f>
        <v/>
      </c>
      <c r="J33" s="18">
        <f>H33*I33</f>
        <v/>
      </c>
    </row>
    <row r="34">
      <c r="A34" s="20">
        <f>'Inventory Master'!A34</f>
        <v/>
      </c>
      <c r="B34" s="9">
        <f>'Inventory Master'!B34</f>
        <v/>
      </c>
      <c r="C34" s="9">
        <f>'Inventory Master'!C34</f>
        <v/>
      </c>
      <c r="D34" s="10">
        <f>'Inventory Master'!H34</f>
        <v/>
      </c>
      <c r="E34" s="10">
        <f>'Inventory Master'!L34</f>
        <v/>
      </c>
      <c r="F34" s="10">
        <f>'Inventory Master'!M34</f>
        <v/>
      </c>
      <c r="G34" s="20">
        <f>'Inventory Master'!O34</f>
        <v/>
      </c>
      <c r="H34" s="10">
        <f>IF(G34="REORDER", (E34 + F34)*2 - D34, 0)</f>
        <v/>
      </c>
      <c r="I34" s="11">
        <f>'Inventory Master'!F34</f>
        <v/>
      </c>
      <c r="J34" s="11">
        <f>H34*I34</f>
        <v/>
      </c>
    </row>
    <row r="35">
      <c r="A35" s="21" t="n"/>
      <c r="B35" s="12" t="inlineStr">
        <is>
          <t>Total Procurement Commitment Needed</t>
        </is>
      </c>
      <c r="C35" s="21" t="n"/>
      <c r="D35" s="21" t="n"/>
      <c r="E35" s="21" t="n"/>
      <c r="F35" s="21" t="n"/>
      <c r="G35" s="21" t="n"/>
      <c r="H35" s="13">
        <f>SUM(H5:H34)</f>
        <v/>
      </c>
      <c r="I35" s="21" t="n"/>
      <c r="J35" s="14">
        <f>SUM(J5:J34)</f>
        <v/>
      </c>
    </row>
  </sheetData>
  <conditionalFormatting sqref="G5:G34">
    <cfRule type="cellIs" priority="1" operator="equal" dxfId="0" stopIfTrue="1">
      <formula>"REORDER"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2026-08-11T15:19:06Z</dcterms:created>
  <dcterms:modified xmlns:dcterms="http://purl.org/dc/terms/" xmlns:xsi="http://www.w3.org/2001/XMLSchema-instance" xsi:type="dcterms:W3CDTF">2026-08-11T15:19:06Z</dcterms:modified>
</cp:coreProperties>
</file>