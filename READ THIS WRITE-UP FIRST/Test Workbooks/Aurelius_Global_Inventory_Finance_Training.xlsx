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enricsoni/Downloads/"/>
    </mc:Choice>
  </mc:AlternateContent>
  <xr:revisionPtr revIDLastSave="0" documentId="8_{0867402A-057C-0049-A84F-D93DE20BAE8E}" xr6:coauthVersionLast="47" xr6:coauthVersionMax="47" xr10:uidLastSave="{00000000-0000-0000-0000-000000000000}"/>
  <bookViews>
    <workbookView xWindow="0" yWindow="740" windowWidth="29400" windowHeight="16400" firstSheet="3" activeTab="14" xr2:uid="{00000000-000D-0000-FFFF-FFFF00000000}"/>
  </bookViews>
  <sheets>
    <sheet name="Cover" sheetId="1" r:id="rId1"/>
    <sheet name="Executive Summary" sheetId="2" r:id="rId2"/>
    <sheet name="Header Dictionary" sheetId="3" r:id="rId3"/>
    <sheet name="Item Master" sheetId="4" r:id="rId4"/>
    <sheet name="SAP DC Stock" sheetId="5" r:id="rId5"/>
    <sheet name="Oracle Store Inv" sheetId="6" r:id="rId6"/>
    <sheet name="3PL Warehouse Feed" sheetId="7" r:id="rId7"/>
    <sheet name="Open POs" sheetId="8" r:id="rId8"/>
    <sheet name="In-Transit" sheetId="9" r:id="rId9"/>
    <sheet name="Sales History" sheetId="10" r:id="rId10"/>
    <sheet name="FX Rates" sheetId="11" r:id="rId11"/>
    <sheet name="Consolidated" sheetId="12" r:id="rId12"/>
    <sheet name="Reserve Analysis" sheetId="13" r:id="rId13"/>
    <sheet name="Checks" sheetId="14" r:id="rId14"/>
    <sheet name="Source Log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4" l="1"/>
  <c r="C12" i="14"/>
  <c r="B12" i="14"/>
  <c r="F12" i="14" s="1"/>
  <c r="E11" i="14"/>
  <c r="C11" i="14"/>
  <c r="E10" i="14"/>
  <c r="C10" i="14"/>
  <c r="E9" i="14"/>
  <c r="C9" i="14"/>
  <c r="B9" i="14"/>
  <c r="D9" i="14" s="1"/>
  <c r="F9" i="14" s="1"/>
  <c r="E8" i="14"/>
  <c r="C8" i="14"/>
  <c r="B8" i="14"/>
  <c r="D8" i="14" s="1"/>
  <c r="F8" i="14" s="1"/>
  <c r="E7" i="14"/>
  <c r="D7" i="14"/>
  <c r="F7" i="14" s="1"/>
  <c r="C7" i="14"/>
  <c r="B7" i="14"/>
  <c r="E6" i="14"/>
  <c r="C6" i="14"/>
  <c r="E5" i="14"/>
  <c r="B16" i="13"/>
  <c r="A16" i="13"/>
  <c r="B15" i="13"/>
  <c r="A15" i="13"/>
  <c r="B14" i="13"/>
  <c r="A14" i="13"/>
  <c r="B13" i="13"/>
  <c r="A13" i="13"/>
  <c r="B12" i="13"/>
  <c r="A12" i="13"/>
  <c r="B11" i="13"/>
  <c r="A11" i="13"/>
  <c r="B10" i="13"/>
  <c r="A10" i="13"/>
  <c r="B9" i="13"/>
  <c r="A9" i="13"/>
  <c r="B8" i="13"/>
  <c r="A8" i="13"/>
  <c r="B7" i="13"/>
  <c r="A7" i="13"/>
  <c r="B6" i="13"/>
  <c r="A6" i="13"/>
  <c r="B5" i="13"/>
  <c r="A5" i="13"/>
  <c r="Q16" i="12"/>
  <c r="E16" i="13" s="1"/>
  <c r="G16" i="13" s="1"/>
  <c r="O16" i="12"/>
  <c r="K16" i="12"/>
  <c r="J16" i="12"/>
  <c r="H16" i="12"/>
  <c r="Q15" i="12"/>
  <c r="E15" i="13" s="1"/>
  <c r="G15" i="13" s="1"/>
  <c r="O15" i="12"/>
  <c r="K15" i="12"/>
  <c r="J15" i="12"/>
  <c r="H15" i="12"/>
  <c r="Q14" i="12"/>
  <c r="E14" i="13" s="1"/>
  <c r="G14" i="13" s="1"/>
  <c r="O14" i="12"/>
  <c r="J14" i="12"/>
  <c r="H14" i="12"/>
  <c r="Q13" i="12"/>
  <c r="E13" i="13" s="1"/>
  <c r="G13" i="13" s="1"/>
  <c r="O13" i="12"/>
  <c r="J13" i="12"/>
  <c r="H13" i="12"/>
  <c r="Q12" i="12"/>
  <c r="E12" i="13" s="1"/>
  <c r="G12" i="13" s="1"/>
  <c r="O12" i="12"/>
  <c r="J12" i="12"/>
  <c r="H12" i="12"/>
  <c r="E12" i="12"/>
  <c r="Q11" i="12"/>
  <c r="E11" i="13" s="1"/>
  <c r="G11" i="13" s="1"/>
  <c r="O11" i="12"/>
  <c r="J11" i="12"/>
  <c r="H11" i="12"/>
  <c r="D11" i="12"/>
  <c r="Q10" i="12"/>
  <c r="E10" i="13" s="1"/>
  <c r="G10" i="13" s="1"/>
  <c r="O10" i="12"/>
  <c r="K10" i="12"/>
  <c r="J10" i="12"/>
  <c r="H10" i="12"/>
  <c r="F10" i="12"/>
  <c r="Q9" i="12"/>
  <c r="E9" i="13" s="1"/>
  <c r="G9" i="13" s="1"/>
  <c r="O9" i="12"/>
  <c r="K9" i="12"/>
  <c r="J9" i="12"/>
  <c r="H9" i="12"/>
  <c r="R8" i="12"/>
  <c r="Q8" i="12"/>
  <c r="E8" i="13" s="1"/>
  <c r="G8" i="13" s="1"/>
  <c r="O8" i="12"/>
  <c r="J8" i="12"/>
  <c r="H8" i="12"/>
  <c r="D8" i="12"/>
  <c r="Q7" i="12"/>
  <c r="E7" i="13" s="1"/>
  <c r="G7" i="13" s="1"/>
  <c r="O7" i="12"/>
  <c r="K7" i="12"/>
  <c r="J7" i="12"/>
  <c r="H7" i="12"/>
  <c r="D7" i="12"/>
  <c r="Q6" i="12"/>
  <c r="E6" i="13" s="1"/>
  <c r="G6" i="13" s="1"/>
  <c r="O6" i="12"/>
  <c r="J6" i="12"/>
  <c r="H6" i="12"/>
  <c r="E6" i="12"/>
  <c r="R5" i="12"/>
  <c r="Q5" i="12"/>
  <c r="E5" i="13" s="1"/>
  <c r="G5" i="13" s="1"/>
  <c r="O5" i="12"/>
  <c r="J5" i="12"/>
  <c r="H5" i="12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L11" i="12" s="1"/>
  <c r="M11" i="12" s="1"/>
  <c r="H22" i="10"/>
  <c r="H21" i="10"/>
  <c r="H20" i="10"/>
  <c r="H19" i="10"/>
  <c r="H18" i="10"/>
  <c r="H17" i="10"/>
  <c r="H16" i="10"/>
  <c r="L16" i="12" s="1"/>
  <c r="M16" i="12" s="1"/>
  <c r="H15" i="10"/>
  <c r="L15" i="12" s="1"/>
  <c r="M15" i="12" s="1"/>
  <c r="H14" i="10"/>
  <c r="L14" i="12" s="1"/>
  <c r="M14" i="12" s="1"/>
  <c r="H13" i="10"/>
  <c r="L13" i="12" s="1"/>
  <c r="M13" i="12" s="1"/>
  <c r="H12" i="10"/>
  <c r="L12" i="12" s="1"/>
  <c r="M12" i="12" s="1"/>
  <c r="H11" i="10"/>
  <c r="H10" i="10"/>
  <c r="L10" i="12" s="1"/>
  <c r="M10" i="12" s="1"/>
  <c r="H9" i="10"/>
  <c r="L9" i="12" s="1"/>
  <c r="M9" i="12" s="1"/>
  <c r="H8" i="10"/>
  <c r="L8" i="12" s="1"/>
  <c r="M8" i="12" s="1"/>
  <c r="H7" i="10"/>
  <c r="L7" i="12" s="1"/>
  <c r="M7" i="12" s="1"/>
  <c r="H6" i="10"/>
  <c r="L6" i="12" s="1"/>
  <c r="M6" i="12" s="1"/>
  <c r="H5" i="10"/>
  <c r="L5" i="12" s="1"/>
  <c r="M5" i="12" s="1"/>
  <c r="M14" i="8"/>
  <c r="N14" i="8" s="1"/>
  <c r="N13" i="8"/>
  <c r="M13" i="8"/>
  <c r="K13" i="12" s="1"/>
  <c r="M12" i="8"/>
  <c r="N12" i="8" s="1"/>
  <c r="M11" i="8"/>
  <c r="K11" i="12" s="1"/>
  <c r="M10" i="8"/>
  <c r="N10" i="8" s="1"/>
  <c r="N9" i="8"/>
  <c r="M9" i="8"/>
  <c r="M8" i="8"/>
  <c r="K8" i="12" s="1"/>
  <c r="M7" i="8"/>
  <c r="N7" i="8" s="1"/>
  <c r="M6" i="8"/>
  <c r="N6" i="8" s="1"/>
  <c r="N5" i="8"/>
  <c r="M5" i="8"/>
  <c r="K5" i="12" s="1"/>
  <c r="M17" i="7"/>
  <c r="B6" i="14" s="1"/>
  <c r="M16" i="7"/>
  <c r="F16" i="12" s="1"/>
  <c r="M15" i="7"/>
  <c r="N15" i="7" s="1"/>
  <c r="N14" i="7"/>
  <c r="M14" i="7"/>
  <c r="F14" i="12" s="1"/>
  <c r="M13" i="7"/>
  <c r="N13" i="7" s="1"/>
  <c r="M12" i="7"/>
  <c r="F12" i="12" s="1"/>
  <c r="M11" i="7"/>
  <c r="N11" i="7" s="1"/>
  <c r="N10" i="7"/>
  <c r="M10" i="7"/>
  <c r="M9" i="7"/>
  <c r="F9" i="12" s="1"/>
  <c r="M8" i="7"/>
  <c r="F8" i="12" s="1"/>
  <c r="M7" i="7"/>
  <c r="N7" i="7" s="1"/>
  <c r="N6" i="7"/>
  <c r="M6" i="7"/>
  <c r="F6" i="12" s="1"/>
  <c r="M5" i="7"/>
  <c r="N5" i="7" s="1"/>
  <c r="N28" i="6"/>
  <c r="O28" i="6" s="1"/>
  <c r="N27" i="6"/>
  <c r="O27" i="6" s="1"/>
  <c r="O26" i="6"/>
  <c r="N26" i="6"/>
  <c r="N25" i="6"/>
  <c r="O25" i="6" s="1"/>
  <c r="N24" i="6"/>
  <c r="O24" i="6" s="1"/>
  <c r="N23" i="6"/>
  <c r="O23" i="6" s="1"/>
  <c r="O22" i="6"/>
  <c r="N22" i="6"/>
  <c r="N21" i="6"/>
  <c r="O21" i="6" s="1"/>
  <c r="N20" i="6"/>
  <c r="O20" i="6" s="1"/>
  <c r="N19" i="6"/>
  <c r="O19" i="6" s="1"/>
  <c r="O18" i="6"/>
  <c r="N18" i="6"/>
  <c r="N17" i="6"/>
  <c r="O17" i="6" s="1"/>
  <c r="N16" i="6"/>
  <c r="E16" i="12" s="1"/>
  <c r="N15" i="6"/>
  <c r="E15" i="12" s="1"/>
  <c r="O14" i="6"/>
  <c r="N14" i="6"/>
  <c r="E14" i="12" s="1"/>
  <c r="N13" i="6"/>
  <c r="O13" i="6" s="1"/>
  <c r="N12" i="6"/>
  <c r="O12" i="6" s="1"/>
  <c r="N11" i="6"/>
  <c r="O11" i="6" s="1"/>
  <c r="O10" i="6"/>
  <c r="N10" i="6"/>
  <c r="E10" i="12" s="1"/>
  <c r="N9" i="6"/>
  <c r="E9" i="12" s="1"/>
  <c r="N8" i="6"/>
  <c r="E8" i="12" s="1"/>
  <c r="N7" i="6"/>
  <c r="E7" i="12" s="1"/>
  <c r="O6" i="6"/>
  <c r="N6" i="6"/>
  <c r="N5" i="6"/>
  <c r="O5" i="6" s="1"/>
  <c r="N17" i="5"/>
  <c r="O17" i="5" s="1"/>
  <c r="N16" i="5"/>
  <c r="O16" i="5" s="1"/>
  <c r="O15" i="5"/>
  <c r="N15" i="5"/>
  <c r="D15" i="12" s="1"/>
  <c r="N14" i="5"/>
  <c r="D14" i="12" s="1"/>
  <c r="N13" i="5"/>
  <c r="O13" i="5" s="1"/>
  <c r="N12" i="5"/>
  <c r="O12" i="5" s="1"/>
  <c r="O11" i="5"/>
  <c r="N11" i="5"/>
  <c r="N10" i="5"/>
  <c r="D10" i="12" s="1"/>
  <c r="G10" i="12" s="1"/>
  <c r="N9" i="5"/>
  <c r="D9" i="12" s="1"/>
  <c r="G9" i="12" s="1"/>
  <c r="N8" i="5"/>
  <c r="O8" i="5" s="1"/>
  <c r="O7" i="5"/>
  <c r="N7" i="5"/>
  <c r="N6" i="5"/>
  <c r="D6" i="12" s="1"/>
  <c r="G6" i="12" s="1"/>
  <c r="N5" i="5"/>
  <c r="O5" i="5" s="1"/>
  <c r="B26" i="2"/>
  <c r="A26" i="2"/>
  <c r="E25" i="2"/>
  <c r="B25" i="2"/>
  <c r="A25" i="2"/>
  <c r="B24" i="2"/>
  <c r="A24" i="2"/>
  <c r="B23" i="2"/>
  <c r="A23" i="2"/>
  <c r="E22" i="2"/>
  <c r="B22" i="2"/>
  <c r="A22" i="2"/>
  <c r="D6" i="14" l="1"/>
  <c r="F6" i="14" s="1"/>
  <c r="D9" i="2"/>
  <c r="G11" i="12"/>
  <c r="I9" i="12"/>
  <c r="P9" i="12"/>
  <c r="P10" i="12"/>
  <c r="C10" i="13" s="1"/>
  <c r="I10" i="12"/>
  <c r="N9" i="12"/>
  <c r="N10" i="12"/>
  <c r="I6" i="12"/>
  <c r="N6" i="12" s="1"/>
  <c r="P6" i="12"/>
  <c r="G14" i="12"/>
  <c r="G8" i="12"/>
  <c r="D13" i="12"/>
  <c r="F15" i="12"/>
  <c r="G15" i="12" s="1"/>
  <c r="C5" i="14"/>
  <c r="D5" i="12"/>
  <c r="F7" i="12"/>
  <c r="G7" i="12" s="1"/>
  <c r="K12" i="12"/>
  <c r="O9" i="5"/>
  <c r="O8" i="6"/>
  <c r="O16" i="6"/>
  <c r="N8" i="7"/>
  <c r="N12" i="7"/>
  <c r="N16" i="7"/>
  <c r="N11" i="8"/>
  <c r="E5" i="12"/>
  <c r="D12" i="12"/>
  <c r="G12" i="12" s="1"/>
  <c r="E13" i="12"/>
  <c r="F13" i="12"/>
  <c r="F5" i="12"/>
  <c r="O6" i="5"/>
  <c r="O10" i="5"/>
  <c r="O14" i="5"/>
  <c r="O9" i="6"/>
  <c r="N9" i="7"/>
  <c r="N17" i="7"/>
  <c r="N8" i="8"/>
  <c r="D8" i="2" s="1"/>
  <c r="E11" i="12"/>
  <c r="F11" i="12"/>
  <c r="D12" i="14"/>
  <c r="D16" i="12"/>
  <c r="G16" i="12" s="1"/>
  <c r="B11" i="14"/>
  <c r="K14" i="12"/>
  <c r="K6" i="12"/>
  <c r="O7" i="6"/>
  <c r="O15" i="6"/>
  <c r="I15" i="12" l="1"/>
  <c r="N15" i="12" s="1"/>
  <c r="P15" i="12"/>
  <c r="I7" i="12"/>
  <c r="N7" i="12" s="1"/>
  <c r="P7" i="12"/>
  <c r="C23" i="2"/>
  <c r="R6" i="12"/>
  <c r="E23" i="2" s="1"/>
  <c r="D6" i="13"/>
  <c r="F6" i="13" s="1"/>
  <c r="H6" i="13" s="1"/>
  <c r="I14" i="12"/>
  <c r="N14" i="12" s="1"/>
  <c r="P14" i="12"/>
  <c r="C14" i="13" s="1"/>
  <c r="D9" i="13"/>
  <c r="F9" i="13" s="1"/>
  <c r="H9" i="13" s="1"/>
  <c r="C26" i="2"/>
  <c r="R9" i="12"/>
  <c r="E26" i="2" s="1"/>
  <c r="D10" i="13"/>
  <c r="F10" i="13" s="1"/>
  <c r="H10" i="13" s="1"/>
  <c r="R10" i="12"/>
  <c r="G5" i="12"/>
  <c r="I16" i="12"/>
  <c r="N16" i="12" s="1"/>
  <c r="P16" i="12"/>
  <c r="C16" i="13" s="1"/>
  <c r="D23" i="2"/>
  <c r="C6" i="13"/>
  <c r="I8" i="12"/>
  <c r="N8" i="12" s="1"/>
  <c r="P8" i="12"/>
  <c r="D26" i="2"/>
  <c r="C9" i="13"/>
  <c r="B15" i="2"/>
  <c r="D11" i="14"/>
  <c r="F11" i="14"/>
  <c r="I11" i="12"/>
  <c r="N11" i="12" s="1"/>
  <c r="P11" i="12"/>
  <c r="I10" i="13"/>
  <c r="J10" i="13" s="1"/>
  <c r="G13" i="12"/>
  <c r="I12" i="12"/>
  <c r="N12" i="12" s="1"/>
  <c r="P12" i="12"/>
  <c r="C12" i="13" s="1"/>
  <c r="R12" i="12" l="1"/>
  <c r="D12" i="13"/>
  <c r="F12" i="13" s="1"/>
  <c r="H12" i="13" s="1"/>
  <c r="R14" i="12"/>
  <c r="D14" i="13"/>
  <c r="F14" i="13" s="1"/>
  <c r="H14" i="13" s="1"/>
  <c r="I13" i="12"/>
  <c r="N13" i="12" s="1"/>
  <c r="P13" i="12"/>
  <c r="I9" i="13"/>
  <c r="C15" i="2" s="1"/>
  <c r="C8" i="13"/>
  <c r="D25" i="2"/>
  <c r="B16" i="2"/>
  <c r="C11" i="13"/>
  <c r="D8" i="13"/>
  <c r="F8" i="13" s="1"/>
  <c r="H8" i="13" s="1"/>
  <c r="C25" i="2"/>
  <c r="D24" i="2"/>
  <c r="C7" i="13"/>
  <c r="B14" i="2"/>
  <c r="R7" i="12"/>
  <c r="E24" i="2" s="1"/>
  <c r="D7" i="13"/>
  <c r="F7" i="13" s="1"/>
  <c r="H7" i="13" s="1"/>
  <c r="C24" i="2"/>
  <c r="B18" i="2"/>
  <c r="C15" i="13"/>
  <c r="D15" i="2"/>
  <c r="D16" i="13"/>
  <c r="F16" i="13" s="1"/>
  <c r="H16" i="13" s="1"/>
  <c r="I16" i="13" s="1"/>
  <c r="J16" i="13" s="1"/>
  <c r="R16" i="12"/>
  <c r="B5" i="14"/>
  <c r="D5" i="14" s="1"/>
  <c r="F5" i="14" s="1"/>
  <c r="I5" i="12"/>
  <c r="P5" i="12"/>
  <c r="D11" i="13"/>
  <c r="F11" i="13" s="1"/>
  <c r="H11" i="13" s="1"/>
  <c r="R11" i="12"/>
  <c r="J6" i="13"/>
  <c r="I6" i="13"/>
  <c r="I12" i="13"/>
  <c r="J12" i="13" s="1"/>
  <c r="I14" i="13"/>
  <c r="J14" i="13" s="1"/>
  <c r="R15" i="12"/>
  <c r="D15" i="13"/>
  <c r="F15" i="13" s="1"/>
  <c r="H15" i="13" s="1"/>
  <c r="B13" i="2" l="1"/>
  <c r="C5" i="13"/>
  <c r="D22" i="2"/>
  <c r="J7" i="13"/>
  <c r="I7" i="13"/>
  <c r="C14" i="2" s="1"/>
  <c r="D14" i="2" s="1"/>
  <c r="J9" i="13"/>
  <c r="C13" i="13"/>
  <c r="B17" i="2"/>
  <c r="I11" i="13"/>
  <c r="C16" i="2" s="1"/>
  <c r="D16" i="2" s="1"/>
  <c r="D7" i="2"/>
  <c r="N5" i="12"/>
  <c r="J15" i="13"/>
  <c r="I15" i="13"/>
  <c r="C18" i="2" s="1"/>
  <c r="D18" i="2" s="1"/>
  <c r="D13" i="13"/>
  <c r="F13" i="13" s="1"/>
  <c r="H13" i="13" s="1"/>
  <c r="R13" i="12"/>
  <c r="I8" i="13"/>
  <c r="J8" i="13" s="1"/>
  <c r="I13" i="13" l="1"/>
  <c r="C17" i="2" s="1"/>
  <c r="D17" i="2" s="1"/>
  <c r="C18" i="13"/>
  <c r="J11" i="13"/>
  <c r="D5" i="13"/>
  <c r="F5" i="13" s="1"/>
  <c r="H5" i="13" s="1"/>
  <c r="I5" i="13" s="1"/>
  <c r="C22" i="2"/>
  <c r="C13" i="2" l="1"/>
  <c r="D13" i="2" s="1"/>
  <c r="I18" i="13"/>
  <c r="D5" i="2" s="1"/>
  <c r="J5" i="13"/>
  <c r="D4" i="2"/>
  <c r="J13" i="13"/>
  <c r="J18" i="13" l="1"/>
  <c r="D6" i="2" l="1"/>
  <c r="B10" i="14"/>
  <c r="D10" i="14" s="1"/>
  <c r="F10" i="14" s="1"/>
  <c r="C15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tc={88A53124-8BEC-8DC5-CDAB-4201D295BF2F}</author>
  </authors>
  <commentList>
    <comment ref="R5" authorId="0" shapeId="0" xr:uid="{00000000-0006-0000-0B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Training exception: the repeated SAP material/location line may be a valid separate batch or a duplicate. The add-in should inspect keys before removing it.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tc={F8B3C603-3B57-90B2-CA8E-1F5515614654}</author>
  </authors>
  <commentList>
    <comment ref="F6" authorId="0" shapeId="0" xr:uid="{00000000-0006-0000-0D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WARN is intentional. Unmapped source records should be quarantined and reported, not silently discarded or forced into a guessed SKU.</t>
      </text>
    </comment>
  </commentList>
</comments>
</file>

<file path=xl/sharedStrings.xml><?xml version="1.0" encoding="utf-8"?>
<sst xmlns="http://schemas.openxmlformats.org/spreadsheetml/2006/main" count="1454" uniqueCount="390">
  <si>
    <t>Aurelius Global Devices — Inventory Finance Control Book</t>
  </si>
  <si>
    <t>Synthetic enterprise training workbook | FY2026 Q3 close | Values are fictional | Version 1.0</t>
  </si>
  <si>
    <t>Workbook purpose</t>
  </si>
  <si>
    <t>Train an inventory add-in to identify, normalize, consolidate, value, and reconcile inventory from heterogeneous sources.</t>
  </si>
  <si>
    <t>Finance owner</t>
  </si>
  <si>
    <t>Global Inventory Controllership</t>
  </si>
  <si>
    <t>Reporting date</t>
  </si>
  <si>
    <t>Functional currency</t>
  </si>
  <si>
    <t>USD</t>
  </si>
  <si>
    <t>Source systems</t>
  </si>
  <si>
    <t>SAP S/4HANA; Oracle Retail; NorthStar 3PL WMS; procurement tracker</t>
  </si>
  <si>
    <t>Complexity deliberately included</t>
  </si>
  <si>
    <t>Header aliases, SKU aliases, mixed UOM, currencies, duplicate rows, blank fields, stale counts, quarantined stock, transfers, and PO timing.</t>
  </si>
  <si>
    <t>Blue cells</t>
  </si>
  <si>
    <t>Source data / user inputs</t>
  </si>
  <si>
    <t>Green cells</t>
  </si>
  <si>
    <t>Calculated or reconciled outputs</t>
  </si>
  <si>
    <t>Important</t>
  </si>
  <si>
    <t>Do not treat every issue as an error: some exceptions are valid business states and require contextual handling.</t>
  </si>
  <si>
    <t>Suggested training tasks</t>
  </si>
  <si>
    <t>1. Detect the source tables even though table names and headers differ.</t>
  </si>
  <si>
    <t>2. Map aliases to canonical SKU and location identifiers.</t>
  </si>
  <si>
    <t>3. Convert cases to eaches and local currency to USD without double-counting.</t>
  </si>
  <si>
    <t>4. Separate unrestricted, quality-hold, damaged, and in-transit inventory.</t>
  </si>
  <si>
    <t>5. Reconcile source totals to the Consolidated and Checks tabs.</t>
  </si>
  <si>
    <t>6. Explain exceptions without changing finance-controlled calculations.</t>
  </si>
  <si>
    <t>Inventory Finance Executive Summary</t>
  </si>
  <si>
    <t>Management view | As of 2026-07-31 | USD and base units</t>
  </si>
  <si>
    <t>Gross Inventory Value</t>
  </si>
  <si>
    <t>Obsolescence Reserve</t>
  </si>
  <si>
    <t>Net Inventory Value</t>
  </si>
  <si>
    <t>Net Available Units</t>
  </si>
  <si>
    <t>Open PO Commitments</t>
  </si>
  <si>
    <t>Unmapped 3PL Units</t>
  </si>
  <si>
    <t>Category</t>
  </si>
  <si>
    <t>Gross Value USD</t>
  </si>
  <si>
    <t>Reserve USD</t>
  </si>
  <si>
    <t>Net Value USD</t>
  </si>
  <si>
    <t>Mobile</t>
  </si>
  <si>
    <t>Computing</t>
  </si>
  <si>
    <t>Audio</t>
  </si>
  <si>
    <t>Smart Home</t>
  </si>
  <si>
    <t>Accessories</t>
  </si>
  <si>
    <t>Gaming</t>
  </si>
  <si>
    <t>SKU</t>
  </si>
  <si>
    <t>Product</t>
  </si>
  <si>
    <t>Months Cover</t>
  </si>
  <si>
    <t>Flag</t>
  </si>
  <si>
    <t>Header &amp; Field Dictionary</t>
  </si>
  <si>
    <t>Canonical meanings and real-world aliases across systems. A robust add-in should infer semantics, not rely on one exact label.</t>
  </si>
  <si>
    <t>Canonical Field</t>
  </si>
  <si>
    <t>SAP Alias</t>
  </si>
  <si>
    <t>Oracle Alias</t>
  </si>
  <si>
    <t>3PL Alias</t>
  </si>
  <si>
    <t>PO / Transfer Alias</t>
  </si>
  <si>
    <t>Meaning / Rule</t>
  </si>
  <si>
    <t>Material</t>
  </si>
  <si>
    <t>Item Number</t>
  </si>
  <si>
    <t>Client Item</t>
  </si>
  <si>
    <t>Item / Product Code</t>
  </si>
  <si>
    <t>Map aliases through Item Master; preserve leading zeros and punctuation.</t>
  </si>
  <si>
    <t>Location</t>
  </si>
  <si>
    <t>Plant + SLoc</t>
  </si>
  <si>
    <t>Org / Store</t>
  </si>
  <si>
    <t>Facility</t>
  </si>
  <si>
    <t>Ship-To / Destination</t>
  </si>
  <si>
    <t>Normalize facility codes; do not merge stores with DCs.</t>
  </si>
  <si>
    <t>On Hand</t>
  </si>
  <si>
    <t>Unrestricted Qty</t>
  </si>
  <si>
    <t>SOH Qty</t>
  </si>
  <si>
    <t>Available</t>
  </si>
  <si>
    <t>—</t>
  </si>
  <si>
    <t>Physical quantity available before reservations; may be cases or eaches.</t>
  </si>
  <si>
    <t>Reserved</t>
  </si>
  <si>
    <t>Blocked / Reserved</t>
  </si>
  <si>
    <t>Customer Reserve</t>
  </si>
  <si>
    <t>Allocated</t>
  </si>
  <si>
    <t>Committed inventory not freely available.</t>
  </si>
  <si>
    <t>Quality Hold</t>
  </si>
  <si>
    <t>Quality Inspection</t>
  </si>
  <si>
    <t>Damaged Qty</t>
  </si>
  <si>
    <t>Hold Qty</t>
  </si>
  <si>
    <t>Not orderable. Finance may still carry value subject to reserve policy.</t>
  </si>
  <si>
    <t>Unit of Measure</t>
  </si>
  <si>
    <t>Base UoM</t>
  </si>
  <si>
    <t>Selling UOM</t>
  </si>
  <si>
    <t>Qty UOM</t>
  </si>
  <si>
    <t>Order UOM</t>
  </si>
  <si>
    <t>Convert to EA with Item Master units-per-case.</t>
  </si>
  <si>
    <t>Unit Cost</t>
  </si>
  <si>
    <t>MAP</t>
  </si>
  <si>
    <t>Retail Cost</t>
  </si>
  <si>
    <t>Declared Cost</t>
  </si>
  <si>
    <t>PO Unit Price</t>
  </si>
  <si>
    <t>Convert local currency using the reporting-date FX table.</t>
  </si>
  <si>
    <t>As-of Date</t>
  </si>
  <si>
    <t>Snapshot Date</t>
  </si>
  <si>
    <t>Stocktake Date</t>
  </si>
  <si>
    <t>As Of</t>
  </si>
  <si>
    <t>Expected Receipt</t>
  </si>
  <si>
    <t>Dates can be timestamps, local dates, or text exports.</t>
  </si>
  <si>
    <t>Currency</t>
  </si>
  <si>
    <t>Company Code Currency</t>
  </si>
  <si>
    <t>Currency Code</t>
  </si>
  <si>
    <t>Curr</t>
  </si>
  <si>
    <t>PO Currency</t>
  </si>
  <si>
    <t>All consolidated values reported in USD.</t>
  </si>
  <si>
    <t>Global Item Master</t>
  </si>
  <si>
    <t>Finance-controlled canonical SKU mapping and costing attributes. Alias values are pipe-delimited to mimic master-data extracts.</t>
  </si>
  <si>
    <t>Canonical SKU</t>
  </si>
  <si>
    <t>Product Description</t>
  </si>
  <si>
    <t>Stocking UOM</t>
  </si>
  <si>
    <t>Units per Case</t>
  </si>
  <si>
    <t>Std Cost USD</t>
  </si>
  <si>
    <t>List Price USD</t>
  </si>
  <si>
    <t>Velocity Class</t>
  </si>
  <si>
    <t>Monthly Obsolescence Rate</t>
  </si>
  <si>
    <t>Known Source Aliases</t>
  </si>
  <si>
    <t>Lifecycle Status</t>
  </si>
  <si>
    <t>NX-1001</t>
  </si>
  <si>
    <t>Nova X1 Smartphone 128GB</t>
  </si>
  <si>
    <t>EA</t>
  </si>
  <si>
    <t>A</t>
  </si>
  <si>
    <t>NX1-128|1001-NX</t>
  </si>
  <si>
    <t>Active</t>
  </si>
  <si>
    <t>NX-1002</t>
  </si>
  <si>
    <t>Nova X1 Smartphone 256GB</t>
  </si>
  <si>
    <t>NX1-256|1002-NX</t>
  </si>
  <si>
    <t>TB-2100</t>
  </si>
  <si>
    <t>Atlas 11-inch Tablet</t>
  </si>
  <si>
    <t>ATLAS11|2100-TB</t>
  </si>
  <si>
    <t>LT-3300</t>
  </si>
  <si>
    <t>Pioneer 14 Pro Laptop</t>
  </si>
  <si>
    <t>PNR14|3300-LT</t>
  </si>
  <si>
    <t>AU-4100</t>
  </si>
  <si>
    <t>Orbit ANC Headphones</t>
  </si>
  <si>
    <t>ORBIT-ANC|4100-AU</t>
  </si>
  <si>
    <t>AU-4200</t>
  </si>
  <si>
    <t>Pulse Wireless Earbuds</t>
  </si>
  <si>
    <t>PULSE-BUDS|4200-AU</t>
  </si>
  <si>
    <t>HM-5100</t>
  </si>
  <si>
    <t>Halo Smart Speaker</t>
  </si>
  <si>
    <t>B</t>
  </si>
  <si>
    <t>HALO-SPK|5100-HM</t>
  </si>
  <si>
    <t>Phase Out</t>
  </si>
  <si>
    <t>HM-5200</t>
  </si>
  <si>
    <t>Sentinel Video Doorbell</t>
  </si>
  <si>
    <t>SENT-DB|5200-HM</t>
  </si>
  <si>
    <t>AC-6100</t>
  </si>
  <si>
    <t>65W USB-C Power Adapter</t>
  </si>
  <si>
    <t>CS</t>
  </si>
  <si>
    <t>USB65W|6100-AC</t>
  </si>
  <si>
    <t>AC-6200</t>
  </si>
  <si>
    <t>Braided USB-C Cable 2m</t>
  </si>
  <si>
    <t>CBL2M|6200-AC</t>
  </si>
  <si>
    <t>End of Life</t>
  </si>
  <si>
    <t>GM-7100</t>
  </si>
  <si>
    <t>Vector Mechanical Keyboard</t>
  </si>
  <si>
    <t>VECTOR-KB|7100-GM</t>
  </si>
  <si>
    <t>GM-7200</t>
  </si>
  <si>
    <t>Photon Gaming Mouse</t>
  </si>
  <si>
    <t>PHOTON-MSE|7200-GM</t>
  </si>
  <si>
    <t>SAP S/4HANA Distribution Center Snapshot</t>
  </si>
  <si>
    <t>Raw MB52-style extract. Note SAP-specific headers, storage locations, blocked stock, and a repeated material/location batch.</t>
  </si>
  <si>
    <t>Plant</t>
  </si>
  <si>
    <t>SLoc</t>
  </si>
  <si>
    <t>Batch</t>
  </si>
  <si>
    <t>Stock Type</t>
  </si>
  <si>
    <t>Canonical SKU Helper</t>
  </si>
  <si>
    <t>Normalized Location</t>
  </si>
  <si>
    <t>Base Units Helper</t>
  </si>
  <si>
    <t>Extended Value USD Helper</t>
  </si>
  <si>
    <t>US01</t>
  </si>
  <si>
    <t>0002-QI</t>
  </si>
  <si>
    <t>B260700</t>
  </si>
  <si>
    <t>QI</t>
  </si>
  <si>
    <t>US01-0002-QI</t>
  </si>
  <si>
    <t>US02</t>
  </si>
  <si>
    <t>0001</t>
  </si>
  <si>
    <t>B260701</t>
  </si>
  <si>
    <t>UNRESTRICTED</t>
  </si>
  <si>
    <t>US02-0001</t>
  </si>
  <si>
    <t>CA01</t>
  </si>
  <si>
    <t>CAD</t>
  </si>
  <si>
    <t>B260702</t>
  </si>
  <si>
    <t>CA01-0001</t>
  </si>
  <si>
    <t>B260703</t>
  </si>
  <si>
    <t>US01-0001</t>
  </si>
  <si>
    <t>B260704</t>
  </si>
  <si>
    <t>US02-0002-QI</t>
  </si>
  <si>
    <t>B260705</t>
  </si>
  <si>
    <t>B260706</t>
  </si>
  <si>
    <t>B260707</t>
  </si>
  <si>
    <t>B260708</t>
  </si>
  <si>
    <t>CA01-0002-QI</t>
  </si>
  <si>
    <t>B260709</t>
  </si>
  <si>
    <t>B260710</t>
  </si>
  <si>
    <t>B260711</t>
  </si>
  <si>
    <t>B260799</t>
  </si>
  <si>
    <t>Oracle Retail Store Inventory</t>
  </si>
  <si>
    <t>Store-level stock export with different aliases, stale count dates, local currency, damaged units, and one missing cost.</t>
  </si>
  <si>
    <t>Item Description</t>
  </si>
  <si>
    <t>Posting Status</t>
  </si>
  <si>
    <t>NYC-005</t>
  </si>
  <si>
    <t>NX1-128</t>
  </si>
  <si>
    <t>CYCLE COUNT PENDING</t>
  </si>
  <si>
    <t>CHI-014</t>
  </si>
  <si>
    <t>POSTED</t>
  </si>
  <si>
    <t>DAL-022</t>
  </si>
  <si>
    <t>TOR-031</t>
  </si>
  <si>
    <t>PNR14</t>
  </si>
  <si>
    <t>HALO-SPK</t>
  </si>
  <si>
    <t>CBL2M</t>
  </si>
  <si>
    <t>NorthStar 3PL Warehouse Feed</t>
  </si>
  <si>
    <t>Partner WMS feed with yet another header vocabulary, text timestamps, case quantities, allocations, and an unmapped vendor SKU.</t>
  </si>
  <si>
    <t>Inventory Status</t>
  </si>
  <si>
    <t>NJ-3PL</t>
  </si>
  <si>
    <t>2026/07/31 23:00 ET</t>
  </si>
  <si>
    <t>AVAILABLE</t>
  </si>
  <si>
    <t>1002-NX</t>
  </si>
  <si>
    <t>3300-LT</t>
  </si>
  <si>
    <t>4200-AU</t>
  </si>
  <si>
    <t>5200-HM</t>
  </si>
  <si>
    <t>2026/07/29 23:00 ET</t>
  </si>
  <si>
    <t>6200-AC</t>
  </si>
  <si>
    <t>CLIENT HOLD</t>
  </si>
  <si>
    <t>7200-GM</t>
  </si>
  <si>
    <t>VEND-UNKNOWN-88</t>
  </si>
  <si>
    <t>UNMAPPED</t>
  </si>
  <si>
    <t>Open Purchase Orders</t>
  </si>
  <si>
    <t>Procurement tracker. Quantities may be cases or eaches; PO currency and expected receipt dates affect cash and availability.</t>
  </si>
  <si>
    <t>PO Number</t>
  </si>
  <si>
    <t>Vendor</t>
  </si>
  <si>
    <t>Description</t>
  </si>
  <si>
    <t>Order Qty</t>
  </si>
  <si>
    <t>PO Status</t>
  </si>
  <si>
    <t>Open Commitment USD Helper</t>
  </si>
  <si>
    <t>45820100</t>
  </si>
  <si>
    <t>EuroTech GmbH</t>
  </si>
  <si>
    <t>EUR</t>
  </si>
  <si>
    <t>Open</t>
  </si>
  <si>
    <t>45820101</t>
  </si>
  <si>
    <t>Pacific Components Ltd</t>
  </si>
  <si>
    <t>45820102</t>
  </si>
  <si>
    <t>45820103</t>
  </si>
  <si>
    <t>45820104</t>
  </si>
  <si>
    <t>45820105</t>
  </si>
  <si>
    <t>45820106</t>
  </si>
  <si>
    <t>45820107</t>
  </si>
  <si>
    <t>Past Due</t>
  </si>
  <si>
    <t>45820108</t>
  </si>
  <si>
    <t>45820109</t>
  </si>
  <si>
    <t>Intercompany &amp; Interlocation Transfers</t>
  </si>
  <si>
    <t>Goods shipped but not yet received. Ownership may remain with the shipping entity depending on incoterms.</t>
  </si>
  <si>
    <t>Transfer ID</t>
  </si>
  <si>
    <t>Product Code</t>
  </si>
  <si>
    <t>From Site</t>
  </si>
  <si>
    <t>Destination</t>
  </si>
  <si>
    <t>Ship Quantity</t>
  </si>
  <si>
    <t>UOM</t>
  </si>
  <si>
    <t>Shipped Date</t>
  </si>
  <si>
    <t>Expected Arrival</t>
  </si>
  <si>
    <t>Movement Status</t>
  </si>
  <si>
    <t>Value USD Helper</t>
  </si>
  <si>
    <t>TR-260731</t>
  </si>
  <si>
    <t>In Transit</t>
  </si>
  <si>
    <t>TR-260732</t>
  </si>
  <si>
    <t>TR-260733</t>
  </si>
  <si>
    <t>TR-260734</t>
  </si>
  <si>
    <t>Customs Hold</t>
  </si>
  <si>
    <t>TR-260735</t>
  </si>
  <si>
    <t>TR-260736</t>
  </si>
  <si>
    <t>TR-260737</t>
  </si>
  <si>
    <t>Delayed</t>
  </si>
  <si>
    <t>TR-260738</t>
  </si>
  <si>
    <t>Trailing 12-Month Sales &amp; Returns</t>
  </si>
  <si>
    <t>Monthly demand history by channel. Returns are negative and holidays/promotions create seasonality; this is suitable for forecasting tests.</t>
  </si>
  <si>
    <t>Fiscal Month End</t>
  </si>
  <si>
    <t>SKU / Style</t>
  </si>
  <si>
    <t>Sales Channel</t>
  </si>
  <si>
    <t>Gross Units</t>
  </si>
  <si>
    <t>Returns Units</t>
  </si>
  <si>
    <t>Avg Net Price USD</t>
  </si>
  <si>
    <t>Net Demand Units Helper</t>
  </si>
  <si>
    <t>DTC</t>
  </si>
  <si>
    <t>Retail</t>
  </si>
  <si>
    <t>Wholesale</t>
  </si>
  <si>
    <t>Reporting-Date FX Rates</t>
  </si>
  <si>
    <t>USD per one unit of source currency, approved for the 2026-07-31 close.</t>
  </si>
  <si>
    <t>USD per LC</t>
  </si>
  <si>
    <t>Rate Date</t>
  </si>
  <si>
    <t>Rate Type</t>
  </si>
  <si>
    <t>Owner</t>
  </si>
  <si>
    <t>Identity</t>
  </si>
  <si>
    <t>Treasury</t>
  </si>
  <si>
    <t>Month-end spot</t>
  </si>
  <si>
    <t>GBP</t>
  </si>
  <si>
    <t>Consolidated Inventory Position</t>
  </si>
  <si>
    <t>Canonical SKU view in base units and USD. Formula-driven from the heterogeneous source tabs; does not include unmapped rows.</t>
  </si>
  <si>
    <t>SAP Base Units</t>
  </si>
  <si>
    <t>Oracle Base Units</t>
  </si>
  <si>
    <t>3PL Base Units</t>
  </si>
  <si>
    <t>Gross On Hand</t>
  </si>
  <si>
    <t>Restricted / Damaged</t>
  </si>
  <si>
    <t>Net Available</t>
  </si>
  <si>
    <t>Open PO Units</t>
  </si>
  <si>
    <t>TTM Net Demand</t>
  </si>
  <si>
    <t>Avg Monthly Demand</t>
  </si>
  <si>
    <t>Lifecycle</t>
  </si>
  <si>
    <t>Data Quality Flag</t>
  </si>
  <si>
    <t>Inventory Obsolescence Reserve</t>
  </si>
  <si>
    <t>Finance policy: reserve rate depends on lifecycle and months of supply. Calculations reference the consolidated position.</t>
  </si>
  <si>
    <t>Base Reserve %</t>
  </si>
  <si>
    <t>Lifecycle Add-on %</t>
  </si>
  <si>
    <t>Total Reserve %</t>
  </si>
  <si>
    <t>Net Inventory USD</t>
  </si>
  <si>
    <t>TOTAL</t>
  </si>
  <si>
    <t>Reconciliation &amp; Data Quality Checks</t>
  </si>
  <si>
    <t>PASS means the calculation is internally consistent; WARN identifies intentional training exceptions requiring investigation.</t>
  </si>
  <si>
    <t>Check</t>
  </si>
  <si>
    <t>Actual</t>
  </si>
  <si>
    <t>Expected</t>
  </si>
  <si>
    <t>Difference</t>
  </si>
  <si>
    <t>Tolerance</t>
  </si>
  <si>
    <t>Status</t>
  </si>
  <si>
    <t>Where to Fix / Interpretation</t>
  </si>
  <si>
    <t>Consolidated gross units tie to source helper totals</t>
  </si>
  <si>
    <t>Consolidated; excludes intentionally unmapped 3PL row</t>
  </si>
  <si>
    <t>Unmapped 3PL SKU quantity</t>
  </si>
  <si>
    <t>3PL Warehouse Feed row 17 / Item Master</t>
  </si>
  <si>
    <t>Missing Oracle unit cost rows</t>
  </si>
  <si>
    <t>Oracle Store Inv Retail Cost</t>
  </si>
  <si>
    <t>Stale Oracle count rows before close date</t>
  </si>
  <si>
    <t>Oracle Store Inv Stocktake Date</t>
  </si>
  <si>
    <t>SAP repeated material/location indicator</t>
  </si>
  <si>
    <t>SAP DC Stock — verify batch/detail granularity</t>
  </si>
  <si>
    <t>Reserve roll-forward arithmetic</t>
  </si>
  <si>
    <t>Reserve Analysis totals</t>
  </si>
  <si>
    <t>Open PO base units positive</t>
  </si>
  <si>
    <t>Open POs quantity/UOM</t>
  </si>
  <si>
    <t>Sales history contains return activity</t>
  </si>
  <si>
    <t>Valid negative returns; do not reject automatically</t>
  </si>
  <si>
    <t>MODEL STATUS</t>
  </si>
  <si>
    <t>Source &amp; Refresh Log</t>
  </si>
  <si>
    <t>Synthetic source documentation for auditability. URLs intentionally identify example system categories rather than real company data.</t>
  </si>
  <si>
    <t>Source ID</t>
  </si>
  <si>
    <t>Source System</t>
  </si>
  <si>
    <t>Report / Extract</t>
  </si>
  <si>
    <t>As-of</t>
  </si>
  <si>
    <t>Refresh Frequency</t>
  </si>
  <si>
    <t>Primary Keys</t>
  </si>
  <si>
    <t>Known Limitations</t>
  </si>
  <si>
    <t>Reference</t>
  </si>
  <si>
    <t>SRC-01</t>
  </si>
  <si>
    <t>SAP S/4HANA</t>
  </si>
  <si>
    <t>MB52 Inventory by Plant/SLoc</t>
  </si>
  <si>
    <t>Daily</t>
  </si>
  <si>
    <t>Supply Chain Finance</t>
  </si>
  <si>
    <t>Material + Plant + SLoc + Batch</t>
  </si>
  <si>
    <t>Repeated material/location lines may be legitimate batches</t>
  </si>
  <si>
    <t>https://www.sap.com/products/erp/s4hana.html</t>
  </si>
  <si>
    <t>SRC-02</t>
  </si>
  <si>
    <t>Oracle Retail</t>
  </si>
  <si>
    <t>Store Inventory Snapshot</t>
  </si>
  <si>
    <t>Retail Accounting</t>
  </si>
  <si>
    <t>Org + Item</t>
  </si>
  <si>
    <t>Some stores close late; costs can be blank during item setup</t>
  </si>
  <si>
    <t>https://www.oracle.com/industries/retail/</t>
  </si>
  <si>
    <t>SRC-03</t>
  </si>
  <si>
    <t>NorthStar 3PL WMS</t>
  </si>
  <si>
    <t>Client Inventory Feed</t>
  </si>
  <si>
    <t>Hourly</t>
  </si>
  <si>
    <t>Logistics Operations</t>
  </si>
  <si>
    <t>Facility + Client Item + Status</t>
  </si>
  <si>
    <t>Partner aliases and text timestamps require mapping</t>
  </si>
  <si>
    <t>Synthetic partner feed</t>
  </si>
  <si>
    <t>SRC-04</t>
  </si>
  <si>
    <t>Procurement Tracker</t>
  </si>
  <si>
    <t>Open PO Schedule</t>
  </si>
  <si>
    <t>Weekly</t>
  </si>
  <si>
    <t>Procurement Finance</t>
  </si>
  <si>
    <t>PO + Line</t>
  </si>
  <si>
    <t>Expected dates change; status is manually maintained</t>
  </si>
  <si>
    <t>Synthetic procurement extract</t>
  </si>
  <si>
    <t>SRC-05</t>
  </si>
  <si>
    <t>Month-end FX rates</t>
  </si>
  <si>
    <t>Monthly</t>
  </si>
  <si>
    <t>Currency + Rate Date</t>
  </si>
  <si>
    <t>Rates are fictional for training</t>
  </si>
  <si>
    <t>Synthetic close-rate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</si>
</sst>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&quot;$&quot;#,##0.00"/>
    <numFmt numFmtId="166" formatCode="0.0%"/>
    <numFmt numFmtId="167" formatCode="0.000"/>
    <numFmt numFmtId="168" formatCode="&quot;$&quot;#,##0"/>
    <numFmt numFmtId="169" formatCode="mmm\ yyyy"/>
    <numFmt numFmtId="170" formatCode="0.0\x"/>
  </numFmts>
  <fonts count="5">
    <font>
      <sz val="11"/>
      <name val="Carlito"/>
    </font>
    <font>
      <b/>
      <sz val="18"/>
      <color rgb="FFFFFFFF"/>
      <name val="Carlito"/>
    </font>
    <font>
      <i/>
      <sz val="11"/>
      <color rgb="FF44546A"/>
      <name val="Carlito"/>
    </font>
    <font>
      <b/>
      <sz val="11"/>
      <color rgb="FFFFFFFF"/>
      <name val="Carlito"/>
    </font>
    <font>
      <b/>
      <sz val="14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2263A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8FBFD"/>
      </patternFill>
    </fill>
    <fill>
      <patternFill patternType="solid">
        <fgColor rgb="FF0F766E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/>
      <bottom style="double">
        <color rgb="FF12263A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5" borderId="1" xfId="0" applyFill="1" applyBorder="1" applyAlignment="1">
      <alignment vertical="center" wrapText="1"/>
    </xf>
    <xf numFmtId="164" fontId="0" fillId="5" borderId="1" xfId="0" applyNumberFormat="1" applyFill="1" applyBorder="1" applyAlignment="1">
      <alignment vertical="center" wrapText="1"/>
    </xf>
    <xf numFmtId="0" fontId="0" fillId="0" borderId="0" xfId="0" applyAlignment="1">
      <alignment vertical="center" wrapText="1"/>
    </xf>
    <xf numFmtId="168" fontId="0" fillId="0" borderId="0" xfId="0" applyNumberFormat="1" applyAlignment="1">
      <alignment vertical="center"/>
    </xf>
    <xf numFmtId="170" fontId="0" fillId="0" borderId="0" xfId="0" applyNumberFormat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7" borderId="0" xfId="0" applyFill="1" applyAlignment="1">
      <alignment vertical="center"/>
    </xf>
    <xf numFmtId="168" fontId="0" fillId="7" borderId="0" xfId="0" applyNumberFormat="1" applyFill="1" applyAlignment="1">
      <alignment vertical="center"/>
    </xf>
    <xf numFmtId="169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70" fontId="0" fillId="7" borderId="0" xfId="0" applyNumberFormat="1" applyFill="1" applyAlignment="1">
      <alignment vertical="center"/>
    </xf>
    <xf numFmtId="9" fontId="0" fillId="0" borderId="0" xfId="0" applyNumberFormat="1" applyAlignment="1">
      <alignment vertical="center"/>
    </xf>
    <xf numFmtId="0" fontId="3" fillId="2" borderId="11" xfId="0" applyFont="1" applyFill="1" applyBorder="1" applyAlignment="1">
      <alignment vertical="center"/>
    </xf>
    <xf numFmtId="168" fontId="3" fillId="2" borderId="11" xfId="0" applyNumberFormat="1" applyFont="1" applyFill="1" applyBorder="1" applyAlignment="1">
      <alignment vertical="center"/>
    </xf>
    <xf numFmtId="0" fontId="3" fillId="2" borderId="0" xfId="0" applyFont="1" applyFill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168" fontId="4" fillId="7" borderId="0" xfId="0" applyNumberFormat="1" applyFont="1" applyFill="1" applyAlignment="1">
      <alignment horizontal="right" vertical="center"/>
    </xf>
    <xf numFmtId="0" fontId="4" fillId="7" borderId="0" xfId="0" applyFont="1" applyFill="1" applyAlignment="1">
      <alignment horizontal="right" vertical="center"/>
    </xf>
    <xf numFmtId="3" fontId="4" fillId="8" borderId="0" xfId="0" applyNumberFormat="1" applyFont="1" applyFill="1" applyAlignment="1">
      <alignment horizontal="right" vertical="center"/>
    </xf>
    <xf numFmtId="0" fontId="4" fillId="8" borderId="0" xfId="0" applyFont="1" applyFill="1" applyAlignment="1">
      <alignment horizontal="right" vertical="center"/>
    </xf>
    <xf numFmtId="3" fontId="4" fillId="7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3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00610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Inventory Value by Category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Gross Value USD</c:v>
          </c:tx>
          <c:invertIfNegative val="1"/>
          <c:cat>
            <c:strRef>
              <c:f>'Executive Summary'!$A$13:$A$18</c:f>
              <c:strCache>
                <c:ptCount val="6"/>
                <c:pt idx="0">
                  <c:v>Mobile</c:v>
                </c:pt>
                <c:pt idx="1">
                  <c:v>Computing</c:v>
                </c:pt>
                <c:pt idx="2">
                  <c:v>Audio</c:v>
                </c:pt>
                <c:pt idx="3">
                  <c:v>Smart Home</c:v>
                </c:pt>
                <c:pt idx="4">
                  <c:v>Accessories</c:v>
                </c:pt>
                <c:pt idx="5">
                  <c:v>Gaming</c:v>
                </c:pt>
              </c:strCache>
            </c:strRef>
          </c:cat>
          <c:val>
            <c:numRef>
              <c:f>'Executive Summary'!$B$13:$B$18</c:f>
              <c:numCache>
                <c:formatCode>"$"#,##0</c:formatCode>
                <c:ptCount val="6"/>
                <c:pt idx="0">
                  <c:v>203754</c:v>
                </c:pt>
                <c:pt idx="1">
                  <c:v>372955</c:v>
                </c:pt>
                <c:pt idx="2">
                  <c:v>57562</c:v>
                </c:pt>
                <c:pt idx="3">
                  <c:v>74216</c:v>
                </c:pt>
                <c:pt idx="4">
                  <c:v>98725.200000000012</c:v>
                </c:pt>
                <c:pt idx="5">
                  <c:v>55920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8-624E-BDC3-539BDDCA1396}"/>
            </c:ext>
          </c:extLst>
        </c:ser>
        <c:ser>
          <c:idx val="1"/>
          <c:order val="1"/>
          <c:tx>
            <c:v>Reserve USD</c:v>
          </c:tx>
          <c:invertIfNegative val="1"/>
          <c:cat>
            <c:strRef>
              <c:f>'Executive Summary'!$A$13:$A$18</c:f>
              <c:strCache>
                <c:ptCount val="6"/>
                <c:pt idx="0">
                  <c:v>Mobile</c:v>
                </c:pt>
                <c:pt idx="1">
                  <c:v>Computing</c:v>
                </c:pt>
                <c:pt idx="2">
                  <c:v>Audio</c:v>
                </c:pt>
                <c:pt idx="3">
                  <c:v>Smart Home</c:v>
                </c:pt>
                <c:pt idx="4">
                  <c:v>Accessories</c:v>
                </c:pt>
                <c:pt idx="5">
                  <c:v>Gaming</c:v>
                </c:pt>
              </c:strCache>
            </c:strRef>
          </c:cat>
          <c:val>
            <c:numRef>
              <c:f>'Executive Summary'!$C$13:$C$18</c:f>
              <c:numCache>
                <c:formatCode>"$"#,##0</c:formatCode>
                <c:ptCount val="6"/>
                <c:pt idx="0">
                  <c:v>35755.050000000003</c:v>
                </c:pt>
                <c:pt idx="1">
                  <c:v>37295.5</c:v>
                </c:pt>
                <c:pt idx="2">
                  <c:v>5756.2000000000007</c:v>
                </c:pt>
                <c:pt idx="3">
                  <c:v>10448.300000000001</c:v>
                </c:pt>
                <c:pt idx="4">
                  <c:v>81894.540000000008</c:v>
                </c:pt>
                <c:pt idx="5">
                  <c:v>13980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38-624E-BDC3-539BDDCA1396}"/>
            </c:ext>
          </c:extLst>
        </c:ser>
        <c:ser>
          <c:idx val="2"/>
          <c:order val="2"/>
          <c:tx>
            <c:v>Net Value USD</c:v>
          </c:tx>
          <c:invertIfNegative val="1"/>
          <c:cat>
            <c:strRef>
              <c:f>'Executive Summary'!$A$13:$A$18</c:f>
              <c:strCache>
                <c:ptCount val="6"/>
                <c:pt idx="0">
                  <c:v>Mobile</c:v>
                </c:pt>
                <c:pt idx="1">
                  <c:v>Computing</c:v>
                </c:pt>
                <c:pt idx="2">
                  <c:v>Audio</c:v>
                </c:pt>
                <c:pt idx="3">
                  <c:v>Smart Home</c:v>
                </c:pt>
                <c:pt idx="4">
                  <c:v>Accessories</c:v>
                </c:pt>
                <c:pt idx="5">
                  <c:v>Gaming</c:v>
                </c:pt>
              </c:strCache>
            </c:strRef>
          </c:cat>
          <c:val>
            <c:numRef>
              <c:f>'Executive Summary'!$D$13:$D$18</c:f>
              <c:numCache>
                <c:formatCode>"$"#,##0</c:formatCode>
                <c:ptCount val="6"/>
                <c:pt idx="0">
                  <c:v>167998.95</c:v>
                </c:pt>
                <c:pt idx="1">
                  <c:v>335659.5</c:v>
                </c:pt>
                <c:pt idx="2">
                  <c:v>51805.8</c:v>
                </c:pt>
                <c:pt idx="3">
                  <c:v>63767.7</c:v>
                </c:pt>
                <c:pt idx="4">
                  <c:v>16830.660000000003</c:v>
                </c:pt>
                <c:pt idx="5">
                  <c:v>41940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38-624E-BDC3-539BDDCA1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$&quot;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889000</xdr:colOff>
      <xdr:row>67</xdr:row>
      <xdr:rowOff>127000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75125D86-1F8B-AC4E-9BDD-CD8EE15F2AB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889000</xdr:colOff>
      <xdr:row>67</xdr:row>
      <xdr:rowOff>127000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F5BB2A5D-0B29-B4DB-7FF5-98A36AF7A1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2489200</xdr:colOff>
      <xdr:row>65</xdr:row>
      <xdr:rowOff>165100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36E38801-6249-8361-EC89-CB25903565B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2489200</xdr:colOff>
      <xdr:row>65</xdr:row>
      <xdr:rowOff>165100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A9DA163-8BDC-31DF-A697-DB3D259203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3B6DC003-9D7F-4019-9B6A-948D4455F1E4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eaderDictionaryTable" displayName="HeaderDictionaryTable" ref="A4:F13" totalsRowShown="0">
  <autoFilter ref="A4:F13" xr:uid="{00000000-0009-0000-0100-000001000000}"/>
  <tableColumns count="6">
    <tableColumn id="1" xr3:uid="{00000000-0010-0000-0000-000001000000}" name="Canonical Field"/>
    <tableColumn id="2" xr3:uid="{00000000-0010-0000-0000-000002000000}" name="SAP Alias"/>
    <tableColumn id="3" xr3:uid="{00000000-0010-0000-0000-000003000000}" name="Oracle Alias"/>
    <tableColumn id="4" xr3:uid="{00000000-0010-0000-0000-000004000000}" name="3PL Alias"/>
    <tableColumn id="5" xr3:uid="{00000000-0010-0000-0000-000005000000}" name="PO / Transfer Alias"/>
    <tableColumn id="6" xr3:uid="{00000000-0010-0000-0000-000006000000}" name="Meaning / Ru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temMasterTable" displayName="ItemMasterTable" ref="A4:K16" totalsRowShown="0">
  <autoFilter ref="A4:K16" xr:uid="{00000000-0009-0000-0100-000002000000}"/>
  <tableColumns count="11">
    <tableColumn id="1" xr3:uid="{00000000-0010-0000-0100-000001000000}" name="Canonical SKU"/>
    <tableColumn id="2" xr3:uid="{00000000-0010-0000-0100-000002000000}" name="Product Description"/>
    <tableColumn id="3" xr3:uid="{00000000-0010-0000-0100-000003000000}" name="Category"/>
    <tableColumn id="4" xr3:uid="{00000000-0010-0000-0100-000004000000}" name="Stocking UOM"/>
    <tableColumn id="5" xr3:uid="{00000000-0010-0000-0100-000005000000}" name="Units per Case"/>
    <tableColumn id="6" xr3:uid="{00000000-0010-0000-0100-000006000000}" name="Std Cost USD"/>
    <tableColumn id="7" xr3:uid="{00000000-0010-0000-0100-000007000000}" name="List Price USD"/>
    <tableColumn id="8" xr3:uid="{00000000-0010-0000-0100-000008000000}" name="Velocity Class"/>
    <tableColumn id="9" xr3:uid="{00000000-0010-0000-0100-000009000000}" name="Monthly Obsolescence Rate"/>
    <tableColumn id="10" xr3:uid="{00000000-0010-0000-0100-00000A000000}" name="Known Source Aliases"/>
    <tableColumn id="11" xr3:uid="{00000000-0010-0000-0100-00000B000000}" name="Lifecycle Statu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apDcStockTable" displayName="SapDcStockTable" ref="A4:O17" totalsRowShown="0">
  <autoFilter ref="A4:O17" xr:uid="{00000000-0009-0000-0100-000004000000}"/>
  <tableColumns count="15">
    <tableColumn id="1" xr3:uid="{00000000-0010-0000-0200-000001000000}" name="Material"/>
    <tableColumn id="2" xr3:uid="{00000000-0010-0000-0200-000002000000}" name="Plant"/>
    <tableColumn id="3" xr3:uid="{00000000-0010-0000-0200-000003000000}" name="SLoc"/>
    <tableColumn id="4" xr3:uid="{00000000-0010-0000-0200-000004000000}" name="Unrestricted Qty"/>
    <tableColumn id="5" xr3:uid="{00000000-0010-0000-0200-000005000000}" name="Blocked / Reserved"/>
    <tableColumn id="6" xr3:uid="{00000000-0010-0000-0200-000006000000}" name="Base UoM"/>
    <tableColumn id="7" xr3:uid="{00000000-0010-0000-0200-000007000000}" name="MAP"/>
    <tableColumn id="8" xr3:uid="{00000000-0010-0000-0200-000008000000}" name="Company Code Currency"/>
    <tableColumn id="9" xr3:uid="{00000000-0010-0000-0200-000009000000}" name="Snapshot Date"/>
    <tableColumn id="10" xr3:uid="{00000000-0010-0000-0200-00000A000000}" name="Batch"/>
    <tableColumn id="11" xr3:uid="{00000000-0010-0000-0200-00000B000000}" name="Stock Type"/>
    <tableColumn id="12" xr3:uid="{00000000-0010-0000-0200-00000C000000}" name="Canonical SKU Helper"/>
    <tableColumn id="13" xr3:uid="{00000000-0010-0000-0200-00000D000000}" name="Normalized Location"/>
    <tableColumn id="14" xr3:uid="{00000000-0010-0000-0200-00000E000000}" name="Base Units Helper"/>
    <tableColumn id="15" xr3:uid="{00000000-0010-0000-0200-00000F000000}" name="Extended Value USD Help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OracleStoreTable" displayName="OracleStoreTable" ref="A4:O28" totalsRowShown="0">
  <autoFilter ref="A4:O28" xr:uid="{00000000-0009-0000-0100-000005000000}"/>
  <tableColumns count="15">
    <tableColumn id="1" xr3:uid="{00000000-0010-0000-0300-000001000000}" name="Org / Store"/>
    <tableColumn id="2" xr3:uid="{00000000-0010-0000-0300-000002000000}" name="Item Number"/>
    <tableColumn id="3" xr3:uid="{00000000-0010-0000-0300-000003000000}" name="Item Description"/>
    <tableColumn id="4" xr3:uid="{00000000-0010-0000-0300-000004000000}" name="SOH Qty"/>
    <tableColumn id="5" xr3:uid="{00000000-0010-0000-0300-000005000000}" name="Customer Reserve"/>
    <tableColumn id="6" xr3:uid="{00000000-0010-0000-0300-000006000000}" name="Damaged Qty"/>
    <tableColumn id="7" xr3:uid="{00000000-0010-0000-0300-000007000000}" name="Selling UOM"/>
    <tableColumn id="8" xr3:uid="{00000000-0010-0000-0300-000008000000}" name="Retail Cost"/>
    <tableColumn id="9" xr3:uid="{00000000-0010-0000-0300-000009000000}" name="Currency Code"/>
    <tableColumn id="10" xr3:uid="{00000000-0010-0000-0300-00000A000000}" name="Stocktake Date"/>
    <tableColumn id="11" xr3:uid="{00000000-0010-0000-0300-00000B000000}" name="Posting Status"/>
    <tableColumn id="12" xr3:uid="{00000000-0010-0000-0300-00000C000000}" name="Canonical SKU Helper"/>
    <tableColumn id="13" xr3:uid="{00000000-0010-0000-0300-00000D000000}" name="Normalized Location"/>
    <tableColumn id="14" xr3:uid="{00000000-0010-0000-0300-00000E000000}" name="Base Units Helper"/>
    <tableColumn id="15" xr3:uid="{00000000-0010-0000-0300-00000F000000}" name="Extended Value USD Helpe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hreePlFeedTable" displayName="ThreePlFeedTable" ref="A4:N17" totalsRowShown="0">
  <autoFilter ref="A4:N17" xr:uid="{00000000-0009-0000-0100-000006000000}"/>
  <tableColumns count="14">
    <tableColumn id="1" xr3:uid="{00000000-0010-0000-0400-000001000000}" name="Facility"/>
    <tableColumn id="2" xr3:uid="{00000000-0010-0000-0400-000002000000}" name="Client Item"/>
    <tableColumn id="3" xr3:uid="{00000000-0010-0000-0400-000003000000}" name="Available"/>
    <tableColumn id="4" xr3:uid="{00000000-0010-0000-0400-000004000000}" name="Allocated"/>
    <tableColumn id="5" xr3:uid="{00000000-0010-0000-0400-000005000000}" name="Hold Qty"/>
    <tableColumn id="6" xr3:uid="{00000000-0010-0000-0400-000006000000}" name="Qty UOM"/>
    <tableColumn id="7" xr3:uid="{00000000-0010-0000-0400-000007000000}" name="Declared Cost"/>
    <tableColumn id="8" xr3:uid="{00000000-0010-0000-0400-000008000000}" name="Curr"/>
    <tableColumn id="9" xr3:uid="{00000000-0010-0000-0400-000009000000}" name="As Of"/>
    <tableColumn id="10" xr3:uid="{00000000-0010-0000-0400-00000A000000}" name="Inventory Status"/>
    <tableColumn id="11" xr3:uid="{00000000-0010-0000-0400-00000B000000}" name="Canonical SKU Helper"/>
    <tableColumn id="12" xr3:uid="{00000000-0010-0000-0400-00000C000000}" name="Normalized Location"/>
    <tableColumn id="13" xr3:uid="{00000000-0010-0000-0400-00000D000000}" name="Base Units Helper"/>
    <tableColumn id="14" xr3:uid="{00000000-0010-0000-0400-00000E000000}" name="Extended Value USD Helper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OpenPoTable" displayName="OpenPoTable" ref="A4:N14" totalsRowShown="0">
  <autoFilter ref="A4:N14" xr:uid="{00000000-0009-0000-0100-000007000000}"/>
  <tableColumns count="14">
    <tableColumn id="1" xr3:uid="{00000000-0010-0000-0500-000001000000}" name="PO Number"/>
    <tableColumn id="2" xr3:uid="{00000000-0010-0000-0500-000002000000}" name="Vendor"/>
    <tableColumn id="3" xr3:uid="{00000000-0010-0000-0500-000003000000}" name="Item / Product Code"/>
    <tableColumn id="4" xr3:uid="{00000000-0010-0000-0500-000004000000}" name="Description"/>
    <tableColumn id="5" xr3:uid="{00000000-0010-0000-0500-000005000000}" name="Order Qty"/>
    <tableColumn id="6" xr3:uid="{00000000-0010-0000-0500-000006000000}" name="Order UOM"/>
    <tableColumn id="7" xr3:uid="{00000000-0010-0000-0500-000007000000}" name="PO Unit Price"/>
    <tableColumn id="8" xr3:uid="{00000000-0010-0000-0500-000008000000}" name="PO Currency"/>
    <tableColumn id="9" xr3:uid="{00000000-0010-0000-0500-000009000000}" name="Ship-To / Destination"/>
    <tableColumn id="10" xr3:uid="{00000000-0010-0000-0500-00000A000000}" name="Expected Receipt"/>
    <tableColumn id="11" xr3:uid="{00000000-0010-0000-0500-00000B000000}" name="PO Status"/>
    <tableColumn id="12" xr3:uid="{00000000-0010-0000-0500-00000C000000}" name="Canonical SKU Helper"/>
    <tableColumn id="13" xr3:uid="{00000000-0010-0000-0500-00000D000000}" name="Base Units Helper"/>
    <tableColumn id="14" xr3:uid="{00000000-0010-0000-0500-00000E000000}" name="Open Commitment USD Helper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ransitTable" displayName="TransitTable" ref="A4:L12" totalsRowShown="0">
  <autoFilter ref="A4:L12" xr:uid="{00000000-0009-0000-0100-000008000000}"/>
  <tableColumns count="12">
    <tableColumn id="1" xr3:uid="{00000000-0010-0000-0600-000001000000}" name="Transfer ID"/>
    <tableColumn id="2" xr3:uid="{00000000-0010-0000-0600-000002000000}" name="Product Code"/>
    <tableColumn id="3" xr3:uid="{00000000-0010-0000-0600-000003000000}" name="From Site"/>
    <tableColumn id="4" xr3:uid="{00000000-0010-0000-0600-000004000000}" name="Destination"/>
    <tableColumn id="5" xr3:uid="{00000000-0010-0000-0600-000005000000}" name="Ship Quantity"/>
    <tableColumn id="6" xr3:uid="{00000000-0010-0000-0600-000006000000}" name="UOM"/>
    <tableColumn id="7" xr3:uid="{00000000-0010-0000-0600-000007000000}" name="Shipped Date"/>
    <tableColumn id="8" xr3:uid="{00000000-0010-0000-0600-000008000000}" name="Expected Arrival"/>
    <tableColumn id="9" xr3:uid="{00000000-0010-0000-0600-000009000000}" name="Movement Status"/>
    <tableColumn id="10" xr3:uid="{00000000-0010-0000-0600-00000A000000}" name="Canonical SKU Helper"/>
    <tableColumn id="11" xr3:uid="{00000000-0010-0000-0600-00000B000000}" name="Base Units Helper"/>
    <tableColumn id="12" xr3:uid="{00000000-0010-0000-0600-00000C000000}" name="Value USD Helper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SalesHistoryTable" displayName="SalesHistoryTable" ref="A4:H148" totalsRowShown="0">
  <autoFilter ref="A4:H148" xr:uid="{00000000-0009-0000-0100-000009000000}"/>
  <tableColumns count="8">
    <tableColumn id="1" xr3:uid="{00000000-0010-0000-0700-000001000000}" name="Fiscal Month End"/>
    <tableColumn id="2" xr3:uid="{00000000-0010-0000-0700-000002000000}" name="SKU / Style"/>
    <tableColumn id="3" xr3:uid="{00000000-0010-0000-0700-000003000000}" name="Sales Channel"/>
    <tableColumn id="4" xr3:uid="{00000000-0010-0000-0700-000004000000}" name="Gross Units"/>
    <tableColumn id="5" xr3:uid="{00000000-0010-0000-0700-000005000000}" name="Returns Units"/>
    <tableColumn id="6" xr3:uid="{00000000-0010-0000-0700-000006000000}" name="Avg Net Price USD"/>
    <tableColumn id="7" xr3:uid="{00000000-0010-0000-0700-000007000000}" name="Canonical SKU Helper"/>
    <tableColumn id="8" xr3:uid="{00000000-0010-0000-0700-000008000000}" name="Net Demand Units Helper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8000000}" name="FxRatesTable" displayName="FxRatesTable" ref="A4:E8" totalsRowShown="0">
  <autoFilter ref="A4:E8" xr:uid="{00000000-0009-0000-0100-000003000000}"/>
  <tableColumns count="5">
    <tableColumn id="1" xr3:uid="{00000000-0010-0000-0800-000001000000}" name="Currency"/>
    <tableColumn id="2" xr3:uid="{00000000-0010-0000-0800-000002000000}" name="USD per LC"/>
    <tableColumn id="3" xr3:uid="{00000000-0010-0000-0800-000003000000}" name="Rate Date"/>
    <tableColumn id="4" xr3:uid="{00000000-0010-0000-0800-000004000000}" name="Rate Type"/>
    <tableColumn id="5" xr3:uid="{00000000-0010-0000-0800-000005000000}" name="Own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onsolidatedInventoryTable" displayName="ConsolidatedInventoryTable" ref="A4:R16" totalsRowShown="0">
  <autoFilter ref="A4:R16" xr:uid="{00000000-0009-0000-0100-00000A000000}"/>
  <tableColumns count="18">
    <tableColumn id="1" xr3:uid="{00000000-0010-0000-0900-000001000000}" name="Canonical SKU"/>
    <tableColumn id="2" xr3:uid="{00000000-0010-0000-0900-000002000000}" name="Product"/>
    <tableColumn id="3" xr3:uid="{00000000-0010-0000-0900-000003000000}" name="Category"/>
    <tableColumn id="4" xr3:uid="{00000000-0010-0000-0900-000004000000}" name="SAP Base Units"/>
    <tableColumn id="5" xr3:uid="{00000000-0010-0000-0900-000005000000}" name="Oracle Base Units"/>
    <tableColumn id="6" xr3:uid="{00000000-0010-0000-0900-000006000000}" name="3PL Base Units"/>
    <tableColumn id="7" xr3:uid="{00000000-0010-0000-0900-000007000000}" name="Gross On Hand"/>
    <tableColumn id="8" xr3:uid="{00000000-0010-0000-0900-000008000000}" name="Restricted / Damaged"/>
    <tableColumn id="9" xr3:uid="{00000000-0010-0000-0900-000009000000}" name="Net Available"/>
    <tableColumn id="10" xr3:uid="{00000000-0010-0000-0900-00000A000000}" name="In Transit"/>
    <tableColumn id="11" xr3:uid="{00000000-0010-0000-0900-00000B000000}" name="Open PO Units"/>
    <tableColumn id="12" xr3:uid="{00000000-0010-0000-0900-00000C000000}" name="TTM Net Demand"/>
    <tableColumn id="13" xr3:uid="{00000000-0010-0000-0900-00000D000000}" name="Avg Monthly Demand"/>
    <tableColumn id="14" xr3:uid="{00000000-0010-0000-0900-00000E000000}" name="Months Cover"/>
    <tableColumn id="15" xr3:uid="{00000000-0010-0000-0900-00000F000000}" name="Std Cost USD"/>
    <tableColumn id="16" xr3:uid="{00000000-0010-0000-0900-000010000000}" name="Gross Value USD"/>
    <tableColumn id="17" xr3:uid="{00000000-0010-0000-0900-000011000000}" name="Lifecycle"/>
    <tableColumn id="18" xr3:uid="{00000000-0010-0000-0900-000012000000}" name="Data Quality Fla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ourceLogTable" displayName="SourceLogTable" ref="A4:I9" totalsRowShown="0">
  <autoFilter ref="A4:I9" xr:uid="{00000000-0009-0000-0100-00000B000000}"/>
  <tableColumns count="9">
    <tableColumn id="1" xr3:uid="{00000000-0010-0000-0A00-000001000000}" name="Source ID"/>
    <tableColumn id="2" xr3:uid="{00000000-0010-0000-0A00-000002000000}" name="Source System"/>
    <tableColumn id="3" xr3:uid="{00000000-0010-0000-0A00-000003000000}" name="Report / Extract"/>
    <tableColumn id="4" xr3:uid="{00000000-0010-0000-0A00-000004000000}" name="As-of"/>
    <tableColumn id="5" xr3:uid="{00000000-0010-0000-0A00-000005000000}" name="Refresh Frequency"/>
    <tableColumn id="6" xr3:uid="{00000000-0010-0000-0A00-000006000000}" name="Owner"/>
    <tableColumn id="7" xr3:uid="{00000000-0010-0000-0A00-000007000000}" name="Primary Keys"/>
    <tableColumn id="8" xr3:uid="{00000000-0010-0000-0A00-000008000000}" name="Known Limitations"/>
    <tableColumn id="9" xr3:uid="{00000000-0010-0000-0A00-000009000000}" name="Referenc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5" dT="2026-08-07T18:23:37.07" personId="{3B6DC003-9D7F-4019-9B6A-948D4455F1E4}" id="{88A53124-8BEC-8DC5-CDAB-4201D295BF2F}">
    <text>Training exception: the repeated SAP material/location line may be a valid separate batch or a duplicate. The add-in should inspect keys before removing it.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6" dT="2026-08-07T18:23:37.08" personId="{3B6DC003-9D7F-4019-9B6A-948D4455F1E4}" id="{F8B3C603-3B57-90B2-CA8E-1F5515614654}">
    <text>WARN is intentional. Unmapped source records should be quarantined and reported, not silently discarded or forced into a guessed SKU.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3A9472-CDB4-8846-90BD-9DCDDC9F7D5B}">
  <we:reference id="cd2a98a3-844d-4f25-9a17-4c48c094bb09" version="1.0.0.1" store="developer" storeType="Registry"/>
  <we:alternateReferences/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showGridLines="0" workbookViewId="0">
      <selection sqref="A1:J1"/>
    </sheetView>
  </sheetViews>
  <sheetFormatPr baseColWidth="10" defaultColWidth="8.83203125" defaultRowHeight="15"/>
  <cols>
    <col min="1" max="1" width="26" customWidth="1"/>
    <col min="2" max="2" width="84" customWidth="1"/>
  </cols>
  <sheetData>
    <row r="1" spans="1:10" ht="30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32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32">
      <c r="A4" s="1" t="s">
        <v>2</v>
      </c>
      <c r="B4" s="3" t="s">
        <v>3</v>
      </c>
      <c r="C4" s="2"/>
      <c r="D4" s="2"/>
      <c r="E4" s="2"/>
      <c r="F4" s="2"/>
      <c r="G4" s="2"/>
      <c r="H4" s="2"/>
      <c r="I4" s="2"/>
      <c r="J4" s="2"/>
    </row>
    <row r="5" spans="1:10" ht="16">
      <c r="A5" s="1" t="s">
        <v>4</v>
      </c>
      <c r="B5" s="3" t="s">
        <v>5</v>
      </c>
      <c r="C5" s="2"/>
      <c r="D5" s="2"/>
      <c r="E5" s="2"/>
      <c r="F5" s="2"/>
      <c r="G5" s="2"/>
      <c r="H5" s="2"/>
      <c r="I5" s="2"/>
      <c r="J5" s="2"/>
    </row>
    <row r="6" spans="1:10" ht="16">
      <c r="A6" s="1" t="s">
        <v>6</v>
      </c>
      <c r="B6" s="4">
        <v>46234</v>
      </c>
      <c r="C6" s="2"/>
      <c r="D6" s="2"/>
      <c r="E6" s="2"/>
      <c r="F6" s="2"/>
      <c r="G6" s="2"/>
      <c r="H6" s="2"/>
      <c r="I6" s="2"/>
      <c r="J6" s="2"/>
    </row>
    <row r="7" spans="1:10" ht="16">
      <c r="A7" s="1" t="s">
        <v>7</v>
      </c>
      <c r="B7" s="3" t="s">
        <v>8</v>
      </c>
      <c r="C7" s="2"/>
      <c r="D7" s="2"/>
      <c r="E7" s="2"/>
      <c r="F7" s="2"/>
      <c r="G7" s="2"/>
      <c r="H7" s="2"/>
      <c r="I7" s="2"/>
      <c r="J7" s="2"/>
    </row>
    <row r="8" spans="1:10" ht="16">
      <c r="A8" s="1" t="s">
        <v>9</v>
      </c>
      <c r="B8" s="3" t="s">
        <v>10</v>
      </c>
      <c r="C8" s="2"/>
      <c r="D8" s="2"/>
      <c r="E8" s="2"/>
      <c r="F8" s="2"/>
      <c r="G8" s="2"/>
      <c r="H8" s="2"/>
      <c r="I8" s="2"/>
      <c r="J8" s="2"/>
    </row>
    <row r="9" spans="1:10" ht="32">
      <c r="A9" s="1" t="s">
        <v>11</v>
      </c>
      <c r="B9" s="3" t="s">
        <v>12</v>
      </c>
      <c r="C9" s="2"/>
      <c r="D9" s="2"/>
      <c r="E9" s="2"/>
      <c r="F9" s="2"/>
      <c r="G9" s="2"/>
      <c r="H9" s="2"/>
      <c r="I9" s="2"/>
      <c r="J9" s="2"/>
    </row>
    <row r="10" spans="1:10" ht="16">
      <c r="A10" s="1" t="s">
        <v>13</v>
      </c>
      <c r="B10" s="3" t="s">
        <v>14</v>
      </c>
      <c r="C10" s="2"/>
      <c r="D10" s="2"/>
      <c r="E10" s="2"/>
      <c r="F10" s="2"/>
      <c r="G10" s="2"/>
      <c r="H10" s="2"/>
      <c r="I10" s="2"/>
      <c r="J10" s="2"/>
    </row>
    <row r="11" spans="1:10" ht="16">
      <c r="A11" s="1" t="s">
        <v>15</v>
      </c>
      <c r="B11" s="3" t="s">
        <v>16</v>
      </c>
      <c r="C11" s="2"/>
      <c r="D11" s="2"/>
      <c r="E11" s="2"/>
      <c r="F11" s="2"/>
      <c r="G11" s="2"/>
      <c r="H11" s="2"/>
      <c r="I11" s="2"/>
      <c r="J11" s="2"/>
    </row>
    <row r="12" spans="1:10" ht="32">
      <c r="A12" s="1" t="s">
        <v>17</v>
      </c>
      <c r="B12" s="3" t="s">
        <v>18</v>
      </c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34" t="s">
        <v>19</v>
      </c>
      <c r="B14" s="34"/>
      <c r="C14" s="34"/>
      <c r="D14" s="34"/>
      <c r="E14" s="34"/>
      <c r="F14" s="34"/>
      <c r="G14" s="34"/>
      <c r="H14" s="34"/>
      <c r="I14" s="34"/>
      <c r="J14" s="34"/>
    </row>
    <row r="15" spans="1:10" ht="23" customHeight="1">
      <c r="A15" s="33" t="s">
        <v>20</v>
      </c>
      <c r="B15" s="33"/>
      <c r="C15" s="33"/>
      <c r="D15" s="33"/>
      <c r="E15" s="33"/>
      <c r="F15" s="33"/>
      <c r="G15" s="33"/>
      <c r="H15" s="33"/>
      <c r="I15" s="33"/>
      <c r="J15" s="33"/>
    </row>
    <row r="16" spans="1:10" ht="23" customHeight="1">
      <c r="A16" s="33" t="s">
        <v>21</v>
      </c>
      <c r="B16" s="33"/>
      <c r="C16" s="33"/>
      <c r="D16" s="33"/>
      <c r="E16" s="33"/>
      <c r="F16" s="33"/>
      <c r="G16" s="33"/>
      <c r="H16" s="33"/>
      <c r="I16" s="33"/>
      <c r="J16" s="33"/>
    </row>
    <row r="17" spans="1:10" ht="23" customHeight="1">
      <c r="A17" s="33" t="s">
        <v>22</v>
      </c>
      <c r="B17" s="33"/>
      <c r="C17" s="33"/>
      <c r="D17" s="33"/>
      <c r="E17" s="33"/>
      <c r="F17" s="33"/>
      <c r="G17" s="33"/>
      <c r="H17" s="33"/>
      <c r="I17" s="33"/>
      <c r="J17" s="33"/>
    </row>
    <row r="18" spans="1:10" ht="23" customHeight="1">
      <c r="A18" s="33" t="s">
        <v>23</v>
      </c>
      <c r="B18" s="33"/>
      <c r="C18" s="33"/>
      <c r="D18" s="33"/>
      <c r="E18" s="33"/>
      <c r="F18" s="33"/>
      <c r="G18" s="33"/>
      <c r="H18" s="33"/>
      <c r="I18" s="33"/>
      <c r="J18" s="33"/>
    </row>
    <row r="19" spans="1:10" ht="23" customHeight="1">
      <c r="A19" s="33" t="s">
        <v>24</v>
      </c>
      <c r="B19" s="33"/>
      <c r="C19" s="33"/>
      <c r="D19" s="33"/>
      <c r="E19" s="33"/>
      <c r="F19" s="33"/>
      <c r="G19" s="33"/>
      <c r="H19" s="33"/>
      <c r="I19" s="33"/>
      <c r="J19" s="33"/>
    </row>
    <row r="20" spans="1:10" ht="23" customHeight="1">
      <c r="A20" s="33" t="s">
        <v>25</v>
      </c>
      <c r="B20" s="33"/>
      <c r="C20" s="33"/>
      <c r="D20" s="33"/>
      <c r="E20" s="33"/>
      <c r="F20" s="33"/>
      <c r="G20" s="33"/>
      <c r="H20" s="33"/>
      <c r="I20" s="33"/>
      <c r="J20" s="33"/>
    </row>
  </sheetData>
  <mergeCells count="9">
    <mergeCell ref="A17:J17"/>
    <mergeCell ref="A18:J18"/>
    <mergeCell ref="A19:J19"/>
    <mergeCell ref="A20:J20"/>
    <mergeCell ref="A1:J1"/>
    <mergeCell ref="A2:J2"/>
    <mergeCell ref="A14:J14"/>
    <mergeCell ref="A15:J15"/>
    <mergeCell ref="A16:J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showGridLines="0" workbookViewId="0"/>
  </sheetViews>
  <sheetFormatPr baseColWidth="10" defaultColWidth="8.83203125" defaultRowHeight="15"/>
  <cols>
    <col min="1" max="1" width="14" customWidth="1"/>
    <col min="2" max="2" width="28" customWidth="1"/>
    <col min="3" max="12" width="14" customWidth="1"/>
  </cols>
  <sheetData>
    <row r="1" spans="1:12" ht="30" customHeight="1">
      <c r="A1" s="31" t="s">
        <v>26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32" customHeight="1">
      <c r="A2" s="32" t="s">
        <v>27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8">
      <c r="A4" s="35" t="s">
        <v>28</v>
      </c>
      <c r="B4" s="35"/>
      <c r="C4" s="35"/>
      <c r="D4" s="36">
        <f>'Reserve Analysis'!C18</f>
        <v>863132.2</v>
      </c>
      <c r="E4" s="37"/>
      <c r="F4" s="37"/>
      <c r="G4" s="2"/>
      <c r="H4" s="2"/>
      <c r="I4" s="2"/>
      <c r="J4" s="2"/>
      <c r="K4" s="2"/>
      <c r="L4" s="2"/>
    </row>
    <row r="5" spans="1:12" ht="18">
      <c r="A5" s="35" t="s">
        <v>29</v>
      </c>
      <c r="B5" s="35"/>
      <c r="C5" s="35"/>
      <c r="D5" s="36">
        <f>'Reserve Analysis'!I18</f>
        <v>185129.59</v>
      </c>
      <c r="E5" s="37"/>
      <c r="F5" s="37"/>
      <c r="G5" s="2"/>
      <c r="H5" s="2"/>
      <c r="I5" s="2"/>
      <c r="J5" s="2"/>
      <c r="K5" s="2"/>
      <c r="L5" s="2"/>
    </row>
    <row r="6" spans="1:12" ht="18">
      <c r="A6" s="35" t="s">
        <v>30</v>
      </c>
      <c r="B6" s="35"/>
      <c r="C6" s="35"/>
      <c r="D6" s="36">
        <f>'Reserve Analysis'!J18</f>
        <v>678002.61</v>
      </c>
      <c r="E6" s="37"/>
      <c r="F6" s="37"/>
      <c r="G6" s="2"/>
      <c r="H6" s="2"/>
      <c r="I6" s="2"/>
      <c r="J6" s="2"/>
      <c r="K6" s="2"/>
      <c r="L6" s="2"/>
    </row>
    <row r="7" spans="1:12" ht="18">
      <c r="A7" s="35" t="s">
        <v>31</v>
      </c>
      <c r="B7" s="35"/>
      <c r="C7" s="35"/>
      <c r="D7" s="40">
        <f>SUM(Consolidated!I5:I16)</f>
        <v>17888</v>
      </c>
      <c r="E7" s="37"/>
      <c r="F7" s="37"/>
      <c r="G7" s="2"/>
      <c r="H7" s="2"/>
      <c r="I7" s="2"/>
      <c r="J7" s="2"/>
      <c r="K7" s="2"/>
      <c r="L7" s="2"/>
    </row>
    <row r="8" spans="1:12" ht="18">
      <c r="A8" s="35" t="s">
        <v>32</v>
      </c>
      <c r="B8" s="35"/>
      <c r="C8" s="35"/>
      <c r="D8" s="40">
        <f>SUM('Open POs'!N5:N14)</f>
        <v>262808.2</v>
      </c>
      <c r="E8" s="37"/>
      <c r="F8" s="37"/>
      <c r="G8" s="2"/>
      <c r="H8" s="2"/>
      <c r="I8" s="2"/>
      <c r="J8" s="2"/>
      <c r="K8" s="2"/>
      <c r="L8" s="2"/>
    </row>
    <row r="9" spans="1:12" ht="18">
      <c r="A9" s="35" t="s">
        <v>33</v>
      </c>
      <c r="B9" s="35"/>
      <c r="C9" s="35"/>
      <c r="D9" s="38">
        <f>Checks!B6</f>
        <v>25</v>
      </c>
      <c r="E9" s="39"/>
      <c r="F9" s="39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6">
      <c r="A12" s="1" t="s">
        <v>34</v>
      </c>
      <c r="B12" s="1" t="s">
        <v>35</v>
      </c>
      <c r="C12" s="1" t="s">
        <v>36</v>
      </c>
      <c r="D12" s="1" t="s">
        <v>37</v>
      </c>
      <c r="E12" s="2"/>
      <c r="F12" s="2"/>
      <c r="G12" s="2"/>
      <c r="H12" s="2"/>
      <c r="I12" s="2"/>
      <c r="J12" s="2"/>
      <c r="K12" s="2"/>
      <c r="L12" s="2"/>
    </row>
    <row r="13" spans="1:12">
      <c r="A13" s="2" t="s">
        <v>38</v>
      </c>
      <c r="B13" s="6">
        <f>SUMIF(Consolidated!$C$5:$C$16,A13,Consolidated!$P$5:$P$16)</f>
        <v>203754</v>
      </c>
      <c r="C13" s="6">
        <f>SUMIF(Consolidated!$C$5:$C$16,A13,'Reserve Analysis'!$I$5:$I$16)</f>
        <v>35755.050000000003</v>
      </c>
      <c r="D13" s="6">
        <f t="shared" ref="D13:D18" si="0">B13-C13</f>
        <v>167998.95</v>
      </c>
      <c r="E13" s="2"/>
      <c r="F13" s="2"/>
      <c r="G13" s="2"/>
      <c r="H13" s="2"/>
      <c r="I13" s="2"/>
      <c r="J13" s="2"/>
      <c r="K13" s="2"/>
      <c r="L13" s="2"/>
    </row>
    <row r="14" spans="1:12">
      <c r="A14" s="2" t="s">
        <v>39</v>
      </c>
      <c r="B14" s="6">
        <f>SUMIF(Consolidated!$C$5:$C$16,A14,Consolidated!$P$5:$P$16)</f>
        <v>372955</v>
      </c>
      <c r="C14" s="6">
        <f>SUMIF(Consolidated!$C$5:$C$16,A14,'Reserve Analysis'!$I$5:$I$16)</f>
        <v>37295.5</v>
      </c>
      <c r="D14" s="6">
        <f t="shared" si="0"/>
        <v>335659.5</v>
      </c>
      <c r="E14" s="2"/>
      <c r="F14" s="2"/>
      <c r="G14" s="2"/>
      <c r="H14" s="2"/>
      <c r="I14" s="2"/>
      <c r="J14" s="2"/>
      <c r="K14" s="2"/>
      <c r="L14" s="2"/>
    </row>
    <row r="15" spans="1:12">
      <c r="A15" s="2" t="s">
        <v>40</v>
      </c>
      <c r="B15" s="6">
        <f>SUMIF(Consolidated!$C$5:$C$16,A15,Consolidated!$P$5:$P$16)</f>
        <v>57562</v>
      </c>
      <c r="C15" s="6">
        <f>SUMIF(Consolidated!$C$5:$C$16,A15,'Reserve Analysis'!$I$5:$I$16)</f>
        <v>5756.2000000000007</v>
      </c>
      <c r="D15" s="6">
        <f t="shared" si="0"/>
        <v>51805.8</v>
      </c>
      <c r="E15" s="2"/>
      <c r="F15" s="2"/>
      <c r="G15" s="2"/>
      <c r="H15" s="2"/>
      <c r="I15" s="2"/>
      <c r="J15" s="2"/>
      <c r="K15" s="2"/>
      <c r="L15" s="2"/>
    </row>
    <row r="16" spans="1:12">
      <c r="A16" s="2" t="s">
        <v>41</v>
      </c>
      <c r="B16" s="6">
        <f>SUMIF(Consolidated!$C$5:$C$16,A16,Consolidated!$P$5:$P$16)</f>
        <v>74216</v>
      </c>
      <c r="C16" s="6">
        <f>SUMIF(Consolidated!$C$5:$C$16,A16,'Reserve Analysis'!$I$5:$I$16)</f>
        <v>10448.300000000001</v>
      </c>
      <c r="D16" s="6">
        <f t="shared" si="0"/>
        <v>63767.7</v>
      </c>
      <c r="E16" s="2"/>
      <c r="F16" s="2"/>
      <c r="G16" s="2"/>
      <c r="H16" s="2"/>
      <c r="I16" s="2"/>
      <c r="J16" s="2"/>
      <c r="K16" s="2"/>
      <c r="L16" s="2"/>
    </row>
    <row r="17" spans="1:12">
      <c r="A17" s="2" t="s">
        <v>42</v>
      </c>
      <c r="B17" s="6">
        <f>SUMIF(Consolidated!$C$5:$C$16,A17,Consolidated!$P$5:$P$16)</f>
        <v>98725.200000000012</v>
      </c>
      <c r="C17" s="6">
        <f>SUMIF(Consolidated!$C$5:$C$16,A17,'Reserve Analysis'!$I$5:$I$16)</f>
        <v>81894.540000000008</v>
      </c>
      <c r="D17" s="6">
        <f t="shared" si="0"/>
        <v>16830.660000000003</v>
      </c>
      <c r="E17" s="2"/>
      <c r="F17" s="2"/>
      <c r="G17" s="2"/>
      <c r="H17" s="2"/>
      <c r="I17" s="2"/>
      <c r="J17" s="2"/>
      <c r="K17" s="2"/>
      <c r="L17" s="2"/>
    </row>
    <row r="18" spans="1:12">
      <c r="A18" s="2" t="s">
        <v>43</v>
      </c>
      <c r="B18" s="6">
        <f>SUMIF(Consolidated!$C$5:$C$16,A18,Consolidated!$P$5:$P$16)</f>
        <v>55920</v>
      </c>
      <c r="C18" s="6">
        <f>SUMIF(Consolidated!$C$5:$C$16,A18,'Reserve Analysis'!$I$5:$I$16)</f>
        <v>13980</v>
      </c>
      <c r="D18" s="6">
        <f t="shared" si="0"/>
        <v>41940</v>
      </c>
      <c r="E18" s="2"/>
      <c r="F18" s="2"/>
      <c r="G18" s="2"/>
      <c r="H18" s="2"/>
      <c r="I18" s="2"/>
      <c r="J18" s="2"/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32">
      <c r="A21" s="1" t="s">
        <v>44</v>
      </c>
      <c r="B21" s="1" t="s">
        <v>45</v>
      </c>
      <c r="C21" s="1" t="s">
        <v>46</v>
      </c>
      <c r="D21" s="1" t="s">
        <v>35</v>
      </c>
      <c r="E21" s="1" t="s">
        <v>47</v>
      </c>
      <c r="F21" s="2"/>
      <c r="G21" s="2"/>
      <c r="H21" s="2"/>
      <c r="I21" s="2"/>
      <c r="J21" s="2"/>
      <c r="K21" s="2"/>
      <c r="L21" s="2"/>
    </row>
    <row r="22" spans="1:12">
      <c r="A22" s="2" t="str">
        <f>Consolidated!A5</f>
        <v>NX-1001</v>
      </c>
      <c r="B22" s="2" t="str">
        <f>Consolidated!B5</f>
        <v>Nova X1 Smartphone 128GB</v>
      </c>
      <c r="C22" s="7">
        <f>Consolidated!N5</f>
        <v>6.9890109890109891</v>
      </c>
      <c r="D22" s="6">
        <f>Consolidated!P5</f>
        <v>102531</v>
      </c>
      <c r="E22" s="2" t="str">
        <f>Consolidated!R5</f>
        <v>Possible duplicate SAP row</v>
      </c>
      <c r="F22" s="2"/>
      <c r="G22" s="2"/>
      <c r="H22" s="2"/>
      <c r="I22" s="2"/>
      <c r="J22" s="2"/>
      <c r="K22" s="2"/>
      <c r="L22" s="2"/>
    </row>
    <row r="23" spans="1:12">
      <c r="A23" s="2" t="str">
        <f>Consolidated!A6</f>
        <v>NX-1002</v>
      </c>
      <c r="B23" s="2" t="str">
        <f>Consolidated!B6</f>
        <v>Nova X1 Smartphone 256GB</v>
      </c>
      <c r="C23" s="7">
        <f>Consolidated!N6</f>
        <v>4.3275261324041807</v>
      </c>
      <c r="D23" s="6">
        <f>Consolidated!P6</f>
        <v>101223</v>
      </c>
      <c r="E23" s="2" t="str">
        <f>Consolidated!R6</f>
        <v>Review OK</v>
      </c>
      <c r="F23" s="2"/>
      <c r="G23" s="2"/>
      <c r="H23" s="2"/>
      <c r="I23" s="2"/>
      <c r="J23" s="2"/>
      <c r="K23" s="2"/>
      <c r="L23" s="2"/>
    </row>
    <row r="24" spans="1:12">
      <c r="A24" s="2" t="str">
        <f>Consolidated!A7</f>
        <v>TB-2100</v>
      </c>
      <c r="B24" s="2" t="str">
        <f>Consolidated!B7</f>
        <v>Atlas 11-inch Tablet</v>
      </c>
      <c r="C24" s="7">
        <f>Consolidated!N7</f>
        <v>4.6507936507936511</v>
      </c>
      <c r="D24" s="6">
        <f>Consolidated!P7</f>
        <v>91450</v>
      </c>
      <c r="E24" s="2" t="str">
        <f>Consolidated!R7</f>
        <v>Review OK</v>
      </c>
      <c r="F24" s="2"/>
      <c r="G24" s="2"/>
      <c r="H24" s="2"/>
      <c r="I24" s="2"/>
      <c r="J24" s="2"/>
      <c r="K24" s="2"/>
      <c r="L24" s="2"/>
    </row>
    <row r="25" spans="1:12">
      <c r="A25" s="2" t="str">
        <f>Consolidated!A8</f>
        <v>LT-3300</v>
      </c>
      <c r="B25" s="2" t="str">
        <f>Consolidated!B8</f>
        <v>Pioneer 14 Pro Laptop</v>
      </c>
      <c r="C25" s="7">
        <f>Consolidated!N8</f>
        <v>4.9050160085378876</v>
      </c>
      <c r="D25" s="6">
        <f>Consolidated!P8</f>
        <v>281505</v>
      </c>
      <c r="E25" s="2" t="str">
        <f>Consolidated!R8</f>
        <v>Missing Oracle cost on one row</v>
      </c>
      <c r="F25" s="2"/>
      <c r="G25" s="2"/>
      <c r="H25" s="2"/>
      <c r="I25" s="2"/>
      <c r="J25" s="2"/>
      <c r="K25" s="2"/>
      <c r="L25" s="2"/>
    </row>
    <row r="26" spans="1:12">
      <c r="A26" s="2" t="str">
        <f>Consolidated!A9</f>
        <v>AU-4100</v>
      </c>
      <c r="B26" s="2" t="str">
        <f>Consolidated!B9</f>
        <v>Orbit ANC Headphones</v>
      </c>
      <c r="C26" s="7">
        <f>Consolidated!N9</f>
        <v>4.2964285714285717</v>
      </c>
      <c r="D26" s="6">
        <f>Consolidated!P9</f>
        <v>35518</v>
      </c>
      <c r="E26" s="2" t="str">
        <f>Consolidated!R9</f>
        <v>Review OK</v>
      </c>
      <c r="F26" s="2"/>
      <c r="G26" s="2"/>
      <c r="H26" s="2"/>
      <c r="I26" s="2"/>
      <c r="J26" s="2"/>
      <c r="K26" s="2"/>
      <c r="L26" s="2"/>
    </row>
  </sheetData>
  <mergeCells count="14">
    <mergeCell ref="A9:C9"/>
    <mergeCell ref="D9:F9"/>
    <mergeCell ref="A6:C6"/>
    <mergeCell ref="D6:F6"/>
    <mergeCell ref="A7:C7"/>
    <mergeCell ref="D7:F7"/>
    <mergeCell ref="A8:C8"/>
    <mergeCell ref="D8:F8"/>
    <mergeCell ref="A1:L1"/>
    <mergeCell ref="A2:L2"/>
    <mergeCell ref="A4:C4"/>
    <mergeCell ref="D4:F4"/>
    <mergeCell ref="A5:C5"/>
    <mergeCell ref="D5:F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showGridLines="0" workbookViewId="0"/>
  </sheetViews>
  <sheetFormatPr baseColWidth="10" defaultColWidth="8.83203125" defaultRowHeight="15"/>
  <cols>
    <col min="1" max="5" width="19" customWidth="1"/>
    <col min="6" max="6" width="48" customWidth="1"/>
  </cols>
  <sheetData>
    <row r="1" spans="1:6" ht="30" customHeight="1">
      <c r="A1" s="31" t="s">
        <v>48</v>
      </c>
      <c r="B1" s="31"/>
      <c r="C1" s="31"/>
      <c r="D1" s="31"/>
      <c r="E1" s="31"/>
      <c r="F1" s="31"/>
    </row>
    <row r="2" spans="1:6" ht="32" customHeight="1">
      <c r="A2" s="32" t="s">
        <v>49</v>
      </c>
      <c r="B2" s="32"/>
      <c r="C2" s="32"/>
      <c r="D2" s="32"/>
      <c r="E2" s="32"/>
      <c r="F2" s="32"/>
    </row>
    <row r="3" spans="1:6">
      <c r="A3" s="2"/>
      <c r="B3" s="2"/>
      <c r="C3" s="2"/>
      <c r="D3" s="2"/>
      <c r="E3" s="2"/>
      <c r="F3" s="2"/>
    </row>
    <row r="4" spans="1:6" ht="16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  <c r="F4" s="1" t="s">
        <v>55</v>
      </c>
    </row>
    <row r="5" spans="1:6" ht="32">
      <c r="A5" s="8" t="s">
        <v>44</v>
      </c>
      <c r="B5" s="9" t="s">
        <v>56</v>
      </c>
      <c r="C5" s="9" t="s">
        <v>57</v>
      </c>
      <c r="D5" s="9" t="s">
        <v>58</v>
      </c>
      <c r="E5" s="9" t="s">
        <v>59</v>
      </c>
      <c r="F5" s="10" t="s">
        <v>60</v>
      </c>
    </row>
    <row r="6" spans="1:6" ht="16">
      <c r="A6" s="11" t="s">
        <v>61</v>
      </c>
      <c r="B6" s="12" t="s">
        <v>62</v>
      </c>
      <c r="C6" s="12" t="s">
        <v>63</v>
      </c>
      <c r="D6" s="12" t="s">
        <v>64</v>
      </c>
      <c r="E6" s="12" t="s">
        <v>65</v>
      </c>
      <c r="F6" s="13" t="s">
        <v>66</v>
      </c>
    </row>
    <row r="7" spans="1:6" ht="32">
      <c r="A7" s="11" t="s">
        <v>67</v>
      </c>
      <c r="B7" s="12" t="s">
        <v>68</v>
      </c>
      <c r="C7" s="12" t="s">
        <v>69</v>
      </c>
      <c r="D7" s="12" t="s">
        <v>70</v>
      </c>
      <c r="E7" s="12" t="s">
        <v>71</v>
      </c>
      <c r="F7" s="13" t="s">
        <v>72</v>
      </c>
    </row>
    <row r="8" spans="1:6" ht="16">
      <c r="A8" s="11" t="s">
        <v>73</v>
      </c>
      <c r="B8" s="12" t="s">
        <v>74</v>
      </c>
      <c r="C8" s="12" t="s">
        <v>75</v>
      </c>
      <c r="D8" s="12" t="s">
        <v>76</v>
      </c>
      <c r="E8" s="12" t="s">
        <v>71</v>
      </c>
      <c r="F8" s="13" t="s">
        <v>77</v>
      </c>
    </row>
    <row r="9" spans="1:6" ht="32">
      <c r="A9" s="11" t="s">
        <v>78</v>
      </c>
      <c r="B9" s="12" t="s">
        <v>79</v>
      </c>
      <c r="C9" s="12" t="s">
        <v>80</v>
      </c>
      <c r="D9" s="12" t="s">
        <v>81</v>
      </c>
      <c r="E9" s="12" t="s">
        <v>71</v>
      </c>
      <c r="F9" s="13" t="s">
        <v>82</v>
      </c>
    </row>
    <row r="10" spans="1:6" ht="16">
      <c r="A10" s="11" t="s">
        <v>83</v>
      </c>
      <c r="B10" s="12" t="s">
        <v>84</v>
      </c>
      <c r="C10" s="12" t="s">
        <v>85</v>
      </c>
      <c r="D10" s="12" t="s">
        <v>86</v>
      </c>
      <c r="E10" s="12" t="s">
        <v>87</v>
      </c>
      <c r="F10" s="13" t="s">
        <v>88</v>
      </c>
    </row>
    <row r="11" spans="1:6" ht="32">
      <c r="A11" s="11" t="s">
        <v>89</v>
      </c>
      <c r="B11" s="12" t="s">
        <v>90</v>
      </c>
      <c r="C11" s="12" t="s">
        <v>91</v>
      </c>
      <c r="D11" s="12" t="s">
        <v>92</v>
      </c>
      <c r="E11" s="12" t="s">
        <v>93</v>
      </c>
      <c r="F11" s="13" t="s">
        <v>94</v>
      </c>
    </row>
    <row r="12" spans="1:6" ht="16">
      <c r="A12" s="11" t="s">
        <v>95</v>
      </c>
      <c r="B12" s="12" t="s">
        <v>96</v>
      </c>
      <c r="C12" s="12" t="s">
        <v>97</v>
      </c>
      <c r="D12" s="12" t="s">
        <v>98</v>
      </c>
      <c r="E12" s="12" t="s">
        <v>99</v>
      </c>
      <c r="F12" s="13" t="s">
        <v>100</v>
      </c>
    </row>
    <row r="13" spans="1:6" ht="32">
      <c r="A13" s="14" t="s">
        <v>101</v>
      </c>
      <c r="B13" s="15" t="s">
        <v>102</v>
      </c>
      <c r="C13" s="15" t="s">
        <v>103</v>
      </c>
      <c r="D13" s="15" t="s">
        <v>104</v>
      </c>
      <c r="E13" s="15" t="s">
        <v>105</v>
      </c>
      <c r="F13" s="16" t="s">
        <v>106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showGridLines="0" workbookViewId="0"/>
  </sheetViews>
  <sheetFormatPr baseColWidth="10" defaultColWidth="8.83203125" defaultRowHeight="15"/>
  <cols>
    <col min="1" max="1" width="15" customWidth="1"/>
    <col min="2" max="2" width="31" customWidth="1"/>
    <col min="3" max="9" width="15" customWidth="1"/>
    <col min="10" max="10" width="28" customWidth="1"/>
    <col min="11" max="11" width="15" customWidth="1"/>
  </cols>
  <sheetData>
    <row r="1" spans="1:11" ht="30" customHeight="1">
      <c r="A1" s="31" t="s">
        <v>107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32" customHeight="1">
      <c r="A2" s="32" t="s">
        <v>108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48">
      <c r="A4" s="1" t="s">
        <v>109</v>
      </c>
      <c r="B4" s="1" t="s">
        <v>110</v>
      </c>
      <c r="C4" s="1" t="s">
        <v>34</v>
      </c>
      <c r="D4" s="1" t="s">
        <v>111</v>
      </c>
      <c r="E4" s="1" t="s">
        <v>112</v>
      </c>
      <c r="F4" s="1" t="s">
        <v>113</v>
      </c>
      <c r="G4" s="1" t="s">
        <v>114</v>
      </c>
      <c r="H4" s="1" t="s">
        <v>115</v>
      </c>
      <c r="I4" s="1" t="s">
        <v>116</v>
      </c>
      <c r="J4" s="1" t="s">
        <v>117</v>
      </c>
      <c r="K4" s="1" t="s">
        <v>118</v>
      </c>
    </row>
    <row r="5" spans="1:11">
      <c r="A5" s="2" t="s">
        <v>119</v>
      </c>
      <c r="B5" s="2" t="s">
        <v>120</v>
      </c>
      <c r="C5" s="2" t="s">
        <v>38</v>
      </c>
      <c r="D5" s="2" t="s">
        <v>121</v>
      </c>
      <c r="E5" s="2">
        <v>1</v>
      </c>
      <c r="F5" s="17">
        <v>429</v>
      </c>
      <c r="G5" s="17">
        <v>699</v>
      </c>
      <c r="H5" s="2" t="s">
        <v>122</v>
      </c>
      <c r="I5" s="18">
        <v>1.4999999999999999E-2</v>
      </c>
      <c r="J5" s="2" t="s">
        <v>123</v>
      </c>
      <c r="K5" s="2" t="s">
        <v>124</v>
      </c>
    </row>
    <row r="6" spans="1:11">
      <c r="A6" s="2" t="s">
        <v>125</v>
      </c>
      <c r="B6" s="2" t="s">
        <v>126</v>
      </c>
      <c r="C6" s="2" t="s">
        <v>38</v>
      </c>
      <c r="D6" s="2" t="s">
        <v>121</v>
      </c>
      <c r="E6" s="2">
        <v>1</v>
      </c>
      <c r="F6" s="17">
        <v>489</v>
      </c>
      <c r="G6" s="17">
        <v>799</v>
      </c>
      <c r="H6" s="2" t="s">
        <v>122</v>
      </c>
      <c r="I6" s="18">
        <v>1.4999999999999999E-2</v>
      </c>
      <c r="J6" s="2" t="s">
        <v>127</v>
      </c>
      <c r="K6" s="2" t="s">
        <v>124</v>
      </c>
    </row>
    <row r="7" spans="1:11">
      <c r="A7" s="2" t="s">
        <v>128</v>
      </c>
      <c r="B7" s="2" t="s">
        <v>129</v>
      </c>
      <c r="C7" s="2" t="s">
        <v>39</v>
      </c>
      <c r="D7" s="2" t="s">
        <v>121</v>
      </c>
      <c r="E7" s="2">
        <v>1</v>
      </c>
      <c r="F7" s="17">
        <v>310</v>
      </c>
      <c r="G7" s="17">
        <v>499</v>
      </c>
      <c r="H7" s="2" t="s">
        <v>122</v>
      </c>
      <c r="I7" s="18">
        <v>1.2E-2</v>
      </c>
      <c r="J7" s="2" t="s">
        <v>130</v>
      </c>
      <c r="K7" s="2" t="s">
        <v>124</v>
      </c>
    </row>
    <row r="8" spans="1:11">
      <c r="A8" s="2" t="s">
        <v>131</v>
      </c>
      <c r="B8" s="2" t="s">
        <v>132</v>
      </c>
      <c r="C8" s="2" t="s">
        <v>39</v>
      </c>
      <c r="D8" s="2" t="s">
        <v>121</v>
      </c>
      <c r="E8" s="2">
        <v>1</v>
      </c>
      <c r="F8" s="17">
        <v>735</v>
      </c>
      <c r="G8" s="17">
        <v>1199</v>
      </c>
      <c r="H8" s="2" t="s">
        <v>122</v>
      </c>
      <c r="I8" s="18">
        <v>0.01</v>
      </c>
      <c r="J8" s="2" t="s">
        <v>133</v>
      </c>
      <c r="K8" s="2" t="s">
        <v>124</v>
      </c>
    </row>
    <row r="9" spans="1:11">
      <c r="A9" s="2" t="s">
        <v>134</v>
      </c>
      <c r="B9" s="2" t="s">
        <v>135</v>
      </c>
      <c r="C9" s="2" t="s">
        <v>40</v>
      </c>
      <c r="D9" s="2" t="s">
        <v>121</v>
      </c>
      <c r="E9" s="2">
        <v>1</v>
      </c>
      <c r="F9" s="17">
        <v>86</v>
      </c>
      <c r="G9" s="17">
        <v>179</v>
      </c>
      <c r="H9" s="2" t="s">
        <v>122</v>
      </c>
      <c r="I9" s="18">
        <v>0.02</v>
      </c>
      <c r="J9" s="2" t="s">
        <v>136</v>
      </c>
      <c r="K9" s="2" t="s">
        <v>124</v>
      </c>
    </row>
    <row r="10" spans="1:11">
      <c r="A10" s="2" t="s">
        <v>137</v>
      </c>
      <c r="B10" s="2" t="s">
        <v>138</v>
      </c>
      <c r="C10" s="2" t="s">
        <v>40</v>
      </c>
      <c r="D10" s="2" t="s">
        <v>121</v>
      </c>
      <c r="E10" s="2">
        <v>1</v>
      </c>
      <c r="F10" s="17">
        <v>44</v>
      </c>
      <c r="G10" s="17">
        <v>99</v>
      </c>
      <c r="H10" s="2" t="s">
        <v>122</v>
      </c>
      <c r="I10" s="18">
        <v>0.02</v>
      </c>
      <c r="J10" s="2" t="s">
        <v>139</v>
      </c>
      <c r="K10" s="2" t="s">
        <v>124</v>
      </c>
    </row>
    <row r="11" spans="1:11">
      <c r="A11" s="2" t="s">
        <v>140</v>
      </c>
      <c r="B11" s="2" t="s">
        <v>141</v>
      </c>
      <c r="C11" s="2" t="s">
        <v>41</v>
      </c>
      <c r="D11" s="2" t="s">
        <v>121</v>
      </c>
      <c r="E11" s="2">
        <v>1</v>
      </c>
      <c r="F11" s="17">
        <v>57</v>
      </c>
      <c r="G11" s="17">
        <v>129</v>
      </c>
      <c r="H11" s="2" t="s">
        <v>142</v>
      </c>
      <c r="I11" s="18">
        <v>2.5000000000000001E-2</v>
      </c>
      <c r="J11" s="2" t="s">
        <v>143</v>
      </c>
      <c r="K11" s="2" t="s">
        <v>144</v>
      </c>
    </row>
    <row r="12" spans="1:11">
      <c r="A12" s="2" t="s">
        <v>145</v>
      </c>
      <c r="B12" s="2" t="s">
        <v>146</v>
      </c>
      <c r="C12" s="2" t="s">
        <v>41</v>
      </c>
      <c r="D12" s="2" t="s">
        <v>121</v>
      </c>
      <c r="E12" s="2">
        <v>1</v>
      </c>
      <c r="F12" s="17">
        <v>71</v>
      </c>
      <c r="G12" s="17">
        <v>159</v>
      </c>
      <c r="H12" s="2" t="s">
        <v>122</v>
      </c>
      <c r="I12" s="18">
        <v>1.7999999999999999E-2</v>
      </c>
      <c r="J12" s="2" t="s">
        <v>147</v>
      </c>
      <c r="K12" s="2" t="s">
        <v>124</v>
      </c>
    </row>
    <row r="13" spans="1:11">
      <c r="A13" s="2" t="s">
        <v>148</v>
      </c>
      <c r="B13" s="2" t="s">
        <v>149</v>
      </c>
      <c r="C13" s="2" t="s">
        <v>42</v>
      </c>
      <c r="D13" s="2" t="s">
        <v>150</v>
      </c>
      <c r="E13" s="2">
        <v>12</v>
      </c>
      <c r="F13" s="17">
        <v>14</v>
      </c>
      <c r="G13" s="17">
        <v>39</v>
      </c>
      <c r="H13" s="2" t="s">
        <v>122</v>
      </c>
      <c r="I13" s="18">
        <v>0.03</v>
      </c>
      <c r="J13" s="2" t="s">
        <v>151</v>
      </c>
      <c r="K13" s="2" t="s">
        <v>124</v>
      </c>
    </row>
    <row r="14" spans="1:11">
      <c r="A14" s="2" t="s">
        <v>152</v>
      </c>
      <c r="B14" s="2" t="s">
        <v>153</v>
      </c>
      <c r="C14" s="2" t="s">
        <v>42</v>
      </c>
      <c r="D14" s="2" t="s">
        <v>150</v>
      </c>
      <c r="E14" s="2">
        <v>24</v>
      </c>
      <c r="F14" s="17">
        <v>4.2</v>
      </c>
      <c r="G14" s="17">
        <v>19</v>
      </c>
      <c r="H14" s="2" t="s">
        <v>142</v>
      </c>
      <c r="I14" s="18">
        <v>0.04</v>
      </c>
      <c r="J14" s="2" t="s">
        <v>154</v>
      </c>
      <c r="K14" s="2" t="s">
        <v>155</v>
      </c>
    </row>
    <row r="15" spans="1:11">
      <c r="A15" s="2" t="s">
        <v>156</v>
      </c>
      <c r="B15" s="2" t="s">
        <v>157</v>
      </c>
      <c r="C15" s="2" t="s">
        <v>43</v>
      </c>
      <c r="D15" s="2" t="s">
        <v>121</v>
      </c>
      <c r="E15" s="2">
        <v>1</v>
      </c>
      <c r="F15" s="17">
        <v>63</v>
      </c>
      <c r="G15" s="17">
        <v>139</v>
      </c>
      <c r="H15" s="2" t="s">
        <v>142</v>
      </c>
      <c r="I15" s="18">
        <v>2.1999999999999999E-2</v>
      </c>
      <c r="J15" s="2" t="s">
        <v>158</v>
      </c>
      <c r="K15" s="2" t="s">
        <v>124</v>
      </c>
    </row>
    <row r="16" spans="1:11">
      <c r="A16" s="2" t="s">
        <v>159</v>
      </c>
      <c r="B16" s="2" t="s">
        <v>160</v>
      </c>
      <c r="C16" s="2" t="s">
        <v>43</v>
      </c>
      <c r="D16" s="2" t="s">
        <v>121</v>
      </c>
      <c r="E16" s="2">
        <v>1</v>
      </c>
      <c r="F16" s="17">
        <v>31</v>
      </c>
      <c r="G16" s="17">
        <v>79</v>
      </c>
      <c r="H16" s="2" t="s">
        <v>122</v>
      </c>
      <c r="I16" s="18">
        <v>2.5000000000000001E-2</v>
      </c>
      <c r="J16" s="2" t="s">
        <v>161</v>
      </c>
      <c r="K16" s="2" t="s">
        <v>124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7"/>
  <sheetViews>
    <sheetView showGridLines="0" workbookViewId="0"/>
  </sheetViews>
  <sheetFormatPr baseColWidth="10" defaultColWidth="8.83203125" defaultRowHeight="15"/>
  <cols>
    <col min="1" max="8" width="14" customWidth="1"/>
    <col min="9" max="9" width="16" customWidth="1"/>
    <col min="10" max="15" width="14" customWidth="1"/>
  </cols>
  <sheetData>
    <row r="1" spans="1:15" ht="30" customHeight="1">
      <c r="A1" s="31" t="s">
        <v>162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32" customHeight="1">
      <c r="A2" s="32" t="s">
        <v>163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48">
      <c r="A4" s="1" t="s">
        <v>56</v>
      </c>
      <c r="B4" s="1" t="s">
        <v>164</v>
      </c>
      <c r="C4" s="1" t="s">
        <v>165</v>
      </c>
      <c r="D4" s="1" t="s">
        <v>68</v>
      </c>
      <c r="E4" s="1" t="s">
        <v>74</v>
      </c>
      <c r="F4" s="1" t="s">
        <v>84</v>
      </c>
      <c r="G4" s="1" t="s">
        <v>90</v>
      </c>
      <c r="H4" s="1" t="s">
        <v>102</v>
      </c>
      <c r="I4" s="1" t="s">
        <v>96</v>
      </c>
      <c r="J4" s="1" t="s">
        <v>166</v>
      </c>
      <c r="K4" s="1" t="s">
        <v>167</v>
      </c>
      <c r="L4" s="1" t="s">
        <v>168</v>
      </c>
      <c r="M4" s="1" t="s">
        <v>169</v>
      </c>
      <c r="N4" s="1" t="s">
        <v>170</v>
      </c>
      <c r="O4" s="1" t="s">
        <v>171</v>
      </c>
    </row>
    <row r="5" spans="1:15">
      <c r="A5" s="2" t="s">
        <v>119</v>
      </c>
      <c r="B5" s="2" t="s">
        <v>172</v>
      </c>
      <c r="C5" s="2" t="s">
        <v>173</v>
      </c>
      <c r="D5" s="2">
        <v>35</v>
      </c>
      <c r="E5" s="2">
        <v>8</v>
      </c>
      <c r="F5" s="2" t="s">
        <v>121</v>
      </c>
      <c r="G5" s="19">
        <v>429</v>
      </c>
      <c r="H5" s="2" t="s">
        <v>8</v>
      </c>
      <c r="I5" s="20">
        <v>46234</v>
      </c>
      <c r="J5" s="2" t="s">
        <v>174</v>
      </c>
      <c r="K5" s="2" t="s">
        <v>175</v>
      </c>
      <c r="L5" s="2" t="s">
        <v>119</v>
      </c>
      <c r="M5" s="2" t="s">
        <v>176</v>
      </c>
      <c r="N5" s="21">
        <f>D5*IF(F5="CS",VLOOKUP(L5,'Item Master'!$A$5:$E$16,5,FALSE),1)</f>
        <v>35</v>
      </c>
      <c r="O5" s="22">
        <f>N5*G5*VLOOKUP(H5,'FX Rates'!$A$5:$B$8,2,FALSE)</f>
        <v>15015</v>
      </c>
    </row>
    <row r="6" spans="1:15">
      <c r="A6" s="2" t="s">
        <v>125</v>
      </c>
      <c r="B6" s="2" t="s">
        <v>177</v>
      </c>
      <c r="C6" s="2" t="s">
        <v>178</v>
      </c>
      <c r="D6" s="2">
        <v>72</v>
      </c>
      <c r="E6" s="2">
        <v>0</v>
      </c>
      <c r="F6" s="2" t="s">
        <v>121</v>
      </c>
      <c r="G6" s="19">
        <v>489</v>
      </c>
      <c r="H6" s="2" t="s">
        <v>8</v>
      </c>
      <c r="I6" s="20">
        <v>46234</v>
      </c>
      <c r="J6" s="2" t="s">
        <v>179</v>
      </c>
      <c r="K6" s="2" t="s">
        <v>180</v>
      </c>
      <c r="L6" s="2" t="s">
        <v>125</v>
      </c>
      <c r="M6" s="2" t="s">
        <v>181</v>
      </c>
      <c r="N6" s="21">
        <f>D6*IF(F6="CS",VLOOKUP(L6,'Item Master'!$A$5:$E$16,5,FALSE),1)</f>
        <v>72</v>
      </c>
      <c r="O6" s="22">
        <f>N6*G6*VLOOKUP(H6,'FX Rates'!$A$5:$B$8,2,FALSE)</f>
        <v>35208</v>
      </c>
    </row>
    <row r="7" spans="1:15">
      <c r="A7" s="2" t="s">
        <v>128</v>
      </c>
      <c r="B7" s="2" t="s">
        <v>182</v>
      </c>
      <c r="C7" s="2" t="s">
        <v>178</v>
      </c>
      <c r="D7" s="2">
        <v>109</v>
      </c>
      <c r="E7" s="2">
        <v>0</v>
      </c>
      <c r="F7" s="2" t="s">
        <v>121</v>
      </c>
      <c r="G7" s="19">
        <v>425.82417582417582</v>
      </c>
      <c r="H7" s="2" t="s">
        <v>183</v>
      </c>
      <c r="I7" s="20">
        <v>46234</v>
      </c>
      <c r="J7" s="2" t="s">
        <v>184</v>
      </c>
      <c r="K7" s="2" t="s">
        <v>180</v>
      </c>
      <c r="L7" s="2" t="s">
        <v>128</v>
      </c>
      <c r="M7" s="2" t="s">
        <v>185</v>
      </c>
      <c r="N7" s="21">
        <f>D7*IF(F7="CS",VLOOKUP(L7,'Item Master'!$A$5:$E$16,5,FALSE),1)</f>
        <v>109</v>
      </c>
      <c r="O7" s="22">
        <f>N7*G7*VLOOKUP(H7,'FX Rates'!$A$5:$B$8,2,FALSE)</f>
        <v>33790</v>
      </c>
    </row>
    <row r="8" spans="1:15">
      <c r="A8" s="2" t="s">
        <v>131</v>
      </c>
      <c r="B8" s="2" t="s">
        <v>172</v>
      </c>
      <c r="C8" s="2" t="s">
        <v>178</v>
      </c>
      <c r="D8" s="2">
        <v>146</v>
      </c>
      <c r="E8" s="2">
        <v>0</v>
      </c>
      <c r="F8" s="2" t="s">
        <v>121</v>
      </c>
      <c r="G8" s="19">
        <v>735</v>
      </c>
      <c r="H8" s="2" t="s">
        <v>8</v>
      </c>
      <c r="I8" s="20">
        <v>46234</v>
      </c>
      <c r="J8" s="2" t="s">
        <v>186</v>
      </c>
      <c r="K8" s="2" t="s">
        <v>180</v>
      </c>
      <c r="L8" s="2" t="s">
        <v>131</v>
      </c>
      <c r="M8" s="2" t="s">
        <v>187</v>
      </c>
      <c r="N8" s="21">
        <f>D8*IF(F8="CS",VLOOKUP(L8,'Item Master'!$A$5:$E$16,5,FALSE),1)</f>
        <v>146</v>
      </c>
      <c r="O8" s="22">
        <f>N8*G8*VLOOKUP(H8,'FX Rates'!$A$5:$B$8,2,FALSE)</f>
        <v>107310</v>
      </c>
    </row>
    <row r="9" spans="1:15">
      <c r="A9" s="2" t="s">
        <v>134</v>
      </c>
      <c r="B9" s="2" t="s">
        <v>177</v>
      </c>
      <c r="C9" s="2" t="s">
        <v>173</v>
      </c>
      <c r="D9" s="2">
        <v>183</v>
      </c>
      <c r="E9" s="2">
        <v>0</v>
      </c>
      <c r="F9" s="2" t="s">
        <v>121</v>
      </c>
      <c r="G9" s="19">
        <v>86</v>
      </c>
      <c r="H9" s="2" t="s">
        <v>8</v>
      </c>
      <c r="I9" s="20">
        <v>46234</v>
      </c>
      <c r="J9" s="2" t="s">
        <v>188</v>
      </c>
      <c r="K9" s="2" t="s">
        <v>175</v>
      </c>
      <c r="L9" s="2" t="s">
        <v>134</v>
      </c>
      <c r="M9" s="2" t="s">
        <v>189</v>
      </c>
      <c r="N9" s="21">
        <f>D9*IF(F9="CS",VLOOKUP(L9,'Item Master'!$A$5:$E$16,5,FALSE),1)</f>
        <v>183</v>
      </c>
      <c r="O9" s="22">
        <f>N9*G9*VLOOKUP(H9,'FX Rates'!$A$5:$B$8,2,FALSE)</f>
        <v>15738</v>
      </c>
    </row>
    <row r="10" spans="1:15">
      <c r="A10" s="2" t="s">
        <v>137</v>
      </c>
      <c r="B10" s="2" t="s">
        <v>182</v>
      </c>
      <c r="C10" s="2" t="s">
        <v>178</v>
      </c>
      <c r="D10" s="2">
        <v>220</v>
      </c>
      <c r="E10" s="2">
        <v>13</v>
      </c>
      <c r="F10" s="2" t="s">
        <v>121</v>
      </c>
      <c r="G10" s="19">
        <v>60.439560439560438</v>
      </c>
      <c r="H10" s="2" t="s">
        <v>183</v>
      </c>
      <c r="I10" s="20">
        <v>46234</v>
      </c>
      <c r="J10" s="2" t="s">
        <v>190</v>
      </c>
      <c r="K10" s="2" t="s">
        <v>180</v>
      </c>
      <c r="L10" s="2" t="s">
        <v>137</v>
      </c>
      <c r="M10" s="2" t="s">
        <v>185</v>
      </c>
      <c r="N10" s="21">
        <f>D10*IF(F10="CS",VLOOKUP(L10,'Item Master'!$A$5:$E$16,5,FALSE),1)</f>
        <v>220</v>
      </c>
      <c r="O10" s="22">
        <f>N10*G10*VLOOKUP(H10,'FX Rates'!$A$5:$B$8,2,FALSE)</f>
        <v>9679.9999999999982</v>
      </c>
    </row>
    <row r="11" spans="1:15">
      <c r="A11" s="2" t="s">
        <v>140</v>
      </c>
      <c r="B11" s="2" t="s">
        <v>172</v>
      </c>
      <c r="C11" s="2" t="s">
        <v>178</v>
      </c>
      <c r="D11" s="2">
        <v>257</v>
      </c>
      <c r="E11" s="2">
        <v>0</v>
      </c>
      <c r="F11" s="2" t="s">
        <v>121</v>
      </c>
      <c r="G11" s="19">
        <v>57</v>
      </c>
      <c r="H11" s="2" t="s">
        <v>8</v>
      </c>
      <c r="I11" s="20">
        <v>46234</v>
      </c>
      <c r="J11" s="2" t="s">
        <v>191</v>
      </c>
      <c r="K11" s="2" t="s">
        <v>180</v>
      </c>
      <c r="L11" s="2" t="s">
        <v>140</v>
      </c>
      <c r="M11" s="2" t="s">
        <v>187</v>
      </c>
      <c r="N11" s="21">
        <f>D11*IF(F11="CS",VLOOKUP(L11,'Item Master'!$A$5:$E$16,5,FALSE),1)</f>
        <v>257</v>
      </c>
      <c r="O11" s="22">
        <f>N11*G11*VLOOKUP(H11,'FX Rates'!$A$5:$B$8,2,FALSE)</f>
        <v>14649</v>
      </c>
    </row>
    <row r="12" spans="1:15">
      <c r="A12" s="2" t="s">
        <v>145</v>
      </c>
      <c r="B12" s="2" t="s">
        <v>177</v>
      </c>
      <c r="C12" s="2" t="s">
        <v>178</v>
      </c>
      <c r="D12" s="2">
        <v>294</v>
      </c>
      <c r="E12" s="2">
        <v>0</v>
      </c>
      <c r="F12" s="2" t="s">
        <v>121</v>
      </c>
      <c r="G12" s="19">
        <v>71</v>
      </c>
      <c r="H12" s="2" t="s">
        <v>8</v>
      </c>
      <c r="I12" s="20">
        <v>46234</v>
      </c>
      <c r="J12" s="2" t="s">
        <v>192</v>
      </c>
      <c r="K12" s="2" t="s">
        <v>180</v>
      </c>
      <c r="L12" s="2" t="s">
        <v>145</v>
      </c>
      <c r="M12" s="2" t="s">
        <v>181</v>
      </c>
      <c r="N12" s="21">
        <f>D12*IF(F12="CS",VLOOKUP(L12,'Item Master'!$A$5:$E$16,5,FALSE),1)</f>
        <v>294</v>
      </c>
      <c r="O12" s="22">
        <f>N12*G12*VLOOKUP(H12,'FX Rates'!$A$5:$B$8,2,FALSE)</f>
        <v>20874</v>
      </c>
    </row>
    <row r="13" spans="1:15">
      <c r="A13" s="2" t="s">
        <v>148</v>
      </c>
      <c r="B13" s="2" t="s">
        <v>182</v>
      </c>
      <c r="C13" s="2" t="s">
        <v>173</v>
      </c>
      <c r="D13" s="2">
        <v>331</v>
      </c>
      <c r="E13" s="2">
        <v>0</v>
      </c>
      <c r="F13" s="2" t="s">
        <v>150</v>
      </c>
      <c r="G13" s="19">
        <v>19.23076923076923</v>
      </c>
      <c r="H13" s="2" t="s">
        <v>183</v>
      </c>
      <c r="I13" s="20">
        <v>46234</v>
      </c>
      <c r="J13" s="2" t="s">
        <v>193</v>
      </c>
      <c r="K13" s="2" t="s">
        <v>175</v>
      </c>
      <c r="L13" s="2" t="s">
        <v>148</v>
      </c>
      <c r="M13" s="2" t="s">
        <v>194</v>
      </c>
      <c r="N13" s="21">
        <f>D13*IF(F13="CS",VLOOKUP(L13,'Item Master'!$A$5:$E$16,5,FALSE),1)</f>
        <v>3972</v>
      </c>
      <c r="O13" s="22">
        <f>N13*G13*VLOOKUP(H13,'FX Rates'!$A$5:$B$8,2,FALSE)</f>
        <v>55607.999999999993</v>
      </c>
    </row>
    <row r="14" spans="1:15">
      <c r="A14" s="2" t="s">
        <v>152</v>
      </c>
      <c r="B14" s="2" t="s">
        <v>172</v>
      </c>
      <c r="C14" s="2" t="s">
        <v>178</v>
      </c>
      <c r="D14" s="2">
        <v>368</v>
      </c>
      <c r="E14" s="2">
        <v>0</v>
      </c>
      <c r="F14" s="2" t="s">
        <v>150</v>
      </c>
      <c r="G14" s="19">
        <v>4.2</v>
      </c>
      <c r="H14" s="2" t="s">
        <v>8</v>
      </c>
      <c r="I14" s="20">
        <v>46234</v>
      </c>
      <c r="J14" s="2" t="s">
        <v>195</v>
      </c>
      <c r="K14" s="2" t="s">
        <v>180</v>
      </c>
      <c r="L14" s="2" t="s">
        <v>152</v>
      </c>
      <c r="M14" s="2" t="s">
        <v>187</v>
      </c>
      <c r="N14" s="21">
        <f>D14*IF(F14="CS",VLOOKUP(L14,'Item Master'!$A$5:$E$16,5,FALSE),1)</f>
        <v>8832</v>
      </c>
      <c r="O14" s="22">
        <f>N14*G14*VLOOKUP(H14,'FX Rates'!$A$5:$B$8,2,FALSE)</f>
        <v>37094.400000000001</v>
      </c>
    </row>
    <row r="15" spans="1:15">
      <c r="A15" s="2" t="s">
        <v>156</v>
      </c>
      <c r="B15" s="2" t="s">
        <v>177</v>
      </c>
      <c r="C15" s="2" t="s">
        <v>178</v>
      </c>
      <c r="D15" s="2">
        <v>405</v>
      </c>
      <c r="E15" s="2">
        <v>18</v>
      </c>
      <c r="F15" s="2" t="s">
        <v>121</v>
      </c>
      <c r="G15" s="19">
        <v>63</v>
      </c>
      <c r="H15" s="2" t="s">
        <v>8</v>
      </c>
      <c r="I15" s="20">
        <v>46234</v>
      </c>
      <c r="J15" s="2" t="s">
        <v>196</v>
      </c>
      <c r="K15" s="2" t="s">
        <v>180</v>
      </c>
      <c r="L15" s="2" t="s">
        <v>156</v>
      </c>
      <c r="M15" s="2" t="s">
        <v>181</v>
      </c>
      <c r="N15" s="21">
        <f>D15*IF(F15="CS",VLOOKUP(L15,'Item Master'!$A$5:$E$16,5,FALSE),1)</f>
        <v>405</v>
      </c>
      <c r="O15" s="22">
        <f>N15*G15*VLOOKUP(H15,'FX Rates'!$A$5:$B$8,2,FALSE)</f>
        <v>25515</v>
      </c>
    </row>
    <row r="16" spans="1:15">
      <c r="A16" s="2" t="s">
        <v>159</v>
      </c>
      <c r="B16" s="2" t="s">
        <v>182</v>
      </c>
      <c r="C16" s="2" t="s">
        <v>178</v>
      </c>
      <c r="D16" s="2">
        <v>442</v>
      </c>
      <c r="E16" s="2">
        <v>0</v>
      </c>
      <c r="F16" s="2" t="s">
        <v>121</v>
      </c>
      <c r="G16" s="19">
        <v>42.582417582417584</v>
      </c>
      <c r="H16" s="2" t="s">
        <v>183</v>
      </c>
      <c r="I16" s="20">
        <v>46234</v>
      </c>
      <c r="J16" s="2" t="s">
        <v>197</v>
      </c>
      <c r="K16" s="2" t="s">
        <v>180</v>
      </c>
      <c r="L16" s="2" t="s">
        <v>159</v>
      </c>
      <c r="M16" s="2" t="s">
        <v>185</v>
      </c>
      <c r="N16" s="21">
        <f>D16*IF(F16="CS",VLOOKUP(L16,'Item Master'!$A$5:$E$16,5,FALSE),1)</f>
        <v>442</v>
      </c>
      <c r="O16" s="22">
        <f>N16*G16*VLOOKUP(H16,'FX Rates'!$A$5:$B$8,2,FALSE)</f>
        <v>13702</v>
      </c>
    </row>
    <row r="17" spans="1:15">
      <c r="A17" s="2" t="s">
        <v>119</v>
      </c>
      <c r="B17" s="2" t="s">
        <v>172</v>
      </c>
      <c r="C17" s="2" t="s">
        <v>178</v>
      </c>
      <c r="D17" s="2">
        <v>120</v>
      </c>
      <c r="E17" s="2">
        <v>0</v>
      </c>
      <c r="F17" s="2" t="s">
        <v>121</v>
      </c>
      <c r="G17" s="19">
        <v>429</v>
      </c>
      <c r="H17" s="2" t="s">
        <v>8</v>
      </c>
      <c r="I17" s="20">
        <v>46234</v>
      </c>
      <c r="J17" s="2" t="s">
        <v>198</v>
      </c>
      <c r="K17" s="2" t="s">
        <v>180</v>
      </c>
      <c r="L17" s="2" t="s">
        <v>119</v>
      </c>
      <c r="M17" s="2" t="s">
        <v>187</v>
      </c>
      <c r="N17" s="21">
        <f>D17</f>
        <v>120</v>
      </c>
      <c r="O17" s="22">
        <f>N17*G17</f>
        <v>51480</v>
      </c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8"/>
  <sheetViews>
    <sheetView showGridLines="0" workbookViewId="0"/>
  </sheetViews>
  <sheetFormatPr baseColWidth="10" defaultColWidth="8.83203125" defaultRowHeight="15"/>
  <cols>
    <col min="1" max="2" width="14" customWidth="1"/>
    <col min="3" max="3" width="27" customWidth="1"/>
    <col min="4" max="15" width="14" customWidth="1"/>
  </cols>
  <sheetData>
    <row r="1" spans="1:15" ht="30" customHeight="1">
      <c r="A1" s="31" t="s">
        <v>199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32" customHeight="1">
      <c r="A2" s="32" t="s">
        <v>200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48">
      <c r="A4" s="1" t="s">
        <v>63</v>
      </c>
      <c r="B4" s="1" t="s">
        <v>57</v>
      </c>
      <c r="C4" s="1" t="s">
        <v>201</v>
      </c>
      <c r="D4" s="1" t="s">
        <v>69</v>
      </c>
      <c r="E4" s="1" t="s">
        <v>75</v>
      </c>
      <c r="F4" s="1" t="s">
        <v>80</v>
      </c>
      <c r="G4" s="1" t="s">
        <v>85</v>
      </c>
      <c r="H4" s="1" t="s">
        <v>91</v>
      </c>
      <c r="I4" s="1" t="s">
        <v>103</v>
      </c>
      <c r="J4" s="1" t="s">
        <v>97</v>
      </c>
      <c r="K4" s="1" t="s">
        <v>202</v>
      </c>
      <c r="L4" s="1" t="s">
        <v>168</v>
      </c>
      <c r="M4" s="1" t="s">
        <v>169</v>
      </c>
      <c r="N4" s="1" t="s">
        <v>170</v>
      </c>
      <c r="O4" s="1" t="s">
        <v>171</v>
      </c>
    </row>
    <row r="5" spans="1:15">
      <c r="A5" s="2" t="s">
        <v>203</v>
      </c>
      <c r="B5" s="2" t="s">
        <v>204</v>
      </c>
      <c r="C5" s="2" t="s">
        <v>120</v>
      </c>
      <c r="D5" s="2">
        <v>4</v>
      </c>
      <c r="E5" s="2">
        <v>2</v>
      </c>
      <c r="F5" s="2">
        <v>1</v>
      </c>
      <c r="G5" s="2" t="s">
        <v>121</v>
      </c>
      <c r="H5" s="19">
        <v>429</v>
      </c>
      <c r="I5" s="2" t="s">
        <v>8</v>
      </c>
      <c r="J5" s="20">
        <v>46231</v>
      </c>
      <c r="K5" s="2" t="s">
        <v>205</v>
      </c>
      <c r="L5" s="2" t="s">
        <v>119</v>
      </c>
      <c r="M5" s="2" t="s">
        <v>203</v>
      </c>
      <c r="N5" s="21">
        <f t="shared" ref="N5:N28" si="0">D5</f>
        <v>4</v>
      </c>
      <c r="O5" s="22">
        <f>N5*H5*VLOOKUP(I5,'FX Rates'!$A$5:$B$8,2,FALSE)</f>
        <v>1716</v>
      </c>
    </row>
    <row r="6" spans="1:15">
      <c r="A6" s="2" t="s">
        <v>206</v>
      </c>
      <c r="B6" s="2" t="s">
        <v>125</v>
      </c>
      <c r="C6" s="2" t="s">
        <v>126</v>
      </c>
      <c r="D6" s="2">
        <v>15</v>
      </c>
      <c r="E6" s="2">
        <v>0</v>
      </c>
      <c r="F6" s="2">
        <v>0</v>
      </c>
      <c r="G6" s="2" t="s">
        <v>121</v>
      </c>
      <c r="H6" s="19">
        <v>489</v>
      </c>
      <c r="I6" s="2" t="s">
        <v>8</v>
      </c>
      <c r="J6" s="20">
        <v>46234</v>
      </c>
      <c r="K6" s="2" t="s">
        <v>207</v>
      </c>
      <c r="L6" s="2" t="s">
        <v>125</v>
      </c>
      <c r="M6" s="2" t="s">
        <v>206</v>
      </c>
      <c r="N6" s="21">
        <f t="shared" si="0"/>
        <v>15</v>
      </c>
      <c r="O6" s="22">
        <f>N6*H6*VLOOKUP(I6,'FX Rates'!$A$5:$B$8,2,FALSE)</f>
        <v>7335</v>
      </c>
    </row>
    <row r="7" spans="1:15">
      <c r="A7" s="2" t="s">
        <v>208</v>
      </c>
      <c r="B7" s="2" t="s">
        <v>128</v>
      </c>
      <c r="C7" s="2" t="s">
        <v>129</v>
      </c>
      <c r="D7" s="2">
        <v>26</v>
      </c>
      <c r="E7" s="2">
        <v>0</v>
      </c>
      <c r="F7" s="2">
        <v>0</v>
      </c>
      <c r="G7" s="2" t="s">
        <v>121</v>
      </c>
      <c r="H7" s="19">
        <v>310</v>
      </c>
      <c r="I7" s="2" t="s">
        <v>8</v>
      </c>
      <c r="J7" s="20">
        <v>46234</v>
      </c>
      <c r="K7" s="2" t="s">
        <v>207</v>
      </c>
      <c r="L7" s="2" t="s">
        <v>128</v>
      </c>
      <c r="M7" s="2" t="s">
        <v>208</v>
      </c>
      <c r="N7" s="21">
        <f t="shared" si="0"/>
        <v>26</v>
      </c>
      <c r="O7" s="22">
        <f>N7*H7*VLOOKUP(I7,'FX Rates'!$A$5:$B$8,2,FALSE)</f>
        <v>8060</v>
      </c>
    </row>
    <row r="8" spans="1:15">
      <c r="A8" s="2" t="s">
        <v>209</v>
      </c>
      <c r="B8" s="2" t="s">
        <v>210</v>
      </c>
      <c r="C8" s="2" t="s">
        <v>132</v>
      </c>
      <c r="D8" s="2">
        <v>37</v>
      </c>
      <c r="E8" s="2">
        <v>0</v>
      </c>
      <c r="F8" s="2">
        <v>0</v>
      </c>
      <c r="G8" s="2" t="s">
        <v>121</v>
      </c>
      <c r="H8" s="19">
        <v>1009.6153846153846</v>
      </c>
      <c r="I8" s="2" t="s">
        <v>183</v>
      </c>
      <c r="J8" s="20">
        <v>46234</v>
      </c>
      <c r="K8" s="2" t="s">
        <v>207</v>
      </c>
      <c r="L8" s="2" t="s">
        <v>131</v>
      </c>
      <c r="M8" s="2" t="s">
        <v>209</v>
      </c>
      <c r="N8" s="21">
        <f t="shared" si="0"/>
        <v>37</v>
      </c>
      <c r="O8" s="22">
        <f>N8*H8*VLOOKUP(I8,'FX Rates'!$A$5:$B$8,2,FALSE)</f>
        <v>27195</v>
      </c>
    </row>
    <row r="9" spans="1:15">
      <c r="A9" s="2" t="s">
        <v>203</v>
      </c>
      <c r="B9" s="2" t="s">
        <v>134</v>
      </c>
      <c r="C9" s="2" t="s">
        <v>135</v>
      </c>
      <c r="D9" s="2">
        <v>48</v>
      </c>
      <c r="E9" s="2">
        <v>0</v>
      </c>
      <c r="F9" s="2">
        <v>0</v>
      </c>
      <c r="G9" s="2" t="s">
        <v>121</v>
      </c>
      <c r="H9" s="19">
        <v>86</v>
      </c>
      <c r="I9" s="2" t="s">
        <v>8</v>
      </c>
      <c r="J9" s="20">
        <v>46234</v>
      </c>
      <c r="K9" s="2" t="s">
        <v>207</v>
      </c>
      <c r="L9" s="2" t="s">
        <v>134</v>
      </c>
      <c r="M9" s="2" t="s">
        <v>203</v>
      </c>
      <c r="N9" s="21">
        <f t="shared" si="0"/>
        <v>48</v>
      </c>
      <c r="O9" s="22">
        <f>N9*H9*VLOOKUP(I9,'FX Rates'!$A$5:$B$8,2,FALSE)</f>
        <v>4128</v>
      </c>
    </row>
    <row r="10" spans="1:15">
      <c r="A10" s="2" t="s">
        <v>206</v>
      </c>
      <c r="B10" s="2" t="s">
        <v>137</v>
      </c>
      <c r="C10" s="2" t="s">
        <v>138</v>
      </c>
      <c r="D10" s="2">
        <v>59</v>
      </c>
      <c r="E10" s="2">
        <v>0</v>
      </c>
      <c r="F10" s="2">
        <v>0</v>
      </c>
      <c r="G10" s="2" t="s">
        <v>121</v>
      </c>
      <c r="H10" s="19">
        <v>44</v>
      </c>
      <c r="I10" s="2" t="s">
        <v>8</v>
      </c>
      <c r="J10" s="20">
        <v>46234</v>
      </c>
      <c r="K10" s="2" t="s">
        <v>207</v>
      </c>
      <c r="L10" s="2" t="s">
        <v>137</v>
      </c>
      <c r="M10" s="2" t="s">
        <v>206</v>
      </c>
      <c r="N10" s="21">
        <f t="shared" si="0"/>
        <v>59</v>
      </c>
      <c r="O10" s="22">
        <f>N10*H10*VLOOKUP(I10,'FX Rates'!$A$5:$B$8,2,FALSE)</f>
        <v>2596</v>
      </c>
    </row>
    <row r="11" spans="1:15">
      <c r="A11" s="2" t="s">
        <v>208</v>
      </c>
      <c r="B11" s="2" t="s">
        <v>211</v>
      </c>
      <c r="C11" s="2" t="s">
        <v>141</v>
      </c>
      <c r="D11" s="2">
        <v>12</v>
      </c>
      <c r="E11" s="2">
        <v>0</v>
      </c>
      <c r="F11" s="2">
        <v>0</v>
      </c>
      <c r="G11" s="2" t="s">
        <v>121</v>
      </c>
      <c r="H11" s="19">
        <v>57</v>
      </c>
      <c r="I11" s="2" t="s">
        <v>8</v>
      </c>
      <c r="J11" s="20">
        <v>46234</v>
      </c>
      <c r="K11" s="2" t="s">
        <v>207</v>
      </c>
      <c r="L11" s="2" t="s">
        <v>140</v>
      </c>
      <c r="M11" s="2" t="s">
        <v>208</v>
      </c>
      <c r="N11" s="21">
        <f t="shared" si="0"/>
        <v>12</v>
      </c>
      <c r="O11" s="22">
        <f>N11*H11*VLOOKUP(I11,'FX Rates'!$A$5:$B$8,2,FALSE)</f>
        <v>684</v>
      </c>
    </row>
    <row r="12" spans="1:15">
      <c r="A12" s="2" t="s">
        <v>209</v>
      </c>
      <c r="B12" s="2" t="s">
        <v>145</v>
      </c>
      <c r="C12" s="2" t="s">
        <v>146</v>
      </c>
      <c r="D12" s="2">
        <v>23</v>
      </c>
      <c r="E12" s="2">
        <v>2</v>
      </c>
      <c r="F12" s="2">
        <v>0</v>
      </c>
      <c r="G12" s="2" t="s">
        <v>121</v>
      </c>
      <c r="H12" s="19">
        <v>97.527472527472526</v>
      </c>
      <c r="I12" s="2" t="s">
        <v>183</v>
      </c>
      <c r="J12" s="20">
        <v>46234</v>
      </c>
      <c r="K12" s="2" t="s">
        <v>207</v>
      </c>
      <c r="L12" s="2" t="s">
        <v>145</v>
      </c>
      <c r="M12" s="2" t="s">
        <v>209</v>
      </c>
      <c r="N12" s="21">
        <f t="shared" si="0"/>
        <v>23</v>
      </c>
      <c r="O12" s="22">
        <f>N12*H12*VLOOKUP(I12,'FX Rates'!$A$5:$B$8,2,FALSE)</f>
        <v>1632.9999999999998</v>
      </c>
    </row>
    <row r="13" spans="1:15">
      <c r="A13" s="2" t="s">
        <v>203</v>
      </c>
      <c r="B13" s="2" t="s">
        <v>148</v>
      </c>
      <c r="C13" s="2" t="s">
        <v>149</v>
      </c>
      <c r="D13" s="2">
        <v>34</v>
      </c>
      <c r="E13" s="2">
        <v>0</v>
      </c>
      <c r="F13" s="2">
        <v>0</v>
      </c>
      <c r="G13" s="2" t="s">
        <v>121</v>
      </c>
      <c r="H13" s="19">
        <v>14</v>
      </c>
      <c r="I13" s="2" t="s">
        <v>8</v>
      </c>
      <c r="J13" s="20">
        <v>46231</v>
      </c>
      <c r="K13" s="2" t="s">
        <v>205</v>
      </c>
      <c r="L13" s="2" t="s">
        <v>148</v>
      </c>
      <c r="M13" s="2" t="s">
        <v>203</v>
      </c>
      <c r="N13" s="21">
        <f t="shared" si="0"/>
        <v>34</v>
      </c>
      <c r="O13" s="22">
        <f>N13*H13*VLOOKUP(I13,'FX Rates'!$A$5:$B$8,2,FALSE)</f>
        <v>476</v>
      </c>
    </row>
    <row r="14" spans="1:15">
      <c r="A14" s="2" t="s">
        <v>206</v>
      </c>
      <c r="B14" s="2" t="s">
        <v>212</v>
      </c>
      <c r="C14" s="2" t="s">
        <v>153</v>
      </c>
      <c r="D14" s="2">
        <v>45</v>
      </c>
      <c r="E14" s="2">
        <v>0</v>
      </c>
      <c r="F14" s="2">
        <v>1</v>
      </c>
      <c r="G14" s="2" t="s">
        <v>121</v>
      </c>
      <c r="H14" s="19">
        <v>4.2</v>
      </c>
      <c r="I14" s="2" t="s">
        <v>8</v>
      </c>
      <c r="J14" s="20">
        <v>46234</v>
      </c>
      <c r="K14" s="2" t="s">
        <v>207</v>
      </c>
      <c r="L14" s="2" t="s">
        <v>152</v>
      </c>
      <c r="M14" s="2" t="s">
        <v>206</v>
      </c>
      <c r="N14" s="21">
        <f t="shared" si="0"/>
        <v>45</v>
      </c>
      <c r="O14" s="22">
        <f>N14*H14*VLOOKUP(I14,'FX Rates'!$A$5:$B$8,2,FALSE)</f>
        <v>189</v>
      </c>
    </row>
    <row r="15" spans="1:15">
      <c r="A15" s="2" t="s">
        <v>208</v>
      </c>
      <c r="B15" s="2" t="s">
        <v>156</v>
      </c>
      <c r="C15" s="2" t="s">
        <v>157</v>
      </c>
      <c r="D15" s="2">
        <v>56</v>
      </c>
      <c r="E15" s="2">
        <v>0</v>
      </c>
      <c r="F15" s="2">
        <v>0</v>
      </c>
      <c r="G15" s="2" t="s">
        <v>121</v>
      </c>
      <c r="H15" s="19">
        <v>63</v>
      </c>
      <c r="I15" s="2" t="s">
        <v>8</v>
      </c>
      <c r="J15" s="20">
        <v>46234</v>
      </c>
      <c r="K15" s="2" t="s">
        <v>207</v>
      </c>
      <c r="L15" s="2" t="s">
        <v>156</v>
      </c>
      <c r="M15" s="2" t="s">
        <v>208</v>
      </c>
      <c r="N15" s="21">
        <f t="shared" si="0"/>
        <v>56</v>
      </c>
      <c r="O15" s="22">
        <f>N15*H15*VLOOKUP(I15,'FX Rates'!$A$5:$B$8,2,FALSE)</f>
        <v>3528</v>
      </c>
    </row>
    <row r="16" spans="1:15">
      <c r="A16" s="2" t="s">
        <v>209</v>
      </c>
      <c r="B16" s="2" t="s">
        <v>159</v>
      </c>
      <c r="C16" s="2" t="s">
        <v>160</v>
      </c>
      <c r="D16" s="2">
        <v>9</v>
      </c>
      <c r="E16" s="2">
        <v>0</v>
      </c>
      <c r="F16" s="2">
        <v>0</v>
      </c>
      <c r="G16" s="2" t="s">
        <v>121</v>
      </c>
      <c r="H16" s="19"/>
      <c r="I16" s="2" t="s">
        <v>183</v>
      </c>
      <c r="J16" s="20">
        <v>46234</v>
      </c>
      <c r="K16" s="2" t="s">
        <v>207</v>
      </c>
      <c r="L16" s="2" t="s">
        <v>159</v>
      </c>
      <c r="M16" s="2" t="s">
        <v>209</v>
      </c>
      <c r="N16" s="21">
        <f t="shared" si="0"/>
        <v>9</v>
      </c>
      <c r="O16" s="22">
        <f>N16*H16*VLOOKUP(I16,'FX Rates'!$A$5:$B$8,2,FALSE)</f>
        <v>0</v>
      </c>
    </row>
    <row r="17" spans="1:15">
      <c r="A17" s="2" t="s">
        <v>203</v>
      </c>
      <c r="B17" s="2" t="s">
        <v>204</v>
      </c>
      <c r="C17" s="2" t="s">
        <v>120</v>
      </c>
      <c r="D17" s="2">
        <v>20</v>
      </c>
      <c r="E17" s="2">
        <v>0</v>
      </c>
      <c r="F17" s="2">
        <v>0</v>
      </c>
      <c r="G17" s="2" t="s">
        <v>121</v>
      </c>
      <c r="H17" s="19">
        <v>429</v>
      </c>
      <c r="I17" s="2" t="s">
        <v>8</v>
      </c>
      <c r="J17" s="20">
        <v>46234</v>
      </c>
      <c r="K17" s="2" t="s">
        <v>207</v>
      </c>
      <c r="L17" s="2" t="s">
        <v>119</v>
      </c>
      <c r="M17" s="2" t="s">
        <v>203</v>
      </c>
      <c r="N17" s="21">
        <f t="shared" si="0"/>
        <v>20</v>
      </c>
      <c r="O17" s="22">
        <f>N17*H17*VLOOKUP(I17,'FX Rates'!$A$5:$B$8,2,FALSE)</f>
        <v>8580</v>
      </c>
    </row>
    <row r="18" spans="1:15">
      <c r="A18" s="2" t="s">
        <v>206</v>
      </c>
      <c r="B18" s="2" t="s">
        <v>125</v>
      </c>
      <c r="C18" s="2" t="s">
        <v>126</v>
      </c>
      <c r="D18" s="2">
        <v>31</v>
      </c>
      <c r="E18" s="2">
        <v>0</v>
      </c>
      <c r="F18" s="2">
        <v>0</v>
      </c>
      <c r="G18" s="2" t="s">
        <v>121</v>
      </c>
      <c r="H18" s="19">
        <v>489</v>
      </c>
      <c r="I18" s="2" t="s">
        <v>8</v>
      </c>
      <c r="J18" s="20">
        <v>46234</v>
      </c>
      <c r="K18" s="2" t="s">
        <v>207</v>
      </c>
      <c r="L18" s="2" t="s">
        <v>125</v>
      </c>
      <c r="M18" s="2" t="s">
        <v>206</v>
      </c>
      <c r="N18" s="21">
        <f t="shared" si="0"/>
        <v>31</v>
      </c>
      <c r="O18" s="22">
        <f>N18*H18*VLOOKUP(I18,'FX Rates'!$A$5:$B$8,2,FALSE)</f>
        <v>15159</v>
      </c>
    </row>
    <row r="19" spans="1:15">
      <c r="A19" s="2" t="s">
        <v>208</v>
      </c>
      <c r="B19" s="2" t="s">
        <v>128</v>
      </c>
      <c r="C19" s="2" t="s">
        <v>129</v>
      </c>
      <c r="D19" s="2">
        <v>42</v>
      </c>
      <c r="E19" s="2">
        <v>2</v>
      </c>
      <c r="F19" s="2">
        <v>0</v>
      </c>
      <c r="G19" s="2" t="s">
        <v>121</v>
      </c>
      <c r="H19" s="19">
        <v>310</v>
      </c>
      <c r="I19" s="2" t="s">
        <v>8</v>
      </c>
      <c r="J19" s="20">
        <v>46234</v>
      </c>
      <c r="K19" s="2" t="s">
        <v>207</v>
      </c>
      <c r="L19" s="2" t="s">
        <v>128</v>
      </c>
      <c r="M19" s="2" t="s">
        <v>208</v>
      </c>
      <c r="N19" s="21">
        <f t="shared" si="0"/>
        <v>42</v>
      </c>
      <c r="O19" s="22">
        <f>N19*H19*VLOOKUP(I19,'FX Rates'!$A$5:$B$8,2,FALSE)</f>
        <v>13020</v>
      </c>
    </row>
    <row r="20" spans="1:15">
      <c r="A20" s="2" t="s">
        <v>209</v>
      </c>
      <c r="B20" s="2" t="s">
        <v>210</v>
      </c>
      <c r="C20" s="2" t="s">
        <v>132</v>
      </c>
      <c r="D20" s="2">
        <v>53</v>
      </c>
      <c r="E20" s="2">
        <v>0</v>
      </c>
      <c r="F20" s="2">
        <v>0</v>
      </c>
      <c r="G20" s="2" t="s">
        <v>121</v>
      </c>
      <c r="H20" s="19">
        <v>1009.6153846153846</v>
      </c>
      <c r="I20" s="2" t="s">
        <v>183</v>
      </c>
      <c r="J20" s="20">
        <v>46234</v>
      </c>
      <c r="K20" s="2" t="s">
        <v>207</v>
      </c>
      <c r="L20" s="2" t="s">
        <v>131</v>
      </c>
      <c r="M20" s="2" t="s">
        <v>209</v>
      </c>
      <c r="N20" s="21">
        <f t="shared" si="0"/>
        <v>53</v>
      </c>
      <c r="O20" s="22">
        <f>N20*H20*VLOOKUP(I20,'FX Rates'!$A$5:$B$8,2,FALSE)</f>
        <v>38955</v>
      </c>
    </row>
    <row r="21" spans="1:15">
      <c r="A21" s="2" t="s">
        <v>203</v>
      </c>
      <c r="B21" s="2" t="s">
        <v>134</v>
      </c>
      <c r="C21" s="2" t="s">
        <v>135</v>
      </c>
      <c r="D21" s="2">
        <v>6</v>
      </c>
      <c r="E21" s="2">
        <v>0</v>
      </c>
      <c r="F21" s="2">
        <v>0</v>
      </c>
      <c r="G21" s="2" t="s">
        <v>121</v>
      </c>
      <c r="H21" s="19">
        <v>86</v>
      </c>
      <c r="I21" s="2" t="s">
        <v>8</v>
      </c>
      <c r="J21" s="20">
        <v>46231</v>
      </c>
      <c r="K21" s="2" t="s">
        <v>205</v>
      </c>
      <c r="L21" s="2" t="s">
        <v>134</v>
      </c>
      <c r="M21" s="2" t="s">
        <v>203</v>
      </c>
      <c r="N21" s="21">
        <f t="shared" si="0"/>
        <v>6</v>
      </c>
      <c r="O21" s="22">
        <f>N21*H21*VLOOKUP(I21,'FX Rates'!$A$5:$B$8,2,FALSE)</f>
        <v>516</v>
      </c>
    </row>
    <row r="22" spans="1:15">
      <c r="A22" s="2" t="s">
        <v>206</v>
      </c>
      <c r="B22" s="2" t="s">
        <v>137</v>
      </c>
      <c r="C22" s="2" t="s">
        <v>138</v>
      </c>
      <c r="D22" s="2">
        <v>17</v>
      </c>
      <c r="E22" s="2">
        <v>0</v>
      </c>
      <c r="F22" s="2">
        <v>0</v>
      </c>
      <c r="G22" s="2" t="s">
        <v>121</v>
      </c>
      <c r="H22" s="19">
        <v>44</v>
      </c>
      <c r="I22" s="2" t="s">
        <v>8</v>
      </c>
      <c r="J22" s="20">
        <v>46234</v>
      </c>
      <c r="K22" s="2" t="s">
        <v>207</v>
      </c>
      <c r="L22" s="2" t="s">
        <v>137</v>
      </c>
      <c r="M22" s="2" t="s">
        <v>206</v>
      </c>
      <c r="N22" s="21">
        <f t="shared" si="0"/>
        <v>17</v>
      </c>
      <c r="O22" s="22">
        <f>N22*H22*VLOOKUP(I22,'FX Rates'!$A$5:$B$8,2,FALSE)</f>
        <v>748</v>
      </c>
    </row>
    <row r="23" spans="1:15">
      <c r="A23" s="2" t="s">
        <v>208</v>
      </c>
      <c r="B23" s="2" t="s">
        <v>211</v>
      </c>
      <c r="C23" s="2" t="s">
        <v>141</v>
      </c>
      <c r="D23" s="2">
        <v>28</v>
      </c>
      <c r="E23" s="2">
        <v>0</v>
      </c>
      <c r="F23" s="2">
        <v>1</v>
      </c>
      <c r="G23" s="2" t="s">
        <v>121</v>
      </c>
      <c r="H23" s="19">
        <v>57</v>
      </c>
      <c r="I23" s="2" t="s">
        <v>8</v>
      </c>
      <c r="J23" s="20">
        <v>46234</v>
      </c>
      <c r="K23" s="2" t="s">
        <v>207</v>
      </c>
      <c r="L23" s="2" t="s">
        <v>140</v>
      </c>
      <c r="M23" s="2" t="s">
        <v>208</v>
      </c>
      <c r="N23" s="21">
        <f t="shared" si="0"/>
        <v>28</v>
      </c>
      <c r="O23" s="22">
        <f>N23*H23*VLOOKUP(I23,'FX Rates'!$A$5:$B$8,2,FALSE)</f>
        <v>1596</v>
      </c>
    </row>
    <row r="24" spans="1:15">
      <c r="A24" s="2" t="s">
        <v>209</v>
      </c>
      <c r="B24" s="2" t="s">
        <v>145</v>
      </c>
      <c r="C24" s="2" t="s">
        <v>146</v>
      </c>
      <c r="D24" s="2">
        <v>39</v>
      </c>
      <c r="E24" s="2">
        <v>0</v>
      </c>
      <c r="F24" s="2">
        <v>0</v>
      </c>
      <c r="G24" s="2" t="s">
        <v>121</v>
      </c>
      <c r="H24" s="19">
        <v>97.527472527472526</v>
      </c>
      <c r="I24" s="2" t="s">
        <v>183</v>
      </c>
      <c r="J24" s="20">
        <v>46234</v>
      </c>
      <c r="K24" s="2" t="s">
        <v>207</v>
      </c>
      <c r="L24" s="2" t="s">
        <v>145</v>
      </c>
      <c r="M24" s="2" t="s">
        <v>209</v>
      </c>
      <c r="N24" s="21">
        <f t="shared" si="0"/>
        <v>39</v>
      </c>
      <c r="O24" s="22">
        <f>N24*H24*VLOOKUP(I24,'FX Rates'!$A$5:$B$8,2,FALSE)</f>
        <v>2769</v>
      </c>
    </row>
    <row r="25" spans="1:15">
      <c r="A25" s="2" t="s">
        <v>203</v>
      </c>
      <c r="B25" s="2" t="s">
        <v>148</v>
      </c>
      <c r="C25" s="2" t="s">
        <v>149</v>
      </c>
      <c r="D25" s="2">
        <v>50</v>
      </c>
      <c r="E25" s="2">
        <v>0</v>
      </c>
      <c r="F25" s="2">
        <v>0</v>
      </c>
      <c r="G25" s="2" t="s">
        <v>121</v>
      </c>
      <c r="H25" s="19">
        <v>14</v>
      </c>
      <c r="I25" s="2" t="s">
        <v>8</v>
      </c>
      <c r="J25" s="20">
        <v>46234</v>
      </c>
      <c r="K25" s="2" t="s">
        <v>207</v>
      </c>
      <c r="L25" s="2" t="s">
        <v>148</v>
      </c>
      <c r="M25" s="2" t="s">
        <v>203</v>
      </c>
      <c r="N25" s="21">
        <f t="shared" si="0"/>
        <v>50</v>
      </c>
      <c r="O25" s="22">
        <f>N25*H25*VLOOKUP(I25,'FX Rates'!$A$5:$B$8,2,FALSE)</f>
        <v>700</v>
      </c>
    </row>
    <row r="26" spans="1:15">
      <c r="A26" s="2" t="s">
        <v>206</v>
      </c>
      <c r="B26" s="2" t="s">
        <v>212</v>
      </c>
      <c r="C26" s="2" t="s">
        <v>153</v>
      </c>
      <c r="D26" s="2">
        <v>61</v>
      </c>
      <c r="E26" s="2">
        <v>2</v>
      </c>
      <c r="F26" s="2">
        <v>0</v>
      </c>
      <c r="G26" s="2" t="s">
        <v>121</v>
      </c>
      <c r="H26" s="19">
        <v>4.2</v>
      </c>
      <c r="I26" s="2" t="s">
        <v>8</v>
      </c>
      <c r="J26" s="20">
        <v>46234</v>
      </c>
      <c r="K26" s="2" t="s">
        <v>207</v>
      </c>
      <c r="L26" s="2" t="s">
        <v>152</v>
      </c>
      <c r="M26" s="2" t="s">
        <v>206</v>
      </c>
      <c r="N26" s="21">
        <f t="shared" si="0"/>
        <v>61</v>
      </c>
      <c r="O26" s="22">
        <f>N26*H26*VLOOKUP(I26,'FX Rates'!$A$5:$B$8,2,FALSE)</f>
        <v>256.2</v>
      </c>
    </row>
    <row r="27" spans="1:15">
      <c r="A27" s="2" t="s">
        <v>208</v>
      </c>
      <c r="B27" s="2" t="s">
        <v>156</v>
      </c>
      <c r="C27" s="2" t="s">
        <v>157</v>
      </c>
      <c r="D27" s="2">
        <v>14</v>
      </c>
      <c r="E27" s="2">
        <v>0</v>
      </c>
      <c r="F27" s="2">
        <v>0</v>
      </c>
      <c r="G27" s="2" t="s">
        <v>121</v>
      </c>
      <c r="H27" s="19">
        <v>63</v>
      </c>
      <c r="I27" s="2" t="s">
        <v>8</v>
      </c>
      <c r="J27" s="20">
        <v>46234</v>
      </c>
      <c r="K27" s="2" t="s">
        <v>207</v>
      </c>
      <c r="L27" s="2" t="s">
        <v>156</v>
      </c>
      <c r="M27" s="2" t="s">
        <v>208</v>
      </c>
      <c r="N27" s="21">
        <f t="shared" si="0"/>
        <v>14</v>
      </c>
      <c r="O27" s="22">
        <f>N27*H27*VLOOKUP(I27,'FX Rates'!$A$5:$B$8,2,FALSE)</f>
        <v>882</v>
      </c>
    </row>
    <row r="28" spans="1:15">
      <c r="A28" s="2" t="s">
        <v>209</v>
      </c>
      <c r="B28" s="2" t="s">
        <v>159</v>
      </c>
      <c r="C28" s="2" t="s">
        <v>160</v>
      </c>
      <c r="D28" s="2">
        <v>25</v>
      </c>
      <c r="E28" s="2">
        <v>0</v>
      </c>
      <c r="F28" s="2">
        <v>0</v>
      </c>
      <c r="G28" s="2" t="s">
        <v>121</v>
      </c>
      <c r="H28" s="19">
        <v>42.582417582417584</v>
      </c>
      <c r="I28" s="2" t="s">
        <v>183</v>
      </c>
      <c r="J28" s="20">
        <v>46234</v>
      </c>
      <c r="K28" s="2" t="s">
        <v>207</v>
      </c>
      <c r="L28" s="2" t="s">
        <v>159</v>
      </c>
      <c r="M28" s="2" t="s">
        <v>209</v>
      </c>
      <c r="N28" s="21">
        <f t="shared" si="0"/>
        <v>25</v>
      </c>
      <c r="O28" s="22">
        <f>N28*H28*VLOOKUP(I28,'FX Rates'!$A$5:$B$8,2,FALSE)</f>
        <v>775</v>
      </c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7"/>
  <sheetViews>
    <sheetView showGridLines="0" workbookViewId="0"/>
  </sheetViews>
  <sheetFormatPr baseColWidth="10" defaultColWidth="8.83203125" defaultRowHeight="15"/>
  <cols>
    <col min="1" max="8" width="15" customWidth="1"/>
    <col min="9" max="9" width="22" customWidth="1"/>
    <col min="10" max="14" width="15" customWidth="1"/>
  </cols>
  <sheetData>
    <row r="1" spans="1:14" ht="30" customHeight="1">
      <c r="A1" s="31" t="s">
        <v>213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32" customHeight="1">
      <c r="A2" s="32" t="s">
        <v>214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32">
      <c r="A4" s="1" t="s">
        <v>64</v>
      </c>
      <c r="B4" s="1" t="s">
        <v>58</v>
      </c>
      <c r="C4" s="1" t="s">
        <v>70</v>
      </c>
      <c r="D4" s="1" t="s">
        <v>76</v>
      </c>
      <c r="E4" s="1" t="s">
        <v>81</v>
      </c>
      <c r="F4" s="1" t="s">
        <v>86</v>
      </c>
      <c r="G4" s="1" t="s">
        <v>92</v>
      </c>
      <c r="H4" s="1" t="s">
        <v>104</v>
      </c>
      <c r="I4" s="1" t="s">
        <v>98</v>
      </c>
      <c r="J4" s="1" t="s">
        <v>215</v>
      </c>
      <c r="K4" s="1" t="s">
        <v>168</v>
      </c>
      <c r="L4" s="1" t="s">
        <v>169</v>
      </c>
      <c r="M4" s="1" t="s">
        <v>170</v>
      </c>
      <c r="N4" s="1" t="s">
        <v>171</v>
      </c>
    </row>
    <row r="5" spans="1:14">
      <c r="A5" s="2" t="s">
        <v>216</v>
      </c>
      <c r="B5" s="2" t="s">
        <v>119</v>
      </c>
      <c r="C5" s="2">
        <v>60</v>
      </c>
      <c r="D5" s="2">
        <v>12</v>
      </c>
      <c r="E5" s="2">
        <v>4</v>
      </c>
      <c r="F5" s="2" t="s">
        <v>121</v>
      </c>
      <c r="G5" s="2">
        <v>429</v>
      </c>
      <c r="H5" s="2" t="s">
        <v>8</v>
      </c>
      <c r="I5" s="2" t="s">
        <v>217</v>
      </c>
      <c r="J5" s="2" t="s">
        <v>218</v>
      </c>
      <c r="K5" s="2" t="s">
        <v>119</v>
      </c>
      <c r="L5" s="2" t="s">
        <v>216</v>
      </c>
      <c r="M5" s="21">
        <f>C5*IF(F5="CS",VLOOKUP(K5,'Item Master'!$A$5:$E$16,5,FALSE),1)</f>
        <v>60</v>
      </c>
      <c r="N5" s="22">
        <f t="shared" ref="N5:N17" si="0">M5*G5</f>
        <v>25740</v>
      </c>
    </row>
    <row r="6" spans="1:14">
      <c r="A6" s="2" t="s">
        <v>216</v>
      </c>
      <c r="B6" s="2" t="s">
        <v>219</v>
      </c>
      <c r="C6" s="2">
        <v>89</v>
      </c>
      <c r="D6" s="2">
        <v>0</v>
      </c>
      <c r="E6" s="2">
        <v>0</v>
      </c>
      <c r="F6" s="2" t="s">
        <v>121</v>
      </c>
      <c r="G6" s="2">
        <v>489</v>
      </c>
      <c r="H6" s="2" t="s">
        <v>8</v>
      </c>
      <c r="I6" s="2" t="s">
        <v>217</v>
      </c>
      <c r="J6" s="2" t="s">
        <v>218</v>
      </c>
      <c r="K6" s="2" t="s">
        <v>125</v>
      </c>
      <c r="L6" s="2" t="s">
        <v>216</v>
      </c>
      <c r="M6" s="21">
        <f>C6*IF(F6="CS",VLOOKUP(K6,'Item Master'!$A$5:$E$16,5,FALSE),1)</f>
        <v>89</v>
      </c>
      <c r="N6" s="22">
        <f t="shared" si="0"/>
        <v>43521</v>
      </c>
    </row>
    <row r="7" spans="1:14">
      <c r="A7" s="2" t="s">
        <v>216</v>
      </c>
      <c r="B7" s="2" t="s">
        <v>128</v>
      </c>
      <c r="C7" s="2">
        <v>118</v>
      </c>
      <c r="D7" s="2">
        <v>0</v>
      </c>
      <c r="E7" s="2">
        <v>0</v>
      </c>
      <c r="F7" s="2" t="s">
        <v>121</v>
      </c>
      <c r="G7" s="2">
        <v>310</v>
      </c>
      <c r="H7" s="2" t="s">
        <v>8</v>
      </c>
      <c r="I7" s="2" t="s">
        <v>217</v>
      </c>
      <c r="J7" s="2" t="s">
        <v>218</v>
      </c>
      <c r="K7" s="2" t="s">
        <v>128</v>
      </c>
      <c r="L7" s="2" t="s">
        <v>216</v>
      </c>
      <c r="M7" s="21">
        <f>C7*IF(F7="CS",VLOOKUP(K7,'Item Master'!$A$5:$E$16,5,FALSE),1)</f>
        <v>118</v>
      </c>
      <c r="N7" s="22">
        <f t="shared" si="0"/>
        <v>36580</v>
      </c>
    </row>
    <row r="8" spans="1:14">
      <c r="A8" s="2" t="s">
        <v>216</v>
      </c>
      <c r="B8" s="2" t="s">
        <v>220</v>
      </c>
      <c r="C8" s="2">
        <v>147</v>
      </c>
      <c r="D8" s="2">
        <v>0</v>
      </c>
      <c r="E8" s="2">
        <v>0</v>
      </c>
      <c r="F8" s="2" t="s">
        <v>121</v>
      </c>
      <c r="G8" s="2">
        <v>735</v>
      </c>
      <c r="H8" s="2" t="s">
        <v>8</v>
      </c>
      <c r="I8" s="2" t="s">
        <v>217</v>
      </c>
      <c r="J8" s="2" t="s">
        <v>218</v>
      </c>
      <c r="K8" s="2" t="s">
        <v>131</v>
      </c>
      <c r="L8" s="2" t="s">
        <v>216</v>
      </c>
      <c r="M8" s="21">
        <f>C8*IF(F8="CS",VLOOKUP(K8,'Item Master'!$A$5:$E$16,5,FALSE),1)</f>
        <v>147</v>
      </c>
      <c r="N8" s="22">
        <f t="shared" si="0"/>
        <v>108045</v>
      </c>
    </row>
    <row r="9" spans="1:14">
      <c r="A9" s="2" t="s">
        <v>216</v>
      </c>
      <c r="B9" s="2" t="s">
        <v>134</v>
      </c>
      <c r="C9" s="2">
        <v>176</v>
      </c>
      <c r="D9" s="2">
        <v>12</v>
      </c>
      <c r="E9" s="2">
        <v>0</v>
      </c>
      <c r="F9" s="2" t="s">
        <v>121</v>
      </c>
      <c r="G9" s="2">
        <v>86</v>
      </c>
      <c r="H9" s="2" t="s">
        <v>8</v>
      </c>
      <c r="I9" s="2" t="s">
        <v>217</v>
      </c>
      <c r="J9" s="2" t="s">
        <v>218</v>
      </c>
      <c r="K9" s="2" t="s">
        <v>134</v>
      </c>
      <c r="L9" s="2" t="s">
        <v>216</v>
      </c>
      <c r="M9" s="21">
        <f>C9*IF(F9="CS",VLOOKUP(K9,'Item Master'!$A$5:$E$16,5,FALSE),1)</f>
        <v>176</v>
      </c>
      <c r="N9" s="22">
        <f t="shared" si="0"/>
        <v>15136</v>
      </c>
    </row>
    <row r="10" spans="1:14">
      <c r="A10" s="2" t="s">
        <v>216</v>
      </c>
      <c r="B10" s="2" t="s">
        <v>221</v>
      </c>
      <c r="C10" s="2">
        <v>205</v>
      </c>
      <c r="D10" s="2">
        <v>0</v>
      </c>
      <c r="E10" s="2">
        <v>0</v>
      </c>
      <c r="F10" s="2" t="s">
        <v>121</v>
      </c>
      <c r="G10" s="2">
        <v>44</v>
      </c>
      <c r="H10" s="2" t="s">
        <v>8</v>
      </c>
      <c r="I10" s="2" t="s">
        <v>217</v>
      </c>
      <c r="J10" s="2" t="s">
        <v>218</v>
      </c>
      <c r="K10" s="2" t="s">
        <v>137</v>
      </c>
      <c r="L10" s="2" t="s">
        <v>216</v>
      </c>
      <c r="M10" s="21">
        <f>C10*IF(F10="CS",VLOOKUP(K10,'Item Master'!$A$5:$E$16,5,FALSE),1)</f>
        <v>205</v>
      </c>
      <c r="N10" s="22">
        <f t="shared" si="0"/>
        <v>9020</v>
      </c>
    </row>
    <row r="11" spans="1:14">
      <c r="A11" s="2" t="s">
        <v>216</v>
      </c>
      <c r="B11" s="2" t="s">
        <v>140</v>
      </c>
      <c r="C11" s="2">
        <v>234</v>
      </c>
      <c r="D11" s="2">
        <v>0</v>
      </c>
      <c r="E11" s="2">
        <v>4</v>
      </c>
      <c r="F11" s="2" t="s">
        <v>121</v>
      </c>
      <c r="G11" s="2">
        <v>57</v>
      </c>
      <c r="H11" s="2" t="s">
        <v>8</v>
      </c>
      <c r="I11" s="2" t="s">
        <v>217</v>
      </c>
      <c r="J11" s="2" t="s">
        <v>218</v>
      </c>
      <c r="K11" s="2" t="s">
        <v>140</v>
      </c>
      <c r="L11" s="2" t="s">
        <v>216</v>
      </c>
      <c r="M11" s="21">
        <f>C11*IF(F11="CS",VLOOKUP(K11,'Item Master'!$A$5:$E$16,5,FALSE),1)</f>
        <v>234</v>
      </c>
      <c r="N11" s="22">
        <f t="shared" si="0"/>
        <v>13338</v>
      </c>
    </row>
    <row r="12" spans="1:14">
      <c r="A12" s="2" t="s">
        <v>216</v>
      </c>
      <c r="B12" s="2" t="s">
        <v>222</v>
      </c>
      <c r="C12" s="2">
        <v>263</v>
      </c>
      <c r="D12" s="2">
        <v>0</v>
      </c>
      <c r="E12" s="2">
        <v>0</v>
      </c>
      <c r="F12" s="2" t="s">
        <v>121</v>
      </c>
      <c r="G12" s="2">
        <v>71</v>
      </c>
      <c r="H12" s="2" t="s">
        <v>8</v>
      </c>
      <c r="I12" s="2" t="s">
        <v>223</v>
      </c>
      <c r="J12" s="2" t="s">
        <v>218</v>
      </c>
      <c r="K12" s="2" t="s">
        <v>145</v>
      </c>
      <c r="L12" s="2" t="s">
        <v>216</v>
      </c>
      <c r="M12" s="21">
        <f>C12*IF(F12="CS",VLOOKUP(K12,'Item Master'!$A$5:$E$16,5,FALSE),1)</f>
        <v>263</v>
      </c>
      <c r="N12" s="22">
        <f t="shared" si="0"/>
        <v>18673</v>
      </c>
    </row>
    <row r="13" spans="1:14">
      <c r="A13" s="2" t="s">
        <v>216</v>
      </c>
      <c r="B13" s="2" t="s">
        <v>148</v>
      </c>
      <c r="C13" s="2">
        <v>16</v>
      </c>
      <c r="D13" s="2">
        <v>12</v>
      </c>
      <c r="E13" s="2">
        <v>0</v>
      </c>
      <c r="F13" s="2" t="s">
        <v>150</v>
      </c>
      <c r="G13" s="2">
        <v>14</v>
      </c>
      <c r="H13" s="2" t="s">
        <v>8</v>
      </c>
      <c r="I13" s="2" t="s">
        <v>217</v>
      </c>
      <c r="J13" s="2" t="s">
        <v>218</v>
      </c>
      <c r="K13" s="2" t="s">
        <v>148</v>
      </c>
      <c r="L13" s="2" t="s">
        <v>216</v>
      </c>
      <c r="M13" s="21">
        <f>C13*IF(F13="CS",VLOOKUP(K13,'Item Master'!$A$5:$E$16,5,FALSE),1)</f>
        <v>192</v>
      </c>
      <c r="N13" s="22">
        <f t="shared" si="0"/>
        <v>2688</v>
      </c>
    </row>
    <row r="14" spans="1:14">
      <c r="A14" s="2" t="s">
        <v>216</v>
      </c>
      <c r="B14" s="2" t="s">
        <v>224</v>
      </c>
      <c r="C14" s="2">
        <v>17</v>
      </c>
      <c r="D14" s="2">
        <v>0</v>
      </c>
      <c r="E14" s="2">
        <v>0</v>
      </c>
      <c r="F14" s="2" t="s">
        <v>150</v>
      </c>
      <c r="G14" s="2">
        <v>4.2</v>
      </c>
      <c r="H14" s="2" t="s">
        <v>8</v>
      </c>
      <c r="I14" s="2" t="s">
        <v>217</v>
      </c>
      <c r="J14" s="2" t="s">
        <v>218</v>
      </c>
      <c r="K14" s="2" t="s">
        <v>152</v>
      </c>
      <c r="L14" s="2" t="s">
        <v>216</v>
      </c>
      <c r="M14" s="21">
        <f>C14*IF(F14="CS",VLOOKUP(K14,'Item Master'!$A$5:$E$16,5,FALSE),1)</f>
        <v>408</v>
      </c>
      <c r="N14" s="22">
        <f t="shared" si="0"/>
        <v>1713.6000000000001</v>
      </c>
    </row>
    <row r="15" spans="1:14">
      <c r="A15" s="2" t="s">
        <v>216</v>
      </c>
      <c r="B15" s="2" t="s">
        <v>156</v>
      </c>
      <c r="C15" s="2">
        <v>110</v>
      </c>
      <c r="D15" s="2">
        <v>0</v>
      </c>
      <c r="E15" s="2">
        <v>0</v>
      </c>
      <c r="F15" s="2" t="s">
        <v>121</v>
      </c>
      <c r="G15" s="2">
        <v>63</v>
      </c>
      <c r="H15" s="2" t="s">
        <v>8</v>
      </c>
      <c r="I15" s="2" t="s">
        <v>217</v>
      </c>
      <c r="J15" s="2" t="s">
        <v>225</v>
      </c>
      <c r="K15" s="2" t="s">
        <v>156</v>
      </c>
      <c r="L15" s="2" t="s">
        <v>216</v>
      </c>
      <c r="M15" s="21">
        <f>C15*IF(F15="CS",VLOOKUP(K15,'Item Master'!$A$5:$E$16,5,FALSE),1)</f>
        <v>110</v>
      </c>
      <c r="N15" s="22">
        <f t="shared" si="0"/>
        <v>6930</v>
      </c>
    </row>
    <row r="16" spans="1:14">
      <c r="A16" s="2" t="s">
        <v>216</v>
      </c>
      <c r="B16" s="2" t="s">
        <v>226</v>
      </c>
      <c r="C16" s="2">
        <v>139</v>
      </c>
      <c r="D16" s="2">
        <v>0</v>
      </c>
      <c r="E16" s="2">
        <v>0</v>
      </c>
      <c r="F16" s="2" t="s">
        <v>121</v>
      </c>
      <c r="G16" s="2">
        <v>31</v>
      </c>
      <c r="H16" s="2" t="s">
        <v>8</v>
      </c>
      <c r="I16" s="2" t="s">
        <v>217</v>
      </c>
      <c r="J16" s="2" t="s">
        <v>218</v>
      </c>
      <c r="K16" s="2" t="s">
        <v>159</v>
      </c>
      <c r="L16" s="2" t="s">
        <v>216</v>
      </c>
      <c r="M16" s="21">
        <f>C16*IF(F16="CS",VLOOKUP(K16,'Item Master'!$A$5:$E$16,5,FALSE),1)</f>
        <v>139</v>
      </c>
      <c r="N16" s="22">
        <f t="shared" si="0"/>
        <v>4309</v>
      </c>
    </row>
    <row r="17" spans="1:14">
      <c r="A17" s="2" t="s">
        <v>216</v>
      </c>
      <c r="B17" s="2" t="s">
        <v>227</v>
      </c>
      <c r="C17" s="2">
        <v>25</v>
      </c>
      <c r="D17" s="2">
        <v>0</v>
      </c>
      <c r="E17" s="2">
        <v>0</v>
      </c>
      <c r="F17" s="2" t="s">
        <v>121</v>
      </c>
      <c r="G17" s="2">
        <v>18</v>
      </c>
      <c r="H17" s="2" t="s">
        <v>8</v>
      </c>
      <c r="I17" s="2" t="s">
        <v>217</v>
      </c>
      <c r="J17" s="2" t="s">
        <v>218</v>
      </c>
      <c r="K17" s="2" t="s">
        <v>228</v>
      </c>
      <c r="L17" s="2" t="s">
        <v>216</v>
      </c>
      <c r="M17" s="21">
        <f>C17</f>
        <v>25</v>
      </c>
      <c r="N17" s="22">
        <f t="shared" si="0"/>
        <v>450</v>
      </c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4"/>
  <sheetViews>
    <sheetView showGridLines="0" workbookViewId="0"/>
  </sheetViews>
  <sheetFormatPr baseColWidth="10" defaultColWidth="8.83203125" defaultRowHeight="15"/>
  <cols>
    <col min="1" max="3" width="15" customWidth="1"/>
    <col min="4" max="4" width="28" customWidth="1"/>
    <col min="5" max="14" width="15" customWidth="1"/>
  </cols>
  <sheetData>
    <row r="1" spans="1:14" ht="30" customHeight="1">
      <c r="A1" s="31" t="s">
        <v>229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32" customHeight="1">
      <c r="A2" s="32" t="s">
        <v>230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48">
      <c r="A4" s="1" t="s">
        <v>231</v>
      </c>
      <c r="B4" s="1" t="s">
        <v>232</v>
      </c>
      <c r="C4" s="1" t="s">
        <v>59</v>
      </c>
      <c r="D4" s="1" t="s">
        <v>233</v>
      </c>
      <c r="E4" s="1" t="s">
        <v>234</v>
      </c>
      <c r="F4" s="1" t="s">
        <v>87</v>
      </c>
      <c r="G4" s="1" t="s">
        <v>93</v>
      </c>
      <c r="H4" s="1" t="s">
        <v>105</v>
      </c>
      <c r="I4" s="1" t="s">
        <v>65</v>
      </c>
      <c r="J4" s="1" t="s">
        <v>99</v>
      </c>
      <c r="K4" s="1" t="s">
        <v>235</v>
      </c>
      <c r="L4" s="1" t="s">
        <v>168</v>
      </c>
      <c r="M4" s="1" t="s">
        <v>170</v>
      </c>
      <c r="N4" s="1" t="s">
        <v>236</v>
      </c>
    </row>
    <row r="5" spans="1:14">
      <c r="A5" s="2" t="s">
        <v>237</v>
      </c>
      <c r="B5" s="2" t="s">
        <v>238</v>
      </c>
      <c r="C5" s="2" t="s">
        <v>119</v>
      </c>
      <c r="D5" s="2" t="s">
        <v>120</v>
      </c>
      <c r="E5" s="2">
        <v>80</v>
      </c>
      <c r="F5" s="2" t="s">
        <v>121</v>
      </c>
      <c r="G5" s="2">
        <v>375.65674255691772</v>
      </c>
      <c r="H5" s="2" t="s">
        <v>239</v>
      </c>
      <c r="I5" s="2" t="s">
        <v>187</v>
      </c>
      <c r="J5" s="20">
        <v>46237</v>
      </c>
      <c r="K5" s="2" t="s">
        <v>240</v>
      </c>
      <c r="L5" s="2" t="s">
        <v>119</v>
      </c>
      <c r="M5" s="21">
        <f>E5*IF(F5="CS",VLOOKUP(L5,'Item Master'!$A$5:$E$16,5,FALSE),1)</f>
        <v>80</v>
      </c>
      <c r="N5" s="22">
        <f>M5*G5*VLOOKUP(H5,'FX Rates'!$A$5:$B$8,2,FALSE)</f>
        <v>34320</v>
      </c>
    </row>
    <row r="6" spans="1:14">
      <c r="A6" s="2" t="s">
        <v>241</v>
      </c>
      <c r="B6" s="2" t="s">
        <v>242</v>
      </c>
      <c r="C6" s="2" t="s">
        <v>125</v>
      </c>
      <c r="D6" s="2" t="s">
        <v>126</v>
      </c>
      <c r="E6" s="2">
        <v>97</v>
      </c>
      <c r="F6" s="2" t="s">
        <v>121</v>
      </c>
      <c r="G6" s="2">
        <v>489</v>
      </c>
      <c r="H6" s="2" t="s">
        <v>8</v>
      </c>
      <c r="I6" s="2" t="s">
        <v>216</v>
      </c>
      <c r="J6" s="20">
        <v>46238</v>
      </c>
      <c r="K6" s="2" t="s">
        <v>240</v>
      </c>
      <c r="L6" s="2" t="s">
        <v>125</v>
      </c>
      <c r="M6" s="21">
        <f>E6*IF(F6="CS",VLOOKUP(L6,'Item Master'!$A$5:$E$16,5,FALSE),1)</f>
        <v>97</v>
      </c>
      <c r="N6" s="22">
        <f>M6*G6*VLOOKUP(H6,'FX Rates'!$A$5:$B$8,2,FALSE)</f>
        <v>47433</v>
      </c>
    </row>
    <row r="7" spans="1:14">
      <c r="A7" s="2" t="s">
        <v>243</v>
      </c>
      <c r="B7" s="2" t="s">
        <v>242</v>
      </c>
      <c r="C7" s="2" t="s">
        <v>128</v>
      </c>
      <c r="D7" s="2" t="s">
        <v>129</v>
      </c>
      <c r="E7" s="2">
        <v>114</v>
      </c>
      <c r="F7" s="2" t="s">
        <v>121</v>
      </c>
      <c r="G7" s="2">
        <v>310</v>
      </c>
      <c r="H7" s="2" t="s">
        <v>8</v>
      </c>
      <c r="I7" s="2" t="s">
        <v>216</v>
      </c>
      <c r="J7" s="20">
        <v>46239</v>
      </c>
      <c r="K7" s="2" t="s">
        <v>240</v>
      </c>
      <c r="L7" s="2" t="s">
        <v>128</v>
      </c>
      <c r="M7" s="21">
        <f>E7*IF(F7="CS",VLOOKUP(L7,'Item Master'!$A$5:$E$16,5,FALSE),1)</f>
        <v>114</v>
      </c>
      <c r="N7" s="22">
        <f>M7*G7*VLOOKUP(H7,'FX Rates'!$A$5:$B$8,2,FALSE)</f>
        <v>35340</v>
      </c>
    </row>
    <row r="8" spans="1:14">
      <c r="A8" s="2" t="s">
        <v>244</v>
      </c>
      <c r="B8" s="2" t="s">
        <v>238</v>
      </c>
      <c r="C8" s="2" t="s">
        <v>131</v>
      </c>
      <c r="D8" s="2" t="s">
        <v>132</v>
      </c>
      <c r="E8" s="2">
        <v>131</v>
      </c>
      <c r="F8" s="2" t="s">
        <v>121</v>
      </c>
      <c r="G8" s="2">
        <v>735</v>
      </c>
      <c r="H8" s="2" t="s">
        <v>8</v>
      </c>
      <c r="I8" s="2" t="s">
        <v>187</v>
      </c>
      <c r="J8" s="20">
        <v>46240</v>
      </c>
      <c r="K8" s="2" t="s">
        <v>240</v>
      </c>
      <c r="L8" s="2" t="s">
        <v>131</v>
      </c>
      <c r="M8" s="21">
        <f>E8*IF(F8="CS",VLOOKUP(L8,'Item Master'!$A$5:$E$16,5,FALSE),1)</f>
        <v>131</v>
      </c>
      <c r="N8" s="22">
        <f>M8*G8*VLOOKUP(H8,'FX Rates'!$A$5:$B$8,2,FALSE)</f>
        <v>96285</v>
      </c>
    </row>
    <row r="9" spans="1:14">
      <c r="A9" s="2" t="s">
        <v>245</v>
      </c>
      <c r="B9" s="2" t="s">
        <v>242</v>
      </c>
      <c r="C9" s="2" t="s">
        <v>134</v>
      </c>
      <c r="D9" s="2" t="s">
        <v>135</v>
      </c>
      <c r="E9" s="2">
        <v>148</v>
      </c>
      <c r="F9" s="2" t="s">
        <v>121</v>
      </c>
      <c r="G9" s="2">
        <v>75.306479859894921</v>
      </c>
      <c r="H9" s="2" t="s">
        <v>239</v>
      </c>
      <c r="I9" s="2" t="s">
        <v>216</v>
      </c>
      <c r="J9" s="20">
        <v>46241</v>
      </c>
      <c r="K9" s="2" t="s">
        <v>78</v>
      </c>
      <c r="L9" s="2" t="s">
        <v>134</v>
      </c>
      <c r="M9" s="21">
        <f>E9*IF(F9="CS",VLOOKUP(L9,'Item Master'!$A$5:$E$16,5,FALSE),1)</f>
        <v>148</v>
      </c>
      <c r="N9" s="22">
        <f>M9*G9*VLOOKUP(H9,'FX Rates'!$A$5:$B$8,2,FALSE)</f>
        <v>12727.999999999998</v>
      </c>
    </row>
    <row r="10" spans="1:14">
      <c r="A10" s="2" t="s">
        <v>246</v>
      </c>
      <c r="B10" s="2" t="s">
        <v>242</v>
      </c>
      <c r="C10" s="2" t="s">
        <v>137</v>
      </c>
      <c r="D10" s="2" t="s">
        <v>138</v>
      </c>
      <c r="E10" s="2">
        <v>165</v>
      </c>
      <c r="F10" s="2" t="s">
        <v>121</v>
      </c>
      <c r="G10" s="2">
        <v>44</v>
      </c>
      <c r="H10" s="2" t="s">
        <v>8</v>
      </c>
      <c r="I10" s="2" t="s">
        <v>216</v>
      </c>
      <c r="J10" s="20">
        <v>46242</v>
      </c>
      <c r="K10" s="2" t="s">
        <v>240</v>
      </c>
      <c r="L10" s="2" t="s">
        <v>137</v>
      </c>
      <c r="M10" s="21">
        <f>E10*IF(F10="CS",VLOOKUP(L10,'Item Master'!$A$5:$E$16,5,FALSE),1)</f>
        <v>165</v>
      </c>
      <c r="N10" s="22">
        <f>M10*G10*VLOOKUP(H10,'FX Rates'!$A$5:$B$8,2,FALSE)</f>
        <v>7260</v>
      </c>
    </row>
    <row r="11" spans="1:14">
      <c r="A11" s="2" t="s">
        <v>247</v>
      </c>
      <c r="B11" s="2" t="s">
        <v>238</v>
      </c>
      <c r="C11" s="2" t="s">
        <v>140</v>
      </c>
      <c r="D11" s="2" t="s">
        <v>141</v>
      </c>
      <c r="E11" s="2">
        <v>182</v>
      </c>
      <c r="F11" s="2" t="s">
        <v>121</v>
      </c>
      <c r="G11" s="2">
        <v>57</v>
      </c>
      <c r="H11" s="2" t="s">
        <v>8</v>
      </c>
      <c r="I11" s="2" t="s">
        <v>187</v>
      </c>
      <c r="J11" s="20">
        <v>46243</v>
      </c>
      <c r="K11" s="2" t="s">
        <v>240</v>
      </c>
      <c r="L11" s="2" t="s">
        <v>140</v>
      </c>
      <c r="M11" s="21">
        <f>E11*IF(F11="CS",VLOOKUP(L11,'Item Master'!$A$5:$E$16,5,FALSE),1)</f>
        <v>182</v>
      </c>
      <c r="N11" s="22">
        <f>M11*G11*VLOOKUP(H11,'FX Rates'!$A$5:$B$8,2,FALSE)</f>
        <v>10374</v>
      </c>
    </row>
    <row r="12" spans="1:14">
      <c r="A12" s="2" t="s">
        <v>248</v>
      </c>
      <c r="B12" s="2" t="s">
        <v>242</v>
      </c>
      <c r="C12" s="2" t="s">
        <v>145</v>
      </c>
      <c r="D12" s="2" t="s">
        <v>146</v>
      </c>
      <c r="E12" s="2">
        <v>199</v>
      </c>
      <c r="F12" s="2" t="s">
        <v>121</v>
      </c>
      <c r="G12" s="2">
        <v>71</v>
      </c>
      <c r="H12" s="2" t="s">
        <v>8</v>
      </c>
      <c r="I12" s="2" t="s">
        <v>216</v>
      </c>
      <c r="J12" s="20">
        <v>46244</v>
      </c>
      <c r="K12" s="2" t="s">
        <v>249</v>
      </c>
      <c r="L12" s="2" t="s">
        <v>145</v>
      </c>
      <c r="M12" s="21">
        <f>E12*IF(F12="CS",VLOOKUP(L12,'Item Master'!$A$5:$E$16,5,FALSE),1)</f>
        <v>199</v>
      </c>
      <c r="N12" s="22">
        <f>M12*G12*VLOOKUP(H12,'FX Rates'!$A$5:$B$8,2,FALSE)</f>
        <v>14129</v>
      </c>
    </row>
    <row r="13" spans="1:14">
      <c r="A13" s="2" t="s">
        <v>250</v>
      </c>
      <c r="B13" s="2" t="s">
        <v>242</v>
      </c>
      <c r="C13" s="2" t="s">
        <v>148</v>
      </c>
      <c r="D13" s="2" t="s">
        <v>149</v>
      </c>
      <c r="E13" s="2">
        <v>18</v>
      </c>
      <c r="F13" s="2" t="s">
        <v>150</v>
      </c>
      <c r="G13" s="2">
        <v>12.259194395796849</v>
      </c>
      <c r="H13" s="2" t="s">
        <v>239</v>
      </c>
      <c r="I13" s="2" t="s">
        <v>216</v>
      </c>
      <c r="J13" s="20">
        <v>46245</v>
      </c>
      <c r="K13" s="2" t="s">
        <v>240</v>
      </c>
      <c r="L13" s="2" t="s">
        <v>148</v>
      </c>
      <c r="M13" s="21">
        <f>E13*IF(F13="CS",VLOOKUP(L13,'Item Master'!$A$5:$E$16,5,FALSE),1)</f>
        <v>216</v>
      </c>
      <c r="N13" s="22">
        <f>M13*G13*VLOOKUP(H13,'FX Rates'!$A$5:$B$8,2,FALSE)</f>
        <v>3024</v>
      </c>
    </row>
    <row r="14" spans="1:14">
      <c r="A14" s="2" t="s">
        <v>251</v>
      </c>
      <c r="B14" s="2" t="s">
        <v>238</v>
      </c>
      <c r="C14" s="2" t="s">
        <v>152</v>
      </c>
      <c r="D14" s="2" t="s">
        <v>153</v>
      </c>
      <c r="E14" s="2">
        <v>19</v>
      </c>
      <c r="F14" s="2" t="s">
        <v>150</v>
      </c>
      <c r="G14" s="2">
        <v>4.2</v>
      </c>
      <c r="H14" s="2" t="s">
        <v>8</v>
      </c>
      <c r="I14" s="2" t="s">
        <v>187</v>
      </c>
      <c r="J14" s="20">
        <v>46246</v>
      </c>
      <c r="K14" s="2" t="s">
        <v>240</v>
      </c>
      <c r="L14" s="2" t="s">
        <v>152</v>
      </c>
      <c r="M14" s="21">
        <f>E14*IF(F14="CS",VLOOKUP(L14,'Item Master'!$A$5:$E$16,5,FALSE),1)</f>
        <v>456</v>
      </c>
      <c r="N14" s="22">
        <f>M14*G14*VLOOKUP(H14,'FX Rates'!$A$5:$B$8,2,FALSE)</f>
        <v>1915.2</v>
      </c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2"/>
  <sheetViews>
    <sheetView showGridLines="0" workbookViewId="0"/>
  </sheetViews>
  <sheetFormatPr baseColWidth="10" defaultColWidth="8.83203125" defaultRowHeight="15"/>
  <cols>
    <col min="1" max="12" width="16" customWidth="1"/>
  </cols>
  <sheetData>
    <row r="1" spans="1:12" ht="30" customHeight="1">
      <c r="A1" s="31" t="s">
        <v>252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32" customHeight="1">
      <c r="A2" s="32" t="s">
        <v>253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32">
      <c r="A4" s="1" t="s">
        <v>254</v>
      </c>
      <c r="B4" s="1" t="s">
        <v>255</v>
      </c>
      <c r="C4" s="1" t="s">
        <v>256</v>
      </c>
      <c r="D4" s="1" t="s">
        <v>257</v>
      </c>
      <c r="E4" s="1" t="s">
        <v>258</v>
      </c>
      <c r="F4" s="1" t="s">
        <v>259</v>
      </c>
      <c r="G4" s="1" t="s">
        <v>260</v>
      </c>
      <c r="H4" s="1" t="s">
        <v>261</v>
      </c>
      <c r="I4" s="1" t="s">
        <v>262</v>
      </c>
      <c r="J4" s="1" t="s">
        <v>168</v>
      </c>
      <c r="K4" s="1" t="s">
        <v>170</v>
      </c>
      <c r="L4" s="1" t="s">
        <v>263</v>
      </c>
    </row>
    <row r="5" spans="1:12">
      <c r="A5" s="2" t="s">
        <v>264</v>
      </c>
      <c r="B5" s="2" t="s">
        <v>128</v>
      </c>
      <c r="C5" s="2" t="s">
        <v>216</v>
      </c>
      <c r="D5" s="2" t="s">
        <v>203</v>
      </c>
      <c r="E5" s="2">
        <v>25</v>
      </c>
      <c r="F5" s="2" t="s">
        <v>121</v>
      </c>
      <c r="G5" s="20">
        <v>46228</v>
      </c>
      <c r="H5" s="20">
        <v>46235</v>
      </c>
      <c r="I5" s="2" t="s">
        <v>265</v>
      </c>
      <c r="J5" s="2" t="s">
        <v>128</v>
      </c>
      <c r="K5" s="21">
        <v>25</v>
      </c>
      <c r="L5" s="22">
        <v>7750</v>
      </c>
    </row>
    <row r="6" spans="1:12">
      <c r="A6" s="2" t="s">
        <v>266</v>
      </c>
      <c r="B6" s="2" t="s">
        <v>131</v>
      </c>
      <c r="C6" s="2" t="s">
        <v>181</v>
      </c>
      <c r="D6" s="2" t="s">
        <v>206</v>
      </c>
      <c r="E6" s="2">
        <v>34</v>
      </c>
      <c r="F6" s="2" t="s">
        <v>121</v>
      </c>
      <c r="G6" s="20">
        <v>46229</v>
      </c>
      <c r="H6" s="20">
        <v>46236</v>
      </c>
      <c r="I6" s="2" t="s">
        <v>265</v>
      </c>
      <c r="J6" s="2" t="s">
        <v>131</v>
      </c>
      <c r="K6" s="21">
        <v>34</v>
      </c>
      <c r="L6" s="22">
        <v>24990</v>
      </c>
    </row>
    <row r="7" spans="1:12">
      <c r="A7" s="2" t="s">
        <v>267</v>
      </c>
      <c r="B7" s="2" t="s">
        <v>134</v>
      </c>
      <c r="C7" s="2" t="s">
        <v>216</v>
      </c>
      <c r="D7" s="2" t="s">
        <v>208</v>
      </c>
      <c r="E7" s="2">
        <v>43</v>
      </c>
      <c r="F7" s="2" t="s">
        <v>121</v>
      </c>
      <c r="G7" s="20">
        <v>46230</v>
      </c>
      <c r="H7" s="20">
        <v>46237</v>
      </c>
      <c r="I7" s="2" t="s">
        <v>265</v>
      </c>
      <c r="J7" s="2" t="s">
        <v>134</v>
      </c>
      <c r="K7" s="21">
        <v>43</v>
      </c>
      <c r="L7" s="22">
        <v>3698</v>
      </c>
    </row>
    <row r="8" spans="1:12">
      <c r="A8" s="2" t="s">
        <v>268</v>
      </c>
      <c r="B8" s="2" t="s">
        <v>137</v>
      </c>
      <c r="C8" s="2" t="s">
        <v>181</v>
      </c>
      <c r="D8" s="2" t="s">
        <v>209</v>
      </c>
      <c r="E8" s="2">
        <v>52</v>
      </c>
      <c r="F8" s="2" t="s">
        <v>121</v>
      </c>
      <c r="G8" s="20">
        <v>46231</v>
      </c>
      <c r="H8" s="20">
        <v>46238</v>
      </c>
      <c r="I8" s="2" t="s">
        <v>269</v>
      </c>
      <c r="J8" s="2" t="s">
        <v>137</v>
      </c>
      <c r="K8" s="21">
        <v>52</v>
      </c>
      <c r="L8" s="22">
        <v>2288</v>
      </c>
    </row>
    <row r="9" spans="1:12">
      <c r="A9" s="2" t="s">
        <v>270</v>
      </c>
      <c r="B9" s="2" t="s">
        <v>140</v>
      </c>
      <c r="C9" s="2" t="s">
        <v>216</v>
      </c>
      <c r="D9" s="2" t="s">
        <v>203</v>
      </c>
      <c r="E9" s="2">
        <v>61</v>
      </c>
      <c r="F9" s="2" t="s">
        <v>121</v>
      </c>
      <c r="G9" s="20">
        <v>46232</v>
      </c>
      <c r="H9" s="20">
        <v>46239</v>
      </c>
      <c r="I9" s="2" t="s">
        <v>265</v>
      </c>
      <c r="J9" s="2" t="s">
        <v>140</v>
      </c>
      <c r="K9" s="21">
        <v>61</v>
      </c>
      <c r="L9" s="22">
        <v>3477</v>
      </c>
    </row>
    <row r="10" spans="1:12">
      <c r="A10" s="2" t="s">
        <v>271</v>
      </c>
      <c r="B10" s="2" t="s">
        <v>145</v>
      </c>
      <c r="C10" s="2" t="s">
        <v>181</v>
      </c>
      <c r="D10" s="2" t="s">
        <v>206</v>
      </c>
      <c r="E10" s="2">
        <v>70</v>
      </c>
      <c r="F10" s="2" t="s">
        <v>121</v>
      </c>
      <c r="G10" s="20">
        <v>46233</v>
      </c>
      <c r="H10" s="20">
        <v>46235</v>
      </c>
      <c r="I10" s="2" t="s">
        <v>265</v>
      </c>
      <c r="J10" s="2" t="s">
        <v>145</v>
      </c>
      <c r="K10" s="21">
        <v>70</v>
      </c>
      <c r="L10" s="22">
        <v>4970</v>
      </c>
    </row>
    <row r="11" spans="1:12">
      <c r="A11" s="2" t="s">
        <v>272</v>
      </c>
      <c r="B11" s="2" t="s">
        <v>148</v>
      </c>
      <c r="C11" s="2" t="s">
        <v>216</v>
      </c>
      <c r="D11" s="2" t="s">
        <v>208</v>
      </c>
      <c r="E11" s="2">
        <v>79</v>
      </c>
      <c r="F11" s="2" t="s">
        <v>121</v>
      </c>
      <c r="G11" s="20">
        <v>46234</v>
      </c>
      <c r="H11" s="20">
        <v>46236</v>
      </c>
      <c r="I11" s="2" t="s">
        <v>273</v>
      </c>
      <c r="J11" s="2" t="s">
        <v>148</v>
      </c>
      <c r="K11" s="21">
        <v>79</v>
      </c>
      <c r="L11" s="22">
        <v>1106</v>
      </c>
    </row>
    <row r="12" spans="1:12">
      <c r="A12" s="2" t="s">
        <v>274</v>
      </c>
      <c r="B12" s="2" t="s">
        <v>152</v>
      </c>
      <c r="C12" s="2" t="s">
        <v>181</v>
      </c>
      <c r="D12" s="2" t="s">
        <v>209</v>
      </c>
      <c r="E12" s="2">
        <v>88</v>
      </c>
      <c r="F12" s="2" t="s">
        <v>121</v>
      </c>
      <c r="G12" s="20">
        <v>46235</v>
      </c>
      <c r="H12" s="20">
        <v>46237</v>
      </c>
      <c r="I12" s="2" t="s">
        <v>265</v>
      </c>
      <c r="J12" s="2" t="s">
        <v>152</v>
      </c>
      <c r="K12" s="21">
        <v>88</v>
      </c>
      <c r="L12" s="22">
        <v>369.6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48"/>
  <sheetViews>
    <sheetView showGridLines="0" workbookViewId="0"/>
  </sheetViews>
  <sheetFormatPr baseColWidth="10" defaultColWidth="8.83203125" defaultRowHeight="15"/>
  <cols>
    <col min="1" max="8" width="18" customWidth="1"/>
  </cols>
  <sheetData>
    <row r="1" spans="1:8" ht="30" customHeight="1">
      <c r="A1" s="31" t="s">
        <v>275</v>
      </c>
      <c r="B1" s="31"/>
      <c r="C1" s="31"/>
      <c r="D1" s="31"/>
      <c r="E1" s="31"/>
      <c r="F1" s="31"/>
      <c r="G1" s="31"/>
      <c r="H1" s="31"/>
    </row>
    <row r="2" spans="1:8" ht="32" customHeight="1">
      <c r="A2" s="32" t="s">
        <v>276</v>
      </c>
      <c r="B2" s="32"/>
      <c r="C2" s="32"/>
      <c r="D2" s="32"/>
      <c r="E2" s="32"/>
      <c r="F2" s="32"/>
      <c r="G2" s="32"/>
      <c r="H2" s="32"/>
    </row>
    <row r="3" spans="1:8">
      <c r="A3" s="2"/>
      <c r="B3" s="2"/>
      <c r="C3" s="2"/>
      <c r="D3" s="2"/>
      <c r="E3" s="2"/>
      <c r="F3" s="2"/>
      <c r="G3" s="2"/>
      <c r="H3" s="2"/>
    </row>
    <row r="4" spans="1:8" ht="32">
      <c r="A4" s="1" t="s">
        <v>277</v>
      </c>
      <c r="B4" s="1" t="s">
        <v>278</v>
      </c>
      <c r="C4" s="1" t="s">
        <v>279</v>
      </c>
      <c r="D4" s="1" t="s">
        <v>280</v>
      </c>
      <c r="E4" s="1" t="s">
        <v>281</v>
      </c>
      <c r="F4" s="1" t="s">
        <v>282</v>
      </c>
      <c r="G4" s="1" t="s">
        <v>168</v>
      </c>
      <c r="H4" s="1" t="s">
        <v>283</v>
      </c>
    </row>
    <row r="5" spans="1:8">
      <c r="A5" s="23">
        <v>45928</v>
      </c>
      <c r="B5" s="2" t="s">
        <v>119</v>
      </c>
      <c r="C5" s="2" t="s">
        <v>284</v>
      </c>
      <c r="D5" s="2">
        <v>28</v>
      </c>
      <c r="E5" s="2">
        <v>-2</v>
      </c>
      <c r="F5" s="6">
        <v>699</v>
      </c>
      <c r="G5" s="2" t="s">
        <v>119</v>
      </c>
      <c r="H5" s="21">
        <f t="shared" ref="H5:H36" si="0">D5+E5</f>
        <v>26</v>
      </c>
    </row>
    <row r="6" spans="1:8">
      <c r="A6" s="23">
        <v>45928</v>
      </c>
      <c r="B6" s="2" t="s">
        <v>125</v>
      </c>
      <c r="C6" s="2" t="s">
        <v>285</v>
      </c>
      <c r="D6" s="2">
        <v>41</v>
      </c>
      <c r="E6" s="2">
        <v>0</v>
      </c>
      <c r="F6" s="6">
        <v>799</v>
      </c>
      <c r="G6" s="2" t="s">
        <v>125</v>
      </c>
      <c r="H6" s="21">
        <f t="shared" si="0"/>
        <v>41</v>
      </c>
    </row>
    <row r="7" spans="1:8">
      <c r="A7" s="23">
        <v>45928</v>
      </c>
      <c r="B7" s="2" t="s">
        <v>128</v>
      </c>
      <c r="C7" s="2" t="s">
        <v>286</v>
      </c>
      <c r="D7" s="2">
        <v>54</v>
      </c>
      <c r="E7" s="2">
        <v>0</v>
      </c>
      <c r="F7" s="6">
        <v>499</v>
      </c>
      <c r="G7" s="2" t="s">
        <v>128</v>
      </c>
      <c r="H7" s="21">
        <f t="shared" si="0"/>
        <v>54</v>
      </c>
    </row>
    <row r="8" spans="1:8">
      <c r="A8" s="23">
        <v>45928</v>
      </c>
      <c r="B8" s="2" t="s">
        <v>131</v>
      </c>
      <c r="C8" s="2" t="s">
        <v>284</v>
      </c>
      <c r="D8" s="2">
        <v>67</v>
      </c>
      <c r="E8" s="2">
        <v>0</v>
      </c>
      <c r="F8" s="6">
        <v>1199</v>
      </c>
      <c r="G8" s="2" t="s">
        <v>131</v>
      </c>
      <c r="H8" s="21">
        <f t="shared" si="0"/>
        <v>67</v>
      </c>
    </row>
    <row r="9" spans="1:8">
      <c r="A9" s="23">
        <v>45928</v>
      </c>
      <c r="B9" s="2" t="s">
        <v>134</v>
      </c>
      <c r="C9" s="2" t="s">
        <v>285</v>
      </c>
      <c r="D9" s="2">
        <v>80</v>
      </c>
      <c r="E9" s="2">
        <v>0</v>
      </c>
      <c r="F9" s="6">
        <v>179</v>
      </c>
      <c r="G9" s="2" t="s">
        <v>134</v>
      </c>
      <c r="H9" s="21">
        <f t="shared" si="0"/>
        <v>80</v>
      </c>
    </row>
    <row r="10" spans="1:8">
      <c r="A10" s="23">
        <v>45928</v>
      </c>
      <c r="B10" s="2" t="s">
        <v>137</v>
      </c>
      <c r="C10" s="2" t="s">
        <v>286</v>
      </c>
      <c r="D10" s="2">
        <v>93</v>
      </c>
      <c r="E10" s="2">
        <v>0</v>
      </c>
      <c r="F10" s="6">
        <v>99</v>
      </c>
      <c r="G10" s="2" t="s">
        <v>137</v>
      </c>
      <c r="H10" s="21">
        <f t="shared" si="0"/>
        <v>93</v>
      </c>
    </row>
    <row r="11" spans="1:8">
      <c r="A11" s="23">
        <v>45928</v>
      </c>
      <c r="B11" s="2" t="s">
        <v>140</v>
      </c>
      <c r="C11" s="2" t="s">
        <v>284</v>
      </c>
      <c r="D11" s="2">
        <v>106</v>
      </c>
      <c r="E11" s="2">
        <v>0</v>
      </c>
      <c r="F11" s="6">
        <v>129</v>
      </c>
      <c r="G11" s="2" t="s">
        <v>140</v>
      </c>
      <c r="H11" s="21">
        <f t="shared" si="0"/>
        <v>106</v>
      </c>
    </row>
    <row r="12" spans="1:8">
      <c r="A12" s="23">
        <v>45928</v>
      </c>
      <c r="B12" s="2" t="s">
        <v>145</v>
      </c>
      <c r="C12" s="2" t="s">
        <v>285</v>
      </c>
      <c r="D12" s="2">
        <v>119</v>
      </c>
      <c r="E12" s="2">
        <v>0</v>
      </c>
      <c r="F12" s="6">
        <v>159</v>
      </c>
      <c r="G12" s="2" t="s">
        <v>145</v>
      </c>
      <c r="H12" s="21">
        <f t="shared" si="0"/>
        <v>119</v>
      </c>
    </row>
    <row r="13" spans="1:8">
      <c r="A13" s="23">
        <v>45928</v>
      </c>
      <c r="B13" s="2" t="s">
        <v>148</v>
      </c>
      <c r="C13" s="2" t="s">
        <v>286</v>
      </c>
      <c r="D13" s="2">
        <v>37</v>
      </c>
      <c r="E13" s="2">
        <v>0</v>
      </c>
      <c r="F13" s="6">
        <v>39</v>
      </c>
      <c r="G13" s="2" t="s">
        <v>148</v>
      </c>
      <c r="H13" s="21">
        <f t="shared" si="0"/>
        <v>37</v>
      </c>
    </row>
    <row r="14" spans="1:8">
      <c r="A14" s="23">
        <v>45928</v>
      </c>
      <c r="B14" s="2" t="s">
        <v>152</v>
      </c>
      <c r="C14" s="2" t="s">
        <v>284</v>
      </c>
      <c r="D14" s="2">
        <v>50</v>
      </c>
      <c r="E14" s="2">
        <v>0</v>
      </c>
      <c r="F14" s="6">
        <v>19</v>
      </c>
      <c r="G14" s="2" t="s">
        <v>152</v>
      </c>
      <c r="H14" s="21">
        <f t="shared" si="0"/>
        <v>50</v>
      </c>
    </row>
    <row r="15" spans="1:8">
      <c r="A15" s="23">
        <v>45928</v>
      </c>
      <c r="B15" s="2" t="s">
        <v>156</v>
      </c>
      <c r="C15" s="2" t="s">
        <v>285</v>
      </c>
      <c r="D15" s="2">
        <v>63</v>
      </c>
      <c r="E15" s="2">
        <v>0</v>
      </c>
      <c r="F15" s="6">
        <v>139</v>
      </c>
      <c r="G15" s="2" t="s">
        <v>156</v>
      </c>
      <c r="H15" s="21">
        <f t="shared" si="0"/>
        <v>63</v>
      </c>
    </row>
    <row r="16" spans="1:8">
      <c r="A16" s="23">
        <v>45928</v>
      </c>
      <c r="B16" s="2" t="s">
        <v>159</v>
      </c>
      <c r="C16" s="2" t="s">
        <v>286</v>
      </c>
      <c r="D16" s="2">
        <v>76</v>
      </c>
      <c r="E16" s="2">
        <v>-6</v>
      </c>
      <c r="F16" s="6">
        <v>79</v>
      </c>
      <c r="G16" s="2" t="s">
        <v>159</v>
      </c>
      <c r="H16" s="21">
        <f t="shared" si="0"/>
        <v>70</v>
      </c>
    </row>
    <row r="17" spans="1:8">
      <c r="A17" s="23">
        <v>45958</v>
      </c>
      <c r="B17" s="2" t="s">
        <v>119</v>
      </c>
      <c r="C17" s="2" t="s">
        <v>284</v>
      </c>
      <c r="D17" s="2">
        <v>28</v>
      </c>
      <c r="E17" s="2">
        <v>-2</v>
      </c>
      <c r="F17" s="6">
        <v>699</v>
      </c>
      <c r="G17" s="2" t="s">
        <v>119</v>
      </c>
      <c r="H17" s="21">
        <f t="shared" si="0"/>
        <v>26</v>
      </c>
    </row>
    <row r="18" spans="1:8">
      <c r="A18" s="23">
        <v>45958</v>
      </c>
      <c r="B18" s="2" t="s">
        <v>125</v>
      </c>
      <c r="C18" s="2" t="s">
        <v>285</v>
      </c>
      <c r="D18" s="2">
        <v>42</v>
      </c>
      <c r="E18" s="2">
        <v>0</v>
      </c>
      <c r="F18" s="6">
        <v>799</v>
      </c>
      <c r="G18" s="2" t="s">
        <v>125</v>
      </c>
      <c r="H18" s="21">
        <f t="shared" si="0"/>
        <v>42</v>
      </c>
    </row>
    <row r="19" spans="1:8">
      <c r="A19" s="23">
        <v>45958</v>
      </c>
      <c r="B19" s="2" t="s">
        <v>128</v>
      </c>
      <c r="C19" s="2" t="s">
        <v>286</v>
      </c>
      <c r="D19" s="2">
        <v>55</v>
      </c>
      <c r="E19" s="2">
        <v>0</v>
      </c>
      <c r="F19" s="6">
        <v>499</v>
      </c>
      <c r="G19" s="2" t="s">
        <v>128</v>
      </c>
      <c r="H19" s="21">
        <f t="shared" si="0"/>
        <v>55</v>
      </c>
    </row>
    <row r="20" spans="1:8">
      <c r="A20" s="23">
        <v>45958</v>
      </c>
      <c r="B20" s="2" t="s">
        <v>131</v>
      </c>
      <c r="C20" s="2" t="s">
        <v>284</v>
      </c>
      <c r="D20" s="2">
        <v>68</v>
      </c>
      <c r="E20" s="2">
        <v>0</v>
      </c>
      <c r="F20" s="6">
        <v>1199</v>
      </c>
      <c r="G20" s="2" t="s">
        <v>131</v>
      </c>
      <c r="H20" s="21">
        <f t="shared" si="0"/>
        <v>68</v>
      </c>
    </row>
    <row r="21" spans="1:8">
      <c r="A21" s="23">
        <v>45958</v>
      </c>
      <c r="B21" s="2" t="s">
        <v>134</v>
      </c>
      <c r="C21" s="2" t="s">
        <v>285</v>
      </c>
      <c r="D21" s="2">
        <v>81</v>
      </c>
      <c r="E21" s="2">
        <v>0</v>
      </c>
      <c r="F21" s="6">
        <v>179</v>
      </c>
      <c r="G21" s="2" t="s">
        <v>134</v>
      </c>
      <c r="H21" s="21">
        <f t="shared" si="0"/>
        <v>81</v>
      </c>
    </row>
    <row r="22" spans="1:8">
      <c r="A22" s="23">
        <v>45958</v>
      </c>
      <c r="B22" s="2" t="s">
        <v>137</v>
      </c>
      <c r="C22" s="2" t="s">
        <v>286</v>
      </c>
      <c r="D22" s="2">
        <v>94</v>
      </c>
      <c r="E22" s="2">
        <v>0</v>
      </c>
      <c r="F22" s="6">
        <v>99</v>
      </c>
      <c r="G22" s="2" t="s">
        <v>137</v>
      </c>
      <c r="H22" s="21">
        <f t="shared" si="0"/>
        <v>94</v>
      </c>
    </row>
    <row r="23" spans="1:8">
      <c r="A23" s="23">
        <v>45958</v>
      </c>
      <c r="B23" s="2" t="s">
        <v>140</v>
      </c>
      <c r="C23" s="2" t="s">
        <v>284</v>
      </c>
      <c r="D23" s="2">
        <v>108</v>
      </c>
      <c r="E23" s="2">
        <v>0</v>
      </c>
      <c r="F23" s="6">
        <v>129</v>
      </c>
      <c r="G23" s="2" t="s">
        <v>140</v>
      </c>
      <c r="H23" s="21">
        <f t="shared" si="0"/>
        <v>108</v>
      </c>
    </row>
    <row r="24" spans="1:8">
      <c r="A24" s="23">
        <v>45958</v>
      </c>
      <c r="B24" s="2" t="s">
        <v>145</v>
      </c>
      <c r="C24" s="2" t="s">
        <v>285</v>
      </c>
      <c r="D24" s="2">
        <v>121</v>
      </c>
      <c r="E24" s="2">
        <v>0</v>
      </c>
      <c r="F24" s="6">
        <v>159</v>
      </c>
      <c r="G24" s="2" t="s">
        <v>145</v>
      </c>
      <c r="H24" s="21">
        <f t="shared" si="0"/>
        <v>121</v>
      </c>
    </row>
    <row r="25" spans="1:8">
      <c r="A25" s="23">
        <v>45958</v>
      </c>
      <c r="B25" s="2" t="s">
        <v>148</v>
      </c>
      <c r="C25" s="2" t="s">
        <v>286</v>
      </c>
      <c r="D25" s="2">
        <v>38</v>
      </c>
      <c r="E25" s="2">
        <v>0</v>
      </c>
      <c r="F25" s="6">
        <v>39</v>
      </c>
      <c r="G25" s="2" t="s">
        <v>148</v>
      </c>
      <c r="H25" s="21">
        <f t="shared" si="0"/>
        <v>38</v>
      </c>
    </row>
    <row r="26" spans="1:8">
      <c r="A26" s="23">
        <v>45958</v>
      </c>
      <c r="B26" s="2" t="s">
        <v>152</v>
      </c>
      <c r="C26" s="2" t="s">
        <v>284</v>
      </c>
      <c r="D26" s="2">
        <v>51</v>
      </c>
      <c r="E26" s="2">
        <v>0</v>
      </c>
      <c r="F26" s="6">
        <v>19</v>
      </c>
      <c r="G26" s="2" t="s">
        <v>152</v>
      </c>
      <c r="H26" s="21">
        <f t="shared" si="0"/>
        <v>51</v>
      </c>
    </row>
    <row r="27" spans="1:8">
      <c r="A27" s="23">
        <v>45958</v>
      </c>
      <c r="B27" s="2" t="s">
        <v>156</v>
      </c>
      <c r="C27" s="2" t="s">
        <v>285</v>
      </c>
      <c r="D27" s="2">
        <v>64</v>
      </c>
      <c r="E27" s="2">
        <v>0</v>
      </c>
      <c r="F27" s="6">
        <v>139</v>
      </c>
      <c r="G27" s="2" t="s">
        <v>156</v>
      </c>
      <c r="H27" s="21">
        <f t="shared" si="0"/>
        <v>64</v>
      </c>
    </row>
    <row r="28" spans="1:8">
      <c r="A28" s="23">
        <v>45958</v>
      </c>
      <c r="B28" s="2" t="s">
        <v>159</v>
      </c>
      <c r="C28" s="2" t="s">
        <v>286</v>
      </c>
      <c r="D28" s="2">
        <v>77</v>
      </c>
      <c r="E28" s="2">
        <v>-6</v>
      </c>
      <c r="F28" s="6">
        <v>79</v>
      </c>
      <c r="G28" s="2" t="s">
        <v>159</v>
      </c>
      <c r="H28" s="21">
        <f t="shared" si="0"/>
        <v>71</v>
      </c>
    </row>
    <row r="29" spans="1:8">
      <c r="A29" s="23">
        <v>45989</v>
      </c>
      <c r="B29" s="2" t="s">
        <v>119</v>
      </c>
      <c r="C29" s="2" t="s">
        <v>284</v>
      </c>
      <c r="D29" s="2">
        <v>29</v>
      </c>
      <c r="E29" s="2">
        <v>-2</v>
      </c>
      <c r="F29" s="6">
        <v>699</v>
      </c>
      <c r="G29" s="2" t="s">
        <v>119</v>
      </c>
      <c r="H29" s="21">
        <f t="shared" si="0"/>
        <v>27</v>
      </c>
    </row>
    <row r="30" spans="1:8">
      <c r="A30" s="23">
        <v>45989</v>
      </c>
      <c r="B30" s="2" t="s">
        <v>125</v>
      </c>
      <c r="C30" s="2" t="s">
        <v>285</v>
      </c>
      <c r="D30" s="2">
        <v>42</v>
      </c>
      <c r="E30" s="2">
        <v>0</v>
      </c>
      <c r="F30" s="6">
        <v>799</v>
      </c>
      <c r="G30" s="2" t="s">
        <v>125</v>
      </c>
      <c r="H30" s="21">
        <f t="shared" si="0"/>
        <v>42</v>
      </c>
    </row>
    <row r="31" spans="1:8">
      <c r="A31" s="23">
        <v>45989</v>
      </c>
      <c r="B31" s="2" t="s">
        <v>128</v>
      </c>
      <c r="C31" s="2" t="s">
        <v>286</v>
      </c>
      <c r="D31" s="2">
        <v>56</v>
      </c>
      <c r="E31" s="2">
        <v>0</v>
      </c>
      <c r="F31" s="6">
        <v>499</v>
      </c>
      <c r="G31" s="2" t="s">
        <v>128</v>
      </c>
      <c r="H31" s="21">
        <f t="shared" si="0"/>
        <v>56</v>
      </c>
    </row>
    <row r="32" spans="1:8">
      <c r="A32" s="23">
        <v>45989</v>
      </c>
      <c r="B32" s="2" t="s">
        <v>131</v>
      </c>
      <c r="C32" s="2" t="s">
        <v>284</v>
      </c>
      <c r="D32" s="2">
        <v>69</v>
      </c>
      <c r="E32" s="2">
        <v>0</v>
      </c>
      <c r="F32" s="6">
        <v>1199</v>
      </c>
      <c r="G32" s="2" t="s">
        <v>131</v>
      </c>
      <c r="H32" s="21">
        <f t="shared" si="0"/>
        <v>69</v>
      </c>
    </row>
    <row r="33" spans="1:8">
      <c r="A33" s="23">
        <v>45989</v>
      </c>
      <c r="B33" s="2" t="s">
        <v>134</v>
      </c>
      <c r="C33" s="2" t="s">
        <v>285</v>
      </c>
      <c r="D33" s="2">
        <v>82</v>
      </c>
      <c r="E33" s="2">
        <v>0</v>
      </c>
      <c r="F33" s="6">
        <v>179</v>
      </c>
      <c r="G33" s="2" t="s">
        <v>134</v>
      </c>
      <c r="H33" s="21">
        <f t="shared" si="0"/>
        <v>82</v>
      </c>
    </row>
    <row r="34" spans="1:8">
      <c r="A34" s="23">
        <v>45989</v>
      </c>
      <c r="B34" s="2" t="s">
        <v>137</v>
      </c>
      <c r="C34" s="2" t="s">
        <v>286</v>
      </c>
      <c r="D34" s="2">
        <v>96</v>
      </c>
      <c r="E34" s="2">
        <v>0</v>
      </c>
      <c r="F34" s="6">
        <v>99</v>
      </c>
      <c r="G34" s="2" t="s">
        <v>137</v>
      </c>
      <c r="H34" s="21">
        <f t="shared" si="0"/>
        <v>96</v>
      </c>
    </row>
    <row r="35" spans="1:8">
      <c r="A35" s="23">
        <v>45989</v>
      </c>
      <c r="B35" s="2" t="s">
        <v>140</v>
      </c>
      <c r="C35" s="2" t="s">
        <v>284</v>
      </c>
      <c r="D35" s="2">
        <v>109</v>
      </c>
      <c r="E35" s="2">
        <v>0</v>
      </c>
      <c r="F35" s="6">
        <v>129</v>
      </c>
      <c r="G35" s="2" t="s">
        <v>140</v>
      </c>
      <c r="H35" s="21">
        <f t="shared" si="0"/>
        <v>109</v>
      </c>
    </row>
    <row r="36" spans="1:8">
      <c r="A36" s="23">
        <v>45989</v>
      </c>
      <c r="B36" s="2" t="s">
        <v>145</v>
      </c>
      <c r="C36" s="2" t="s">
        <v>285</v>
      </c>
      <c r="D36" s="2">
        <v>123</v>
      </c>
      <c r="E36" s="2">
        <v>0</v>
      </c>
      <c r="F36" s="6">
        <v>159</v>
      </c>
      <c r="G36" s="2" t="s">
        <v>145</v>
      </c>
      <c r="H36" s="21">
        <f t="shared" si="0"/>
        <v>123</v>
      </c>
    </row>
    <row r="37" spans="1:8">
      <c r="A37" s="23">
        <v>45989</v>
      </c>
      <c r="B37" s="2" t="s">
        <v>148</v>
      </c>
      <c r="C37" s="2" t="s">
        <v>286</v>
      </c>
      <c r="D37" s="2">
        <v>38</v>
      </c>
      <c r="E37" s="2">
        <v>0</v>
      </c>
      <c r="F37" s="6">
        <v>39</v>
      </c>
      <c r="G37" s="2" t="s">
        <v>148</v>
      </c>
      <c r="H37" s="21">
        <f t="shared" ref="H37:H68" si="1">D37+E37</f>
        <v>38</v>
      </c>
    </row>
    <row r="38" spans="1:8">
      <c r="A38" s="23">
        <v>45989</v>
      </c>
      <c r="B38" s="2" t="s">
        <v>152</v>
      </c>
      <c r="C38" s="2" t="s">
        <v>284</v>
      </c>
      <c r="D38" s="2">
        <v>52</v>
      </c>
      <c r="E38" s="2">
        <v>0</v>
      </c>
      <c r="F38" s="6">
        <v>19</v>
      </c>
      <c r="G38" s="2" t="s">
        <v>152</v>
      </c>
      <c r="H38" s="21">
        <f t="shared" si="1"/>
        <v>52</v>
      </c>
    </row>
    <row r="39" spans="1:8">
      <c r="A39" s="23">
        <v>45989</v>
      </c>
      <c r="B39" s="2" t="s">
        <v>156</v>
      </c>
      <c r="C39" s="2" t="s">
        <v>285</v>
      </c>
      <c r="D39" s="2">
        <v>65</v>
      </c>
      <c r="E39" s="2">
        <v>0</v>
      </c>
      <c r="F39" s="6">
        <v>139</v>
      </c>
      <c r="G39" s="2" t="s">
        <v>156</v>
      </c>
      <c r="H39" s="21">
        <f t="shared" si="1"/>
        <v>65</v>
      </c>
    </row>
    <row r="40" spans="1:8">
      <c r="A40" s="23">
        <v>45989</v>
      </c>
      <c r="B40" s="2" t="s">
        <v>159</v>
      </c>
      <c r="C40" s="2" t="s">
        <v>286</v>
      </c>
      <c r="D40" s="2">
        <v>78</v>
      </c>
      <c r="E40" s="2">
        <v>-6</v>
      </c>
      <c r="F40" s="6">
        <v>79</v>
      </c>
      <c r="G40" s="2" t="s">
        <v>159</v>
      </c>
      <c r="H40" s="21">
        <f t="shared" si="1"/>
        <v>72</v>
      </c>
    </row>
    <row r="41" spans="1:8">
      <c r="A41" s="23">
        <v>46019</v>
      </c>
      <c r="B41" s="2" t="s">
        <v>119</v>
      </c>
      <c r="C41" s="2" t="s">
        <v>284</v>
      </c>
      <c r="D41" s="2">
        <v>29</v>
      </c>
      <c r="E41" s="2">
        <v>-2</v>
      </c>
      <c r="F41" s="6">
        <v>699</v>
      </c>
      <c r="G41" s="2" t="s">
        <v>119</v>
      </c>
      <c r="H41" s="21">
        <f t="shared" si="1"/>
        <v>27</v>
      </c>
    </row>
    <row r="42" spans="1:8">
      <c r="A42" s="23">
        <v>46019</v>
      </c>
      <c r="B42" s="2" t="s">
        <v>125</v>
      </c>
      <c r="C42" s="2" t="s">
        <v>285</v>
      </c>
      <c r="D42" s="2">
        <v>43</v>
      </c>
      <c r="E42" s="2">
        <v>0</v>
      </c>
      <c r="F42" s="6">
        <v>799</v>
      </c>
      <c r="G42" s="2" t="s">
        <v>125</v>
      </c>
      <c r="H42" s="21">
        <f t="shared" si="1"/>
        <v>43</v>
      </c>
    </row>
    <row r="43" spans="1:8">
      <c r="A43" s="23">
        <v>46019</v>
      </c>
      <c r="B43" s="2" t="s">
        <v>128</v>
      </c>
      <c r="C43" s="2" t="s">
        <v>286</v>
      </c>
      <c r="D43" s="2">
        <v>56</v>
      </c>
      <c r="E43" s="2">
        <v>0</v>
      </c>
      <c r="F43" s="6">
        <v>499</v>
      </c>
      <c r="G43" s="2" t="s">
        <v>128</v>
      </c>
      <c r="H43" s="21">
        <f t="shared" si="1"/>
        <v>56</v>
      </c>
    </row>
    <row r="44" spans="1:8">
      <c r="A44" s="23">
        <v>46019</v>
      </c>
      <c r="B44" s="2" t="s">
        <v>131</v>
      </c>
      <c r="C44" s="2" t="s">
        <v>284</v>
      </c>
      <c r="D44" s="2">
        <v>70</v>
      </c>
      <c r="E44" s="2">
        <v>0</v>
      </c>
      <c r="F44" s="6">
        <v>1199</v>
      </c>
      <c r="G44" s="2" t="s">
        <v>131</v>
      </c>
      <c r="H44" s="21">
        <f t="shared" si="1"/>
        <v>70</v>
      </c>
    </row>
    <row r="45" spans="1:8">
      <c r="A45" s="23">
        <v>46019</v>
      </c>
      <c r="B45" s="2" t="s">
        <v>134</v>
      </c>
      <c r="C45" s="2" t="s">
        <v>285</v>
      </c>
      <c r="D45" s="2">
        <v>84</v>
      </c>
      <c r="E45" s="2">
        <v>0</v>
      </c>
      <c r="F45" s="6">
        <v>179</v>
      </c>
      <c r="G45" s="2" t="s">
        <v>134</v>
      </c>
      <c r="H45" s="21">
        <f t="shared" si="1"/>
        <v>84</v>
      </c>
    </row>
    <row r="46" spans="1:8">
      <c r="A46" s="23">
        <v>46019</v>
      </c>
      <c r="B46" s="2" t="s">
        <v>137</v>
      </c>
      <c r="C46" s="2" t="s">
        <v>286</v>
      </c>
      <c r="D46" s="2">
        <v>97</v>
      </c>
      <c r="E46" s="2">
        <v>0</v>
      </c>
      <c r="F46" s="6">
        <v>99</v>
      </c>
      <c r="G46" s="2" t="s">
        <v>137</v>
      </c>
      <c r="H46" s="21">
        <f t="shared" si="1"/>
        <v>97</v>
      </c>
    </row>
    <row r="47" spans="1:8">
      <c r="A47" s="23">
        <v>46019</v>
      </c>
      <c r="B47" s="2" t="s">
        <v>140</v>
      </c>
      <c r="C47" s="2" t="s">
        <v>284</v>
      </c>
      <c r="D47" s="2">
        <v>111</v>
      </c>
      <c r="E47" s="2">
        <v>0</v>
      </c>
      <c r="F47" s="6">
        <v>129</v>
      </c>
      <c r="G47" s="2" t="s">
        <v>140</v>
      </c>
      <c r="H47" s="21">
        <f t="shared" si="1"/>
        <v>111</v>
      </c>
    </row>
    <row r="48" spans="1:8">
      <c r="A48" s="23">
        <v>46019</v>
      </c>
      <c r="B48" s="2" t="s">
        <v>145</v>
      </c>
      <c r="C48" s="2" t="s">
        <v>285</v>
      </c>
      <c r="D48" s="2">
        <v>124</v>
      </c>
      <c r="E48" s="2">
        <v>0</v>
      </c>
      <c r="F48" s="6">
        <v>159</v>
      </c>
      <c r="G48" s="2" t="s">
        <v>145</v>
      </c>
      <c r="H48" s="21">
        <f t="shared" si="1"/>
        <v>124</v>
      </c>
    </row>
    <row r="49" spans="1:8">
      <c r="A49" s="23">
        <v>46019</v>
      </c>
      <c r="B49" s="2" t="s">
        <v>148</v>
      </c>
      <c r="C49" s="2" t="s">
        <v>286</v>
      </c>
      <c r="D49" s="2">
        <v>39</v>
      </c>
      <c r="E49" s="2">
        <v>0</v>
      </c>
      <c r="F49" s="6">
        <v>39</v>
      </c>
      <c r="G49" s="2" t="s">
        <v>148</v>
      </c>
      <c r="H49" s="21">
        <f t="shared" si="1"/>
        <v>39</v>
      </c>
    </row>
    <row r="50" spans="1:8">
      <c r="A50" s="23">
        <v>46019</v>
      </c>
      <c r="B50" s="2" t="s">
        <v>152</v>
      </c>
      <c r="C50" s="2" t="s">
        <v>284</v>
      </c>
      <c r="D50" s="2">
        <v>52</v>
      </c>
      <c r="E50" s="2">
        <v>0</v>
      </c>
      <c r="F50" s="6">
        <v>19</v>
      </c>
      <c r="G50" s="2" t="s">
        <v>152</v>
      </c>
      <c r="H50" s="21">
        <f t="shared" si="1"/>
        <v>52</v>
      </c>
    </row>
    <row r="51" spans="1:8">
      <c r="A51" s="23">
        <v>46019</v>
      </c>
      <c r="B51" s="2" t="s">
        <v>156</v>
      </c>
      <c r="C51" s="2" t="s">
        <v>285</v>
      </c>
      <c r="D51" s="2">
        <v>66</v>
      </c>
      <c r="E51" s="2">
        <v>0</v>
      </c>
      <c r="F51" s="6">
        <v>139</v>
      </c>
      <c r="G51" s="2" t="s">
        <v>156</v>
      </c>
      <c r="H51" s="21">
        <f t="shared" si="1"/>
        <v>66</v>
      </c>
    </row>
    <row r="52" spans="1:8">
      <c r="A52" s="23">
        <v>46019</v>
      </c>
      <c r="B52" s="2" t="s">
        <v>159</v>
      </c>
      <c r="C52" s="2" t="s">
        <v>286</v>
      </c>
      <c r="D52" s="2">
        <v>79</v>
      </c>
      <c r="E52" s="2">
        <v>-6</v>
      </c>
      <c r="F52" s="6">
        <v>79</v>
      </c>
      <c r="G52" s="2" t="s">
        <v>159</v>
      </c>
      <c r="H52" s="21">
        <f t="shared" si="1"/>
        <v>73</v>
      </c>
    </row>
    <row r="53" spans="1:8">
      <c r="A53" s="23">
        <v>46050</v>
      </c>
      <c r="B53" s="2" t="s">
        <v>119</v>
      </c>
      <c r="C53" s="2" t="s">
        <v>284</v>
      </c>
      <c r="D53" s="2">
        <v>30</v>
      </c>
      <c r="E53" s="2">
        <v>-2</v>
      </c>
      <c r="F53" s="6">
        <v>699</v>
      </c>
      <c r="G53" s="2" t="s">
        <v>119</v>
      </c>
      <c r="H53" s="21">
        <f t="shared" si="1"/>
        <v>28</v>
      </c>
    </row>
    <row r="54" spans="1:8">
      <c r="A54" s="23">
        <v>46050</v>
      </c>
      <c r="B54" s="2" t="s">
        <v>125</v>
      </c>
      <c r="C54" s="2" t="s">
        <v>285</v>
      </c>
      <c r="D54" s="2">
        <v>43</v>
      </c>
      <c r="E54" s="2">
        <v>0</v>
      </c>
      <c r="F54" s="6">
        <v>799</v>
      </c>
      <c r="G54" s="2" t="s">
        <v>125</v>
      </c>
      <c r="H54" s="21">
        <f t="shared" si="1"/>
        <v>43</v>
      </c>
    </row>
    <row r="55" spans="1:8">
      <c r="A55" s="23">
        <v>46050</v>
      </c>
      <c r="B55" s="2" t="s">
        <v>128</v>
      </c>
      <c r="C55" s="2" t="s">
        <v>286</v>
      </c>
      <c r="D55" s="2">
        <v>57</v>
      </c>
      <c r="E55" s="2">
        <v>0</v>
      </c>
      <c r="F55" s="6">
        <v>499</v>
      </c>
      <c r="G55" s="2" t="s">
        <v>128</v>
      </c>
      <c r="H55" s="21">
        <f t="shared" si="1"/>
        <v>57</v>
      </c>
    </row>
    <row r="56" spans="1:8">
      <c r="A56" s="23">
        <v>46050</v>
      </c>
      <c r="B56" s="2" t="s">
        <v>131</v>
      </c>
      <c r="C56" s="2" t="s">
        <v>284</v>
      </c>
      <c r="D56" s="2">
        <v>71</v>
      </c>
      <c r="E56" s="2">
        <v>0</v>
      </c>
      <c r="F56" s="6">
        <v>1199</v>
      </c>
      <c r="G56" s="2" t="s">
        <v>131</v>
      </c>
      <c r="H56" s="21">
        <f t="shared" si="1"/>
        <v>71</v>
      </c>
    </row>
    <row r="57" spans="1:8">
      <c r="A57" s="23">
        <v>46050</v>
      </c>
      <c r="B57" s="2" t="s">
        <v>134</v>
      </c>
      <c r="C57" s="2" t="s">
        <v>285</v>
      </c>
      <c r="D57" s="2">
        <v>85</v>
      </c>
      <c r="E57" s="2">
        <v>0</v>
      </c>
      <c r="F57" s="6">
        <v>179</v>
      </c>
      <c r="G57" s="2" t="s">
        <v>134</v>
      </c>
      <c r="H57" s="21">
        <f t="shared" si="1"/>
        <v>85</v>
      </c>
    </row>
    <row r="58" spans="1:8">
      <c r="A58" s="23">
        <v>46050</v>
      </c>
      <c r="B58" s="2" t="s">
        <v>137</v>
      </c>
      <c r="C58" s="2" t="s">
        <v>286</v>
      </c>
      <c r="D58" s="2">
        <v>99</v>
      </c>
      <c r="E58" s="2">
        <v>0</v>
      </c>
      <c r="F58" s="6">
        <v>99</v>
      </c>
      <c r="G58" s="2" t="s">
        <v>137</v>
      </c>
      <c r="H58" s="21">
        <f t="shared" si="1"/>
        <v>99</v>
      </c>
    </row>
    <row r="59" spans="1:8">
      <c r="A59" s="23">
        <v>46050</v>
      </c>
      <c r="B59" s="2" t="s">
        <v>140</v>
      </c>
      <c r="C59" s="2" t="s">
        <v>284</v>
      </c>
      <c r="D59" s="2">
        <v>112</v>
      </c>
      <c r="E59" s="2">
        <v>0</v>
      </c>
      <c r="F59" s="6">
        <v>129</v>
      </c>
      <c r="G59" s="2" t="s">
        <v>140</v>
      </c>
      <c r="H59" s="21">
        <f t="shared" si="1"/>
        <v>112</v>
      </c>
    </row>
    <row r="60" spans="1:8">
      <c r="A60" s="23">
        <v>46050</v>
      </c>
      <c r="B60" s="2" t="s">
        <v>145</v>
      </c>
      <c r="C60" s="2" t="s">
        <v>285</v>
      </c>
      <c r="D60" s="2">
        <v>126</v>
      </c>
      <c r="E60" s="2">
        <v>0</v>
      </c>
      <c r="F60" s="6">
        <v>159</v>
      </c>
      <c r="G60" s="2" t="s">
        <v>145</v>
      </c>
      <c r="H60" s="21">
        <f t="shared" si="1"/>
        <v>126</v>
      </c>
    </row>
    <row r="61" spans="1:8">
      <c r="A61" s="23">
        <v>46050</v>
      </c>
      <c r="B61" s="2" t="s">
        <v>148</v>
      </c>
      <c r="C61" s="2" t="s">
        <v>286</v>
      </c>
      <c r="D61" s="2">
        <v>39</v>
      </c>
      <c r="E61" s="2">
        <v>0</v>
      </c>
      <c r="F61" s="6">
        <v>39</v>
      </c>
      <c r="G61" s="2" t="s">
        <v>148</v>
      </c>
      <c r="H61" s="21">
        <f t="shared" si="1"/>
        <v>39</v>
      </c>
    </row>
    <row r="62" spans="1:8">
      <c r="A62" s="23">
        <v>46050</v>
      </c>
      <c r="B62" s="2" t="s">
        <v>152</v>
      </c>
      <c r="C62" s="2" t="s">
        <v>284</v>
      </c>
      <c r="D62" s="2">
        <v>53</v>
      </c>
      <c r="E62" s="2">
        <v>0</v>
      </c>
      <c r="F62" s="6">
        <v>19</v>
      </c>
      <c r="G62" s="2" t="s">
        <v>152</v>
      </c>
      <c r="H62" s="21">
        <f t="shared" si="1"/>
        <v>53</v>
      </c>
    </row>
    <row r="63" spans="1:8">
      <c r="A63" s="23">
        <v>46050</v>
      </c>
      <c r="B63" s="2" t="s">
        <v>156</v>
      </c>
      <c r="C63" s="2" t="s">
        <v>285</v>
      </c>
      <c r="D63" s="2">
        <v>67</v>
      </c>
      <c r="E63" s="2">
        <v>0</v>
      </c>
      <c r="F63" s="6">
        <v>139</v>
      </c>
      <c r="G63" s="2" t="s">
        <v>156</v>
      </c>
      <c r="H63" s="21">
        <f t="shared" si="1"/>
        <v>67</v>
      </c>
    </row>
    <row r="64" spans="1:8">
      <c r="A64" s="23">
        <v>46050</v>
      </c>
      <c r="B64" s="2" t="s">
        <v>159</v>
      </c>
      <c r="C64" s="2" t="s">
        <v>286</v>
      </c>
      <c r="D64" s="2">
        <v>81</v>
      </c>
      <c r="E64" s="2">
        <v>-6</v>
      </c>
      <c r="F64" s="6">
        <v>79</v>
      </c>
      <c r="G64" s="2" t="s">
        <v>159</v>
      </c>
      <c r="H64" s="21">
        <f t="shared" si="1"/>
        <v>75</v>
      </c>
    </row>
    <row r="65" spans="1:8">
      <c r="A65" s="23">
        <v>46081</v>
      </c>
      <c r="B65" s="2" t="s">
        <v>119</v>
      </c>
      <c r="C65" s="2" t="s">
        <v>284</v>
      </c>
      <c r="D65" s="2">
        <v>23</v>
      </c>
      <c r="E65" s="2">
        <v>-2</v>
      </c>
      <c r="F65" s="6">
        <v>699</v>
      </c>
      <c r="G65" s="2" t="s">
        <v>119</v>
      </c>
      <c r="H65" s="21">
        <f t="shared" si="1"/>
        <v>21</v>
      </c>
    </row>
    <row r="66" spans="1:8">
      <c r="A66" s="23">
        <v>46081</v>
      </c>
      <c r="B66" s="2" t="s">
        <v>125</v>
      </c>
      <c r="C66" s="2" t="s">
        <v>285</v>
      </c>
      <c r="D66" s="2">
        <v>33</v>
      </c>
      <c r="E66" s="2">
        <v>0</v>
      </c>
      <c r="F66" s="6">
        <v>799</v>
      </c>
      <c r="G66" s="2" t="s">
        <v>125</v>
      </c>
      <c r="H66" s="21">
        <f t="shared" si="1"/>
        <v>33</v>
      </c>
    </row>
    <row r="67" spans="1:8">
      <c r="A67" s="23">
        <v>46081</v>
      </c>
      <c r="B67" s="2" t="s">
        <v>128</v>
      </c>
      <c r="C67" s="2" t="s">
        <v>286</v>
      </c>
      <c r="D67" s="2">
        <v>44</v>
      </c>
      <c r="E67" s="2">
        <v>0</v>
      </c>
      <c r="F67" s="6">
        <v>499</v>
      </c>
      <c r="G67" s="2" t="s">
        <v>128</v>
      </c>
      <c r="H67" s="21">
        <f t="shared" si="1"/>
        <v>44</v>
      </c>
    </row>
    <row r="68" spans="1:8">
      <c r="A68" s="23">
        <v>46081</v>
      </c>
      <c r="B68" s="2" t="s">
        <v>131</v>
      </c>
      <c r="C68" s="2" t="s">
        <v>284</v>
      </c>
      <c r="D68" s="2">
        <v>54</v>
      </c>
      <c r="E68" s="2">
        <v>0</v>
      </c>
      <c r="F68" s="6">
        <v>1199</v>
      </c>
      <c r="G68" s="2" t="s">
        <v>131</v>
      </c>
      <c r="H68" s="21">
        <f t="shared" si="1"/>
        <v>54</v>
      </c>
    </row>
    <row r="69" spans="1:8">
      <c r="A69" s="23">
        <v>46081</v>
      </c>
      <c r="B69" s="2" t="s">
        <v>134</v>
      </c>
      <c r="C69" s="2" t="s">
        <v>285</v>
      </c>
      <c r="D69" s="2">
        <v>65</v>
      </c>
      <c r="E69" s="2">
        <v>0</v>
      </c>
      <c r="F69" s="6">
        <v>179</v>
      </c>
      <c r="G69" s="2" t="s">
        <v>134</v>
      </c>
      <c r="H69" s="21">
        <f t="shared" ref="H69:H100" si="2">D69+E69</f>
        <v>65</v>
      </c>
    </row>
    <row r="70" spans="1:8">
      <c r="A70" s="23">
        <v>46081</v>
      </c>
      <c r="B70" s="2" t="s">
        <v>137</v>
      </c>
      <c r="C70" s="2" t="s">
        <v>286</v>
      </c>
      <c r="D70" s="2">
        <v>75</v>
      </c>
      <c r="E70" s="2">
        <v>0</v>
      </c>
      <c r="F70" s="6">
        <v>99</v>
      </c>
      <c r="G70" s="2" t="s">
        <v>137</v>
      </c>
      <c r="H70" s="21">
        <f t="shared" si="2"/>
        <v>75</v>
      </c>
    </row>
    <row r="71" spans="1:8">
      <c r="A71" s="23">
        <v>46081</v>
      </c>
      <c r="B71" s="2" t="s">
        <v>140</v>
      </c>
      <c r="C71" s="2" t="s">
        <v>284</v>
      </c>
      <c r="D71" s="2">
        <v>85</v>
      </c>
      <c r="E71" s="2">
        <v>0</v>
      </c>
      <c r="F71" s="6">
        <v>129</v>
      </c>
      <c r="G71" s="2" t="s">
        <v>140</v>
      </c>
      <c r="H71" s="21">
        <f t="shared" si="2"/>
        <v>85</v>
      </c>
    </row>
    <row r="72" spans="1:8">
      <c r="A72" s="23">
        <v>46081</v>
      </c>
      <c r="B72" s="2" t="s">
        <v>145</v>
      </c>
      <c r="C72" s="2" t="s">
        <v>285</v>
      </c>
      <c r="D72" s="2">
        <v>96</v>
      </c>
      <c r="E72" s="2">
        <v>0</v>
      </c>
      <c r="F72" s="6">
        <v>159</v>
      </c>
      <c r="G72" s="2" t="s">
        <v>145</v>
      </c>
      <c r="H72" s="21">
        <f t="shared" si="2"/>
        <v>96</v>
      </c>
    </row>
    <row r="73" spans="1:8">
      <c r="A73" s="23">
        <v>46081</v>
      </c>
      <c r="B73" s="2" t="s">
        <v>148</v>
      </c>
      <c r="C73" s="2" t="s">
        <v>286</v>
      </c>
      <c r="D73" s="2">
        <v>30</v>
      </c>
      <c r="E73" s="2">
        <v>0</v>
      </c>
      <c r="F73" s="6">
        <v>39</v>
      </c>
      <c r="G73" s="2" t="s">
        <v>148</v>
      </c>
      <c r="H73" s="21">
        <f t="shared" si="2"/>
        <v>30</v>
      </c>
    </row>
    <row r="74" spans="1:8">
      <c r="A74" s="23">
        <v>46081</v>
      </c>
      <c r="B74" s="2" t="s">
        <v>152</v>
      </c>
      <c r="C74" s="2" t="s">
        <v>284</v>
      </c>
      <c r="D74" s="2">
        <v>40</v>
      </c>
      <c r="E74" s="2">
        <v>0</v>
      </c>
      <c r="F74" s="6">
        <v>19</v>
      </c>
      <c r="G74" s="2" t="s">
        <v>152</v>
      </c>
      <c r="H74" s="21">
        <f t="shared" si="2"/>
        <v>40</v>
      </c>
    </row>
    <row r="75" spans="1:8">
      <c r="A75" s="23">
        <v>46081</v>
      </c>
      <c r="B75" s="2" t="s">
        <v>156</v>
      </c>
      <c r="C75" s="2" t="s">
        <v>285</v>
      </c>
      <c r="D75" s="2">
        <v>51</v>
      </c>
      <c r="E75" s="2">
        <v>0</v>
      </c>
      <c r="F75" s="6">
        <v>139</v>
      </c>
      <c r="G75" s="2" t="s">
        <v>156</v>
      </c>
      <c r="H75" s="21">
        <f t="shared" si="2"/>
        <v>51</v>
      </c>
    </row>
    <row r="76" spans="1:8">
      <c r="A76" s="23">
        <v>46081</v>
      </c>
      <c r="B76" s="2" t="s">
        <v>159</v>
      </c>
      <c r="C76" s="2" t="s">
        <v>286</v>
      </c>
      <c r="D76" s="2">
        <v>61</v>
      </c>
      <c r="E76" s="2">
        <v>-5</v>
      </c>
      <c r="F76" s="6">
        <v>79</v>
      </c>
      <c r="G76" s="2" t="s">
        <v>159</v>
      </c>
      <c r="H76" s="21">
        <f t="shared" si="2"/>
        <v>56</v>
      </c>
    </row>
    <row r="77" spans="1:8">
      <c r="A77" s="23">
        <v>46109</v>
      </c>
      <c r="B77" s="2" t="s">
        <v>119</v>
      </c>
      <c r="C77" s="2" t="s">
        <v>284</v>
      </c>
      <c r="D77" s="2">
        <v>31</v>
      </c>
      <c r="E77" s="2">
        <v>-2</v>
      </c>
      <c r="F77" s="6">
        <v>699</v>
      </c>
      <c r="G77" s="2" t="s">
        <v>119</v>
      </c>
      <c r="H77" s="21">
        <f t="shared" si="2"/>
        <v>29</v>
      </c>
    </row>
    <row r="78" spans="1:8">
      <c r="A78" s="23">
        <v>46109</v>
      </c>
      <c r="B78" s="2" t="s">
        <v>125</v>
      </c>
      <c r="C78" s="2" t="s">
        <v>285</v>
      </c>
      <c r="D78" s="2">
        <v>45</v>
      </c>
      <c r="E78" s="2">
        <v>0</v>
      </c>
      <c r="F78" s="6">
        <v>799</v>
      </c>
      <c r="G78" s="2" t="s">
        <v>125</v>
      </c>
      <c r="H78" s="21">
        <f t="shared" si="2"/>
        <v>45</v>
      </c>
    </row>
    <row r="79" spans="1:8">
      <c r="A79" s="23">
        <v>46109</v>
      </c>
      <c r="B79" s="2" t="s">
        <v>128</v>
      </c>
      <c r="C79" s="2" t="s">
        <v>286</v>
      </c>
      <c r="D79" s="2">
        <v>59</v>
      </c>
      <c r="E79" s="2">
        <v>0</v>
      </c>
      <c r="F79" s="6">
        <v>499</v>
      </c>
      <c r="G79" s="2" t="s">
        <v>128</v>
      </c>
      <c r="H79" s="21">
        <f t="shared" si="2"/>
        <v>59</v>
      </c>
    </row>
    <row r="80" spans="1:8">
      <c r="A80" s="23">
        <v>46109</v>
      </c>
      <c r="B80" s="2" t="s">
        <v>131</v>
      </c>
      <c r="C80" s="2" t="s">
        <v>284</v>
      </c>
      <c r="D80" s="2">
        <v>73</v>
      </c>
      <c r="E80" s="2">
        <v>0</v>
      </c>
      <c r="F80" s="6">
        <v>1199</v>
      </c>
      <c r="G80" s="2" t="s">
        <v>131</v>
      </c>
      <c r="H80" s="21">
        <f t="shared" si="2"/>
        <v>73</v>
      </c>
    </row>
    <row r="81" spans="1:8">
      <c r="A81" s="23">
        <v>46109</v>
      </c>
      <c r="B81" s="2" t="s">
        <v>134</v>
      </c>
      <c r="C81" s="2" t="s">
        <v>285</v>
      </c>
      <c r="D81" s="2">
        <v>87</v>
      </c>
      <c r="E81" s="2">
        <v>0</v>
      </c>
      <c r="F81" s="6">
        <v>179</v>
      </c>
      <c r="G81" s="2" t="s">
        <v>134</v>
      </c>
      <c r="H81" s="21">
        <f t="shared" si="2"/>
        <v>87</v>
      </c>
    </row>
    <row r="82" spans="1:8">
      <c r="A82" s="23">
        <v>46109</v>
      </c>
      <c r="B82" s="2" t="s">
        <v>137</v>
      </c>
      <c r="C82" s="2" t="s">
        <v>286</v>
      </c>
      <c r="D82" s="2">
        <v>101</v>
      </c>
      <c r="E82" s="2">
        <v>0</v>
      </c>
      <c r="F82" s="6">
        <v>99</v>
      </c>
      <c r="G82" s="2" t="s">
        <v>137</v>
      </c>
      <c r="H82" s="21">
        <f t="shared" si="2"/>
        <v>101</v>
      </c>
    </row>
    <row r="83" spans="1:8">
      <c r="A83" s="23">
        <v>46109</v>
      </c>
      <c r="B83" s="2" t="s">
        <v>140</v>
      </c>
      <c r="C83" s="2" t="s">
        <v>284</v>
      </c>
      <c r="D83" s="2">
        <v>116</v>
      </c>
      <c r="E83" s="2">
        <v>0</v>
      </c>
      <c r="F83" s="6">
        <v>129</v>
      </c>
      <c r="G83" s="2" t="s">
        <v>140</v>
      </c>
      <c r="H83" s="21">
        <f t="shared" si="2"/>
        <v>116</v>
      </c>
    </row>
    <row r="84" spans="1:8">
      <c r="A84" s="23">
        <v>46109</v>
      </c>
      <c r="B84" s="2" t="s">
        <v>145</v>
      </c>
      <c r="C84" s="2" t="s">
        <v>285</v>
      </c>
      <c r="D84" s="2">
        <v>130</v>
      </c>
      <c r="E84" s="2">
        <v>0</v>
      </c>
      <c r="F84" s="6">
        <v>159</v>
      </c>
      <c r="G84" s="2" t="s">
        <v>145</v>
      </c>
      <c r="H84" s="21">
        <f t="shared" si="2"/>
        <v>130</v>
      </c>
    </row>
    <row r="85" spans="1:8">
      <c r="A85" s="23">
        <v>46109</v>
      </c>
      <c r="B85" s="2" t="s">
        <v>148</v>
      </c>
      <c r="C85" s="2" t="s">
        <v>286</v>
      </c>
      <c r="D85" s="2">
        <v>40</v>
      </c>
      <c r="E85" s="2">
        <v>0</v>
      </c>
      <c r="F85" s="6">
        <v>39</v>
      </c>
      <c r="G85" s="2" t="s">
        <v>148</v>
      </c>
      <c r="H85" s="21">
        <f t="shared" si="2"/>
        <v>40</v>
      </c>
    </row>
    <row r="86" spans="1:8">
      <c r="A86" s="23">
        <v>46109</v>
      </c>
      <c r="B86" s="2" t="s">
        <v>152</v>
      </c>
      <c r="C86" s="2" t="s">
        <v>284</v>
      </c>
      <c r="D86" s="2">
        <v>55</v>
      </c>
      <c r="E86" s="2">
        <v>0</v>
      </c>
      <c r="F86" s="6">
        <v>19</v>
      </c>
      <c r="G86" s="2" t="s">
        <v>152</v>
      </c>
      <c r="H86" s="21">
        <f t="shared" si="2"/>
        <v>55</v>
      </c>
    </row>
    <row r="87" spans="1:8">
      <c r="A87" s="23">
        <v>46109</v>
      </c>
      <c r="B87" s="2" t="s">
        <v>156</v>
      </c>
      <c r="C87" s="2" t="s">
        <v>285</v>
      </c>
      <c r="D87" s="2">
        <v>69</v>
      </c>
      <c r="E87" s="2">
        <v>0</v>
      </c>
      <c r="F87" s="6">
        <v>139</v>
      </c>
      <c r="G87" s="2" t="s">
        <v>156</v>
      </c>
      <c r="H87" s="21">
        <f t="shared" si="2"/>
        <v>69</v>
      </c>
    </row>
    <row r="88" spans="1:8">
      <c r="A88" s="23">
        <v>46109</v>
      </c>
      <c r="B88" s="2" t="s">
        <v>159</v>
      </c>
      <c r="C88" s="2" t="s">
        <v>286</v>
      </c>
      <c r="D88" s="2">
        <v>83</v>
      </c>
      <c r="E88" s="2">
        <v>-7</v>
      </c>
      <c r="F88" s="6">
        <v>79</v>
      </c>
      <c r="G88" s="2" t="s">
        <v>159</v>
      </c>
      <c r="H88" s="21">
        <f t="shared" si="2"/>
        <v>76</v>
      </c>
    </row>
    <row r="89" spans="1:8">
      <c r="A89" s="23">
        <v>46140</v>
      </c>
      <c r="B89" s="2" t="s">
        <v>119</v>
      </c>
      <c r="C89" s="2" t="s">
        <v>284</v>
      </c>
      <c r="D89" s="2">
        <v>31</v>
      </c>
      <c r="E89" s="2">
        <v>-2</v>
      </c>
      <c r="F89" s="6">
        <v>699</v>
      </c>
      <c r="G89" s="2" t="s">
        <v>119</v>
      </c>
      <c r="H89" s="21">
        <f t="shared" si="2"/>
        <v>29</v>
      </c>
    </row>
    <row r="90" spans="1:8">
      <c r="A90" s="23">
        <v>46140</v>
      </c>
      <c r="B90" s="2" t="s">
        <v>125</v>
      </c>
      <c r="C90" s="2" t="s">
        <v>285</v>
      </c>
      <c r="D90" s="2">
        <v>45</v>
      </c>
      <c r="E90" s="2">
        <v>0</v>
      </c>
      <c r="F90" s="6">
        <v>799</v>
      </c>
      <c r="G90" s="2" t="s">
        <v>125</v>
      </c>
      <c r="H90" s="21">
        <f t="shared" si="2"/>
        <v>45</v>
      </c>
    </row>
    <row r="91" spans="1:8">
      <c r="A91" s="23">
        <v>46140</v>
      </c>
      <c r="B91" s="2" t="s">
        <v>128</v>
      </c>
      <c r="C91" s="2" t="s">
        <v>286</v>
      </c>
      <c r="D91" s="2">
        <v>60</v>
      </c>
      <c r="E91" s="2">
        <v>0</v>
      </c>
      <c r="F91" s="6">
        <v>499</v>
      </c>
      <c r="G91" s="2" t="s">
        <v>128</v>
      </c>
      <c r="H91" s="21">
        <f t="shared" si="2"/>
        <v>60</v>
      </c>
    </row>
    <row r="92" spans="1:8">
      <c r="A92" s="23">
        <v>46140</v>
      </c>
      <c r="B92" s="2" t="s">
        <v>131</v>
      </c>
      <c r="C92" s="2" t="s">
        <v>284</v>
      </c>
      <c r="D92" s="2">
        <v>74</v>
      </c>
      <c r="E92" s="2">
        <v>0</v>
      </c>
      <c r="F92" s="6">
        <v>1199</v>
      </c>
      <c r="G92" s="2" t="s">
        <v>131</v>
      </c>
      <c r="H92" s="21">
        <f t="shared" si="2"/>
        <v>74</v>
      </c>
    </row>
    <row r="93" spans="1:8">
      <c r="A93" s="23">
        <v>46140</v>
      </c>
      <c r="B93" s="2" t="s">
        <v>134</v>
      </c>
      <c r="C93" s="2" t="s">
        <v>285</v>
      </c>
      <c r="D93" s="2">
        <v>88</v>
      </c>
      <c r="E93" s="2">
        <v>0</v>
      </c>
      <c r="F93" s="6">
        <v>179</v>
      </c>
      <c r="G93" s="2" t="s">
        <v>134</v>
      </c>
      <c r="H93" s="21">
        <f t="shared" si="2"/>
        <v>88</v>
      </c>
    </row>
    <row r="94" spans="1:8">
      <c r="A94" s="23">
        <v>46140</v>
      </c>
      <c r="B94" s="2" t="s">
        <v>137</v>
      </c>
      <c r="C94" s="2" t="s">
        <v>286</v>
      </c>
      <c r="D94" s="2">
        <v>103</v>
      </c>
      <c r="E94" s="2">
        <v>0</v>
      </c>
      <c r="F94" s="6">
        <v>99</v>
      </c>
      <c r="G94" s="2" t="s">
        <v>137</v>
      </c>
      <c r="H94" s="21">
        <f t="shared" si="2"/>
        <v>103</v>
      </c>
    </row>
    <row r="95" spans="1:8">
      <c r="A95" s="23">
        <v>46140</v>
      </c>
      <c r="B95" s="2" t="s">
        <v>140</v>
      </c>
      <c r="C95" s="2" t="s">
        <v>284</v>
      </c>
      <c r="D95" s="2">
        <v>117</v>
      </c>
      <c r="E95" s="2">
        <v>0</v>
      </c>
      <c r="F95" s="6">
        <v>129</v>
      </c>
      <c r="G95" s="2" t="s">
        <v>140</v>
      </c>
      <c r="H95" s="21">
        <f t="shared" si="2"/>
        <v>117</v>
      </c>
    </row>
    <row r="96" spans="1:8">
      <c r="A96" s="23">
        <v>46140</v>
      </c>
      <c r="B96" s="2" t="s">
        <v>145</v>
      </c>
      <c r="C96" s="2" t="s">
        <v>285</v>
      </c>
      <c r="D96" s="2">
        <v>131</v>
      </c>
      <c r="E96" s="2">
        <v>0</v>
      </c>
      <c r="F96" s="6">
        <v>159</v>
      </c>
      <c r="G96" s="2" t="s">
        <v>145</v>
      </c>
      <c r="H96" s="21">
        <f t="shared" si="2"/>
        <v>131</v>
      </c>
    </row>
    <row r="97" spans="1:8">
      <c r="A97" s="23">
        <v>46140</v>
      </c>
      <c r="B97" s="2" t="s">
        <v>148</v>
      </c>
      <c r="C97" s="2" t="s">
        <v>286</v>
      </c>
      <c r="D97" s="2">
        <v>41</v>
      </c>
      <c r="E97" s="2">
        <v>0</v>
      </c>
      <c r="F97" s="6">
        <v>39</v>
      </c>
      <c r="G97" s="2" t="s">
        <v>148</v>
      </c>
      <c r="H97" s="21">
        <f t="shared" si="2"/>
        <v>41</v>
      </c>
    </row>
    <row r="98" spans="1:8">
      <c r="A98" s="23">
        <v>46140</v>
      </c>
      <c r="B98" s="2" t="s">
        <v>152</v>
      </c>
      <c r="C98" s="2" t="s">
        <v>284</v>
      </c>
      <c r="D98" s="2">
        <v>55</v>
      </c>
      <c r="E98" s="2">
        <v>0</v>
      </c>
      <c r="F98" s="6">
        <v>19</v>
      </c>
      <c r="G98" s="2" t="s">
        <v>152</v>
      </c>
      <c r="H98" s="21">
        <f t="shared" si="2"/>
        <v>55</v>
      </c>
    </row>
    <row r="99" spans="1:8">
      <c r="A99" s="23">
        <v>46140</v>
      </c>
      <c r="B99" s="2" t="s">
        <v>156</v>
      </c>
      <c r="C99" s="2" t="s">
        <v>285</v>
      </c>
      <c r="D99" s="2">
        <v>70</v>
      </c>
      <c r="E99" s="2">
        <v>0</v>
      </c>
      <c r="F99" s="6">
        <v>139</v>
      </c>
      <c r="G99" s="2" t="s">
        <v>156</v>
      </c>
      <c r="H99" s="21">
        <f t="shared" si="2"/>
        <v>70</v>
      </c>
    </row>
    <row r="100" spans="1:8">
      <c r="A100" s="23">
        <v>46140</v>
      </c>
      <c r="B100" s="2" t="s">
        <v>159</v>
      </c>
      <c r="C100" s="2" t="s">
        <v>286</v>
      </c>
      <c r="D100" s="2">
        <v>84</v>
      </c>
      <c r="E100" s="2">
        <v>-7</v>
      </c>
      <c r="F100" s="6">
        <v>79</v>
      </c>
      <c r="G100" s="2" t="s">
        <v>159</v>
      </c>
      <c r="H100" s="21">
        <f t="shared" si="2"/>
        <v>77</v>
      </c>
    </row>
    <row r="101" spans="1:8">
      <c r="A101" s="23">
        <v>46170</v>
      </c>
      <c r="B101" s="2" t="s">
        <v>119</v>
      </c>
      <c r="C101" s="2" t="s">
        <v>284</v>
      </c>
      <c r="D101" s="2">
        <v>31</v>
      </c>
      <c r="E101" s="2">
        <v>-2</v>
      </c>
      <c r="F101" s="6">
        <v>699</v>
      </c>
      <c r="G101" s="2" t="s">
        <v>119</v>
      </c>
      <c r="H101" s="21">
        <f t="shared" ref="H101:H132" si="3">D101+E101</f>
        <v>29</v>
      </c>
    </row>
    <row r="102" spans="1:8">
      <c r="A102" s="23">
        <v>46170</v>
      </c>
      <c r="B102" s="2" t="s">
        <v>125</v>
      </c>
      <c r="C102" s="2" t="s">
        <v>285</v>
      </c>
      <c r="D102" s="2">
        <v>46</v>
      </c>
      <c r="E102" s="2">
        <v>0</v>
      </c>
      <c r="F102" s="6">
        <v>799</v>
      </c>
      <c r="G102" s="2" t="s">
        <v>125</v>
      </c>
      <c r="H102" s="21">
        <f t="shared" si="3"/>
        <v>46</v>
      </c>
    </row>
    <row r="103" spans="1:8">
      <c r="A103" s="23">
        <v>46170</v>
      </c>
      <c r="B103" s="2" t="s">
        <v>128</v>
      </c>
      <c r="C103" s="2" t="s">
        <v>286</v>
      </c>
      <c r="D103" s="2">
        <v>60</v>
      </c>
      <c r="E103" s="2">
        <v>0</v>
      </c>
      <c r="F103" s="6">
        <v>499</v>
      </c>
      <c r="G103" s="2" t="s">
        <v>128</v>
      </c>
      <c r="H103" s="21">
        <f t="shared" si="3"/>
        <v>60</v>
      </c>
    </row>
    <row r="104" spans="1:8">
      <c r="A104" s="23">
        <v>46170</v>
      </c>
      <c r="B104" s="2" t="s">
        <v>131</v>
      </c>
      <c r="C104" s="2" t="s">
        <v>284</v>
      </c>
      <c r="D104" s="2">
        <v>75</v>
      </c>
      <c r="E104" s="2">
        <v>0</v>
      </c>
      <c r="F104" s="6">
        <v>1199</v>
      </c>
      <c r="G104" s="2" t="s">
        <v>131</v>
      </c>
      <c r="H104" s="21">
        <f t="shared" si="3"/>
        <v>75</v>
      </c>
    </row>
    <row r="105" spans="1:8">
      <c r="A105" s="23">
        <v>46170</v>
      </c>
      <c r="B105" s="2" t="s">
        <v>134</v>
      </c>
      <c r="C105" s="2" t="s">
        <v>285</v>
      </c>
      <c r="D105" s="2">
        <v>90</v>
      </c>
      <c r="E105" s="2">
        <v>0</v>
      </c>
      <c r="F105" s="6">
        <v>179</v>
      </c>
      <c r="G105" s="2" t="s">
        <v>134</v>
      </c>
      <c r="H105" s="21">
        <f t="shared" si="3"/>
        <v>90</v>
      </c>
    </row>
    <row r="106" spans="1:8">
      <c r="A106" s="23">
        <v>46170</v>
      </c>
      <c r="B106" s="2" t="s">
        <v>137</v>
      </c>
      <c r="C106" s="2" t="s">
        <v>286</v>
      </c>
      <c r="D106" s="2">
        <v>104</v>
      </c>
      <c r="E106" s="2">
        <v>0</v>
      </c>
      <c r="F106" s="6">
        <v>99</v>
      </c>
      <c r="G106" s="2" t="s">
        <v>137</v>
      </c>
      <c r="H106" s="21">
        <f t="shared" si="3"/>
        <v>104</v>
      </c>
    </row>
    <row r="107" spans="1:8">
      <c r="A107" s="23">
        <v>46170</v>
      </c>
      <c r="B107" s="2" t="s">
        <v>140</v>
      </c>
      <c r="C107" s="2" t="s">
        <v>284</v>
      </c>
      <c r="D107" s="2">
        <v>119</v>
      </c>
      <c r="E107" s="2">
        <v>0</v>
      </c>
      <c r="F107" s="6">
        <v>129</v>
      </c>
      <c r="G107" s="2" t="s">
        <v>140</v>
      </c>
      <c r="H107" s="21">
        <f t="shared" si="3"/>
        <v>119</v>
      </c>
    </row>
    <row r="108" spans="1:8">
      <c r="A108" s="23">
        <v>46170</v>
      </c>
      <c r="B108" s="2" t="s">
        <v>145</v>
      </c>
      <c r="C108" s="2" t="s">
        <v>285</v>
      </c>
      <c r="D108" s="2">
        <v>133</v>
      </c>
      <c r="E108" s="2">
        <v>0</v>
      </c>
      <c r="F108" s="6">
        <v>159</v>
      </c>
      <c r="G108" s="2" t="s">
        <v>145</v>
      </c>
      <c r="H108" s="21">
        <f t="shared" si="3"/>
        <v>133</v>
      </c>
    </row>
    <row r="109" spans="1:8">
      <c r="A109" s="23">
        <v>46170</v>
      </c>
      <c r="B109" s="2" t="s">
        <v>148</v>
      </c>
      <c r="C109" s="2" t="s">
        <v>286</v>
      </c>
      <c r="D109" s="2">
        <v>41</v>
      </c>
      <c r="E109" s="2">
        <v>0</v>
      </c>
      <c r="F109" s="6">
        <v>39</v>
      </c>
      <c r="G109" s="2" t="s">
        <v>148</v>
      </c>
      <c r="H109" s="21">
        <f t="shared" si="3"/>
        <v>41</v>
      </c>
    </row>
    <row r="110" spans="1:8">
      <c r="A110" s="23">
        <v>46170</v>
      </c>
      <c r="B110" s="2" t="s">
        <v>152</v>
      </c>
      <c r="C110" s="2" t="s">
        <v>284</v>
      </c>
      <c r="D110" s="2">
        <v>56</v>
      </c>
      <c r="E110" s="2">
        <v>0</v>
      </c>
      <c r="F110" s="6">
        <v>19</v>
      </c>
      <c r="G110" s="2" t="s">
        <v>152</v>
      </c>
      <c r="H110" s="21">
        <f t="shared" si="3"/>
        <v>56</v>
      </c>
    </row>
    <row r="111" spans="1:8">
      <c r="A111" s="23">
        <v>46170</v>
      </c>
      <c r="B111" s="2" t="s">
        <v>156</v>
      </c>
      <c r="C111" s="2" t="s">
        <v>285</v>
      </c>
      <c r="D111" s="2">
        <v>71</v>
      </c>
      <c r="E111" s="2">
        <v>0</v>
      </c>
      <c r="F111" s="6">
        <v>139</v>
      </c>
      <c r="G111" s="2" t="s">
        <v>156</v>
      </c>
      <c r="H111" s="21">
        <f t="shared" si="3"/>
        <v>71</v>
      </c>
    </row>
    <row r="112" spans="1:8">
      <c r="A112" s="23">
        <v>46170</v>
      </c>
      <c r="B112" s="2" t="s">
        <v>159</v>
      </c>
      <c r="C112" s="2" t="s">
        <v>286</v>
      </c>
      <c r="D112" s="2">
        <v>85</v>
      </c>
      <c r="E112" s="2">
        <v>-7</v>
      </c>
      <c r="F112" s="6">
        <v>79</v>
      </c>
      <c r="G112" s="2" t="s">
        <v>159</v>
      </c>
      <c r="H112" s="21">
        <f t="shared" si="3"/>
        <v>78</v>
      </c>
    </row>
    <row r="113" spans="1:8">
      <c r="A113" s="23">
        <v>46201</v>
      </c>
      <c r="B113" s="2" t="s">
        <v>119</v>
      </c>
      <c r="C113" s="2" t="s">
        <v>284</v>
      </c>
      <c r="D113" s="2">
        <v>32</v>
      </c>
      <c r="E113" s="2">
        <v>-3</v>
      </c>
      <c r="F113" s="6">
        <v>699</v>
      </c>
      <c r="G113" s="2" t="s">
        <v>119</v>
      </c>
      <c r="H113" s="21">
        <f t="shared" si="3"/>
        <v>29</v>
      </c>
    </row>
    <row r="114" spans="1:8">
      <c r="A114" s="23">
        <v>46201</v>
      </c>
      <c r="B114" s="2" t="s">
        <v>125</v>
      </c>
      <c r="C114" s="2" t="s">
        <v>285</v>
      </c>
      <c r="D114" s="2">
        <v>47</v>
      </c>
      <c r="E114" s="2">
        <v>0</v>
      </c>
      <c r="F114" s="6">
        <v>799</v>
      </c>
      <c r="G114" s="2" t="s">
        <v>125</v>
      </c>
      <c r="H114" s="21">
        <f t="shared" si="3"/>
        <v>47</v>
      </c>
    </row>
    <row r="115" spans="1:8">
      <c r="A115" s="23">
        <v>46201</v>
      </c>
      <c r="B115" s="2" t="s">
        <v>128</v>
      </c>
      <c r="C115" s="2" t="s">
        <v>286</v>
      </c>
      <c r="D115" s="2">
        <v>61</v>
      </c>
      <c r="E115" s="2">
        <v>0</v>
      </c>
      <c r="F115" s="6">
        <v>499</v>
      </c>
      <c r="G115" s="2" t="s">
        <v>128</v>
      </c>
      <c r="H115" s="21">
        <f t="shared" si="3"/>
        <v>61</v>
      </c>
    </row>
    <row r="116" spans="1:8">
      <c r="A116" s="23">
        <v>46201</v>
      </c>
      <c r="B116" s="2" t="s">
        <v>131</v>
      </c>
      <c r="C116" s="2" t="s">
        <v>284</v>
      </c>
      <c r="D116" s="2">
        <v>76</v>
      </c>
      <c r="E116" s="2">
        <v>0</v>
      </c>
      <c r="F116" s="6">
        <v>1199</v>
      </c>
      <c r="G116" s="2" t="s">
        <v>131</v>
      </c>
      <c r="H116" s="21">
        <f t="shared" si="3"/>
        <v>76</v>
      </c>
    </row>
    <row r="117" spans="1:8">
      <c r="A117" s="23">
        <v>46201</v>
      </c>
      <c r="B117" s="2" t="s">
        <v>134</v>
      </c>
      <c r="C117" s="2" t="s">
        <v>285</v>
      </c>
      <c r="D117" s="2">
        <v>91</v>
      </c>
      <c r="E117" s="2">
        <v>0</v>
      </c>
      <c r="F117" s="6">
        <v>179</v>
      </c>
      <c r="G117" s="2" t="s">
        <v>134</v>
      </c>
      <c r="H117" s="21">
        <f t="shared" si="3"/>
        <v>91</v>
      </c>
    </row>
    <row r="118" spans="1:8">
      <c r="A118" s="23">
        <v>46201</v>
      </c>
      <c r="B118" s="2" t="s">
        <v>137</v>
      </c>
      <c r="C118" s="2" t="s">
        <v>286</v>
      </c>
      <c r="D118" s="2">
        <v>106</v>
      </c>
      <c r="E118" s="2">
        <v>0</v>
      </c>
      <c r="F118" s="6">
        <v>99</v>
      </c>
      <c r="G118" s="2" t="s">
        <v>137</v>
      </c>
      <c r="H118" s="21">
        <f t="shared" si="3"/>
        <v>106</v>
      </c>
    </row>
    <row r="119" spans="1:8">
      <c r="A119" s="23">
        <v>46201</v>
      </c>
      <c r="B119" s="2" t="s">
        <v>140</v>
      </c>
      <c r="C119" s="2" t="s">
        <v>284</v>
      </c>
      <c r="D119" s="2">
        <v>120</v>
      </c>
      <c r="E119" s="2">
        <v>0</v>
      </c>
      <c r="F119" s="6">
        <v>129</v>
      </c>
      <c r="G119" s="2" t="s">
        <v>140</v>
      </c>
      <c r="H119" s="21">
        <f t="shared" si="3"/>
        <v>120</v>
      </c>
    </row>
    <row r="120" spans="1:8">
      <c r="A120" s="23">
        <v>46201</v>
      </c>
      <c r="B120" s="2" t="s">
        <v>145</v>
      </c>
      <c r="C120" s="2" t="s">
        <v>285</v>
      </c>
      <c r="D120" s="2">
        <v>135</v>
      </c>
      <c r="E120" s="2">
        <v>0</v>
      </c>
      <c r="F120" s="6">
        <v>159</v>
      </c>
      <c r="G120" s="2" t="s">
        <v>145</v>
      </c>
      <c r="H120" s="21">
        <f t="shared" si="3"/>
        <v>135</v>
      </c>
    </row>
    <row r="121" spans="1:8">
      <c r="A121" s="23">
        <v>46201</v>
      </c>
      <c r="B121" s="2" t="s">
        <v>148</v>
      </c>
      <c r="C121" s="2" t="s">
        <v>286</v>
      </c>
      <c r="D121" s="2">
        <v>42</v>
      </c>
      <c r="E121" s="2">
        <v>0</v>
      </c>
      <c r="F121" s="6">
        <v>39</v>
      </c>
      <c r="G121" s="2" t="s">
        <v>148</v>
      </c>
      <c r="H121" s="21">
        <f t="shared" si="3"/>
        <v>42</v>
      </c>
    </row>
    <row r="122" spans="1:8">
      <c r="A122" s="23">
        <v>46201</v>
      </c>
      <c r="B122" s="2" t="s">
        <v>152</v>
      </c>
      <c r="C122" s="2" t="s">
        <v>284</v>
      </c>
      <c r="D122" s="2">
        <v>57</v>
      </c>
      <c r="E122" s="2">
        <v>0</v>
      </c>
      <c r="F122" s="6">
        <v>19</v>
      </c>
      <c r="G122" s="2" t="s">
        <v>152</v>
      </c>
      <c r="H122" s="21">
        <f t="shared" si="3"/>
        <v>57</v>
      </c>
    </row>
    <row r="123" spans="1:8">
      <c r="A123" s="23">
        <v>46201</v>
      </c>
      <c r="B123" s="2" t="s">
        <v>156</v>
      </c>
      <c r="C123" s="2" t="s">
        <v>285</v>
      </c>
      <c r="D123" s="2">
        <v>72</v>
      </c>
      <c r="E123" s="2">
        <v>0</v>
      </c>
      <c r="F123" s="6">
        <v>139</v>
      </c>
      <c r="G123" s="2" t="s">
        <v>156</v>
      </c>
      <c r="H123" s="21">
        <f t="shared" si="3"/>
        <v>72</v>
      </c>
    </row>
    <row r="124" spans="1:8">
      <c r="A124" s="23">
        <v>46201</v>
      </c>
      <c r="B124" s="2" t="s">
        <v>159</v>
      </c>
      <c r="C124" s="2" t="s">
        <v>286</v>
      </c>
      <c r="D124" s="2">
        <v>86</v>
      </c>
      <c r="E124" s="2">
        <v>-7</v>
      </c>
      <c r="F124" s="6">
        <v>79</v>
      </c>
      <c r="G124" s="2" t="s">
        <v>159</v>
      </c>
      <c r="H124" s="21">
        <f t="shared" si="3"/>
        <v>79</v>
      </c>
    </row>
    <row r="125" spans="1:8">
      <c r="A125" s="23">
        <v>46231</v>
      </c>
      <c r="B125" s="2" t="s">
        <v>119</v>
      </c>
      <c r="C125" s="2" t="s">
        <v>284</v>
      </c>
      <c r="D125" s="2">
        <v>50</v>
      </c>
      <c r="E125" s="2">
        <v>-4</v>
      </c>
      <c r="F125" s="6">
        <v>699</v>
      </c>
      <c r="G125" s="2" t="s">
        <v>119</v>
      </c>
      <c r="H125" s="21">
        <f t="shared" si="3"/>
        <v>46</v>
      </c>
    </row>
    <row r="126" spans="1:8">
      <c r="A126" s="23">
        <v>46231</v>
      </c>
      <c r="B126" s="2" t="s">
        <v>125</v>
      </c>
      <c r="C126" s="2" t="s">
        <v>285</v>
      </c>
      <c r="D126" s="2">
        <v>73</v>
      </c>
      <c r="E126" s="2">
        <v>0</v>
      </c>
      <c r="F126" s="6">
        <v>799</v>
      </c>
      <c r="G126" s="2" t="s">
        <v>125</v>
      </c>
      <c r="H126" s="21">
        <f t="shared" si="3"/>
        <v>73</v>
      </c>
    </row>
    <row r="127" spans="1:8">
      <c r="A127" s="23">
        <v>46231</v>
      </c>
      <c r="B127" s="2" t="s">
        <v>128</v>
      </c>
      <c r="C127" s="2" t="s">
        <v>286</v>
      </c>
      <c r="D127" s="2">
        <v>96</v>
      </c>
      <c r="E127" s="2">
        <v>0</v>
      </c>
      <c r="F127" s="6">
        <v>499</v>
      </c>
      <c r="G127" s="2" t="s">
        <v>128</v>
      </c>
      <c r="H127" s="21">
        <f t="shared" si="3"/>
        <v>96</v>
      </c>
    </row>
    <row r="128" spans="1:8">
      <c r="A128" s="23">
        <v>46231</v>
      </c>
      <c r="B128" s="2" t="s">
        <v>131</v>
      </c>
      <c r="C128" s="2" t="s">
        <v>284</v>
      </c>
      <c r="D128" s="2">
        <v>119</v>
      </c>
      <c r="E128" s="2">
        <v>0</v>
      </c>
      <c r="F128" s="6">
        <v>1199</v>
      </c>
      <c r="G128" s="2" t="s">
        <v>131</v>
      </c>
      <c r="H128" s="21">
        <f t="shared" si="3"/>
        <v>119</v>
      </c>
    </row>
    <row r="129" spans="1:8">
      <c r="A129" s="23">
        <v>46231</v>
      </c>
      <c r="B129" s="2" t="s">
        <v>134</v>
      </c>
      <c r="C129" s="2" t="s">
        <v>285</v>
      </c>
      <c r="D129" s="2">
        <v>143</v>
      </c>
      <c r="E129" s="2">
        <v>0</v>
      </c>
      <c r="F129" s="6">
        <v>179</v>
      </c>
      <c r="G129" s="2" t="s">
        <v>134</v>
      </c>
      <c r="H129" s="21">
        <f t="shared" si="3"/>
        <v>143</v>
      </c>
    </row>
    <row r="130" spans="1:8">
      <c r="A130" s="23">
        <v>46231</v>
      </c>
      <c r="B130" s="2" t="s">
        <v>137</v>
      </c>
      <c r="C130" s="2" t="s">
        <v>286</v>
      </c>
      <c r="D130" s="2">
        <v>166</v>
      </c>
      <c r="E130" s="2">
        <v>0</v>
      </c>
      <c r="F130" s="6">
        <v>99</v>
      </c>
      <c r="G130" s="2" t="s">
        <v>137</v>
      </c>
      <c r="H130" s="21">
        <f t="shared" si="3"/>
        <v>166</v>
      </c>
    </row>
    <row r="131" spans="1:8">
      <c r="A131" s="23">
        <v>46231</v>
      </c>
      <c r="B131" s="2" t="s">
        <v>140</v>
      </c>
      <c r="C131" s="2" t="s">
        <v>284</v>
      </c>
      <c r="D131" s="2">
        <v>189</v>
      </c>
      <c r="E131" s="2">
        <v>0</v>
      </c>
      <c r="F131" s="6">
        <v>129</v>
      </c>
      <c r="G131" s="2" t="s">
        <v>140</v>
      </c>
      <c r="H131" s="21">
        <f t="shared" si="3"/>
        <v>189</v>
      </c>
    </row>
    <row r="132" spans="1:8">
      <c r="A132" s="23">
        <v>46231</v>
      </c>
      <c r="B132" s="2" t="s">
        <v>145</v>
      </c>
      <c r="C132" s="2" t="s">
        <v>285</v>
      </c>
      <c r="D132" s="2">
        <v>212</v>
      </c>
      <c r="E132" s="2">
        <v>0</v>
      </c>
      <c r="F132" s="6">
        <v>159</v>
      </c>
      <c r="G132" s="2" t="s">
        <v>145</v>
      </c>
      <c r="H132" s="21">
        <f t="shared" si="3"/>
        <v>212</v>
      </c>
    </row>
    <row r="133" spans="1:8">
      <c r="A133" s="23">
        <v>46231</v>
      </c>
      <c r="B133" s="2" t="s">
        <v>148</v>
      </c>
      <c r="C133" s="2" t="s">
        <v>286</v>
      </c>
      <c r="D133" s="2">
        <v>66</v>
      </c>
      <c r="E133" s="2">
        <v>0</v>
      </c>
      <c r="F133" s="6">
        <v>39</v>
      </c>
      <c r="G133" s="2" t="s">
        <v>148</v>
      </c>
      <c r="H133" s="21">
        <f t="shared" ref="H133:H148" si="4">D133+E133</f>
        <v>66</v>
      </c>
    </row>
    <row r="134" spans="1:8">
      <c r="A134" s="23">
        <v>46231</v>
      </c>
      <c r="B134" s="2" t="s">
        <v>152</v>
      </c>
      <c r="C134" s="2" t="s">
        <v>284</v>
      </c>
      <c r="D134" s="2">
        <v>89</v>
      </c>
      <c r="E134" s="2">
        <v>0</v>
      </c>
      <c r="F134" s="6">
        <v>19</v>
      </c>
      <c r="G134" s="2" t="s">
        <v>152</v>
      </c>
      <c r="H134" s="21">
        <f t="shared" si="4"/>
        <v>89</v>
      </c>
    </row>
    <row r="135" spans="1:8">
      <c r="A135" s="23">
        <v>46231</v>
      </c>
      <c r="B135" s="2" t="s">
        <v>156</v>
      </c>
      <c r="C135" s="2" t="s">
        <v>285</v>
      </c>
      <c r="D135" s="2">
        <v>112</v>
      </c>
      <c r="E135" s="2">
        <v>0</v>
      </c>
      <c r="F135" s="6">
        <v>139</v>
      </c>
      <c r="G135" s="2" t="s">
        <v>156</v>
      </c>
      <c r="H135" s="21">
        <f t="shared" si="4"/>
        <v>112</v>
      </c>
    </row>
    <row r="136" spans="1:8">
      <c r="A136" s="23">
        <v>46231</v>
      </c>
      <c r="B136" s="2" t="s">
        <v>159</v>
      </c>
      <c r="C136" s="2" t="s">
        <v>286</v>
      </c>
      <c r="D136" s="2">
        <v>135</v>
      </c>
      <c r="E136" s="2">
        <v>-11</v>
      </c>
      <c r="F136" s="6">
        <v>79</v>
      </c>
      <c r="G136" s="2" t="s">
        <v>159</v>
      </c>
      <c r="H136" s="21">
        <f t="shared" si="4"/>
        <v>124</v>
      </c>
    </row>
    <row r="137" spans="1:8">
      <c r="A137" s="23">
        <v>46262</v>
      </c>
      <c r="B137" s="2" t="s">
        <v>119</v>
      </c>
      <c r="C137" s="2" t="s">
        <v>284</v>
      </c>
      <c r="D137" s="2">
        <v>51</v>
      </c>
      <c r="E137" s="2">
        <v>-4</v>
      </c>
      <c r="F137" s="6">
        <v>699</v>
      </c>
      <c r="G137" s="2" t="s">
        <v>119</v>
      </c>
      <c r="H137" s="21">
        <f t="shared" si="4"/>
        <v>47</v>
      </c>
    </row>
    <row r="138" spans="1:8">
      <c r="A138" s="23">
        <v>46262</v>
      </c>
      <c r="B138" s="2" t="s">
        <v>125</v>
      </c>
      <c r="C138" s="2" t="s">
        <v>285</v>
      </c>
      <c r="D138" s="2">
        <v>74</v>
      </c>
      <c r="E138" s="2">
        <v>0</v>
      </c>
      <c r="F138" s="6">
        <v>799</v>
      </c>
      <c r="G138" s="2" t="s">
        <v>125</v>
      </c>
      <c r="H138" s="21">
        <f t="shared" si="4"/>
        <v>74</v>
      </c>
    </row>
    <row r="139" spans="1:8">
      <c r="A139" s="23">
        <v>46262</v>
      </c>
      <c r="B139" s="2" t="s">
        <v>128</v>
      </c>
      <c r="C139" s="2" t="s">
        <v>286</v>
      </c>
      <c r="D139" s="2">
        <v>98</v>
      </c>
      <c r="E139" s="2">
        <v>0</v>
      </c>
      <c r="F139" s="6">
        <v>499</v>
      </c>
      <c r="G139" s="2" t="s">
        <v>128</v>
      </c>
      <c r="H139" s="21">
        <f t="shared" si="4"/>
        <v>98</v>
      </c>
    </row>
    <row r="140" spans="1:8">
      <c r="A140" s="23">
        <v>46262</v>
      </c>
      <c r="B140" s="2" t="s">
        <v>131</v>
      </c>
      <c r="C140" s="2" t="s">
        <v>284</v>
      </c>
      <c r="D140" s="2">
        <v>121</v>
      </c>
      <c r="E140" s="2">
        <v>0</v>
      </c>
      <c r="F140" s="6">
        <v>1199</v>
      </c>
      <c r="G140" s="2" t="s">
        <v>131</v>
      </c>
      <c r="H140" s="21">
        <f t="shared" si="4"/>
        <v>121</v>
      </c>
    </row>
    <row r="141" spans="1:8">
      <c r="A141" s="23">
        <v>46262</v>
      </c>
      <c r="B141" s="2" t="s">
        <v>134</v>
      </c>
      <c r="C141" s="2" t="s">
        <v>285</v>
      </c>
      <c r="D141" s="2">
        <v>144</v>
      </c>
      <c r="E141" s="2">
        <v>0</v>
      </c>
      <c r="F141" s="6">
        <v>179</v>
      </c>
      <c r="G141" s="2" t="s">
        <v>134</v>
      </c>
      <c r="H141" s="21">
        <f t="shared" si="4"/>
        <v>144</v>
      </c>
    </row>
    <row r="142" spans="1:8">
      <c r="A142" s="23">
        <v>46262</v>
      </c>
      <c r="B142" s="2" t="s">
        <v>137</v>
      </c>
      <c r="C142" s="2" t="s">
        <v>286</v>
      </c>
      <c r="D142" s="2">
        <v>168</v>
      </c>
      <c r="E142" s="2">
        <v>0</v>
      </c>
      <c r="F142" s="6">
        <v>99</v>
      </c>
      <c r="G142" s="2" t="s">
        <v>137</v>
      </c>
      <c r="H142" s="21">
        <f t="shared" si="4"/>
        <v>168</v>
      </c>
    </row>
    <row r="143" spans="1:8">
      <c r="A143" s="23">
        <v>46262</v>
      </c>
      <c r="B143" s="2" t="s">
        <v>140</v>
      </c>
      <c r="C143" s="2" t="s">
        <v>284</v>
      </c>
      <c r="D143" s="2">
        <v>191</v>
      </c>
      <c r="E143" s="2">
        <v>0</v>
      </c>
      <c r="F143" s="6">
        <v>129</v>
      </c>
      <c r="G143" s="2" t="s">
        <v>140</v>
      </c>
      <c r="H143" s="21">
        <f t="shared" si="4"/>
        <v>191</v>
      </c>
    </row>
    <row r="144" spans="1:8">
      <c r="A144" s="23">
        <v>46262</v>
      </c>
      <c r="B144" s="2" t="s">
        <v>145</v>
      </c>
      <c r="C144" s="2" t="s">
        <v>285</v>
      </c>
      <c r="D144" s="2">
        <v>215</v>
      </c>
      <c r="E144" s="2">
        <v>0</v>
      </c>
      <c r="F144" s="6">
        <v>159</v>
      </c>
      <c r="G144" s="2" t="s">
        <v>145</v>
      </c>
      <c r="H144" s="21">
        <f t="shared" si="4"/>
        <v>215</v>
      </c>
    </row>
    <row r="145" spans="1:8">
      <c r="A145" s="23">
        <v>46262</v>
      </c>
      <c r="B145" s="2" t="s">
        <v>148</v>
      </c>
      <c r="C145" s="2" t="s">
        <v>286</v>
      </c>
      <c r="D145" s="2">
        <v>67</v>
      </c>
      <c r="E145" s="2">
        <v>0</v>
      </c>
      <c r="F145" s="6">
        <v>39</v>
      </c>
      <c r="G145" s="2" t="s">
        <v>148</v>
      </c>
      <c r="H145" s="21">
        <f t="shared" si="4"/>
        <v>67</v>
      </c>
    </row>
    <row r="146" spans="1:8">
      <c r="A146" s="23">
        <v>46262</v>
      </c>
      <c r="B146" s="2" t="s">
        <v>152</v>
      </c>
      <c r="C146" s="2" t="s">
        <v>284</v>
      </c>
      <c r="D146" s="2">
        <v>90</v>
      </c>
      <c r="E146" s="2">
        <v>0</v>
      </c>
      <c r="F146" s="6">
        <v>19</v>
      </c>
      <c r="G146" s="2" t="s">
        <v>152</v>
      </c>
      <c r="H146" s="21">
        <f t="shared" si="4"/>
        <v>90</v>
      </c>
    </row>
    <row r="147" spans="1:8">
      <c r="A147" s="23">
        <v>46262</v>
      </c>
      <c r="B147" s="2" t="s">
        <v>156</v>
      </c>
      <c r="C147" s="2" t="s">
        <v>285</v>
      </c>
      <c r="D147" s="2">
        <v>114</v>
      </c>
      <c r="E147" s="2">
        <v>0</v>
      </c>
      <c r="F147" s="6">
        <v>139</v>
      </c>
      <c r="G147" s="2" t="s">
        <v>156</v>
      </c>
      <c r="H147" s="21">
        <f t="shared" si="4"/>
        <v>114</v>
      </c>
    </row>
    <row r="148" spans="1:8">
      <c r="A148" s="23">
        <v>46262</v>
      </c>
      <c r="B148" s="2" t="s">
        <v>159</v>
      </c>
      <c r="C148" s="2" t="s">
        <v>286</v>
      </c>
      <c r="D148" s="2">
        <v>137</v>
      </c>
      <c r="E148" s="2">
        <v>-11</v>
      </c>
      <c r="F148" s="6">
        <v>79</v>
      </c>
      <c r="G148" s="2" t="s">
        <v>159</v>
      </c>
      <c r="H148" s="21">
        <f t="shared" si="4"/>
        <v>126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8"/>
  <sheetViews>
    <sheetView showGridLines="0" workbookViewId="0"/>
  </sheetViews>
  <sheetFormatPr baseColWidth="10" defaultColWidth="8.83203125" defaultRowHeight="15"/>
  <cols>
    <col min="1" max="5" width="18" customWidth="1"/>
  </cols>
  <sheetData>
    <row r="1" spans="1:5" ht="30" customHeight="1">
      <c r="A1" s="31" t="s">
        <v>287</v>
      </c>
      <c r="B1" s="31"/>
      <c r="C1" s="31"/>
      <c r="D1" s="31"/>
      <c r="E1" s="31"/>
    </row>
    <row r="2" spans="1:5" ht="32" customHeight="1">
      <c r="A2" s="32" t="s">
        <v>288</v>
      </c>
      <c r="B2" s="32"/>
      <c r="C2" s="32"/>
      <c r="D2" s="32"/>
      <c r="E2" s="32"/>
    </row>
    <row r="3" spans="1:5">
      <c r="A3" s="2"/>
      <c r="B3" s="2"/>
      <c r="C3" s="2"/>
      <c r="D3" s="2"/>
      <c r="E3" s="2"/>
    </row>
    <row r="4" spans="1:5" ht="16">
      <c r="A4" s="1" t="s">
        <v>101</v>
      </c>
      <c r="B4" s="1" t="s">
        <v>289</v>
      </c>
      <c r="C4" s="1" t="s">
        <v>290</v>
      </c>
      <c r="D4" s="1" t="s">
        <v>291</v>
      </c>
      <c r="E4" s="1" t="s">
        <v>292</v>
      </c>
    </row>
    <row r="5" spans="1:5">
      <c r="A5" s="2" t="s">
        <v>8</v>
      </c>
      <c r="B5" s="24">
        <v>1</v>
      </c>
      <c r="C5" s="20">
        <v>46234</v>
      </c>
      <c r="D5" s="2" t="s">
        <v>293</v>
      </c>
      <c r="E5" s="2" t="s">
        <v>294</v>
      </c>
    </row>
    <row r="6" spans="1:5">
      <c r="A6" s="2" t="s">
        <v>183</v>
      </c>
      <c r="B6" s="24">
        <v>0.72799999999999998</v>
      </c>
      <c r="C6" s="20">
        <v>46234</v>
      </c>
      <c r="D6" s="2" t="s">
        <v>295</v>
      </c>
      <c r="E6" s="2" t="s">
        <v>294</v>
      </c>
    </row>
    <row r="7" spans="1:5">
      <c r="A7" s="2" t="s">
        <v>239</v>
      </c>
      <c r="B7" s="24">
        <v>1.1419999999999999</v>
      </c>
      <c r="C7" s="20">
        <v>46234</v>
      </c>
      <c r="D7" s="2" t="s">
        <v>295</v>
      </c>
      <c r="E7" s="2" t="s">
        <v>294</v>
      </c>
    </row>
    <row r="8" spans="1:5">
      <c r="A8" s="2" t="s">
        <v>296</v>
      </c>
      <c r="B8" s="24">
        <v>1.3340000000000001</v>
      </c>
      <c r="C8" s="20">
        <v>46234</v>
      </c>
      <c r="D8" s="2" t="s">
        <v>295</v>
      </c>
      <c r="E8" s="2" t="s">
        <v>294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6"/>
  <sheetViews>
    <sheetView showGridLines="0" workbookViewId="0"/>
  </sheetViews>
  <sheetFormatPr baseColWidth="10" defaultColWidth="8.83203125" defaultRowHeight="15"/>
  <cols>
    <col min="1" max="1" width="14" customWidth="1"/>
    <col min="2" max="2" width="29" customWidth="1"/>
    <col min="3" max="17" width="14" customWidth="1"/>
    <col min="18" max="18" width="28" customWidth="1"/>
  </cols>
  <sheetData>
    <row r="1" spans="1:18" ht="30" customHeight="1">
      <c r="A1" s="31" t="s">
        <v>297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32" customHeight="1">
      <c r="A2" s="32" t="s">
        <v>298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32">
      <c r="A4" s="1" t="s">
        <v>109</v>
      </c>
      <c r="B4" s="1" t="s">
        <v>45</v>
      </c>
      <c r="C4" s="1" t="s">
        <v>34</v>
      </c>
      <c r="D4" s="1" t="s">
        <v>299</v>
      </c>
      <c r="E4" s="1" t="s">
        <v>300</v>
      </c>
      <c r="F4" s="1" t="s">
        <v>301</v>
      </c>
      <c r="G4" s="1" t="s">
        <v>302</v>
      </c>
      <c r="H4" s="1" t="s">
        <v>303</v>
      </c>
      <c r="I4" s="1" t="s">
        <v>304</v>
      </c>
      <c r="J4" s="1" t="s">
        <v>265</v>
      </c>
      <c r="K4" s="1" t="s">
        <v>305</v>
      </c>
      <c r="L4" s="1" t="s">
        <v>306</v>
      </c>
      <c r="M4" s="1" t="s">
        <v>307</v>
      </c>
      <c r="N4" s="1" t="s">
        <v>46</v>
      </c>
      <c r="O4" s="1" t="s">
        <v>113</v>
      </c>
      <c r="P4" s="1" t="s">
        <v>35</v>
      </c>
      <c r="Q4" s="1" t="s">
        <v>308</v>
      </c>
      <c r="R4" s="1" t="s">
        <v>309</v>
      </c>
    </row>
    <row r="5" spans="1:18">
      <c r="A5" s="2" t="s">
        <v>119</v>
      </c>
      <c r="B5" s="2" t="s">
        <v>120</v>
      </c>
      <c r="C5" s="2" t="s">
        <v>38</v>
      </c>
      <c r="D5" s="21">
        <f>SUMIF('SAP DC Stock'!$L$5:$L$17,A5,'SAP DC Stock'!$N$5:$N$17)</f>
        <v>155</v>
      </c>
      <c r="E5" s="21">
        <f>SUMIF('Oracle Store Inv'!$L$5:$L$28,A5,'Oracle Store Inv'!$N$5:$N$28)</f>
        <v>24</v>
      </c>
      <c r="F5" s="21">
        <f>SUMIF('3PL Warehouse Feed'!$K$5:$K$17,A5,'3PL Warehouse Feed'!$M$5:$M$17)</f>
        <v>60</v>
      </c>
      <c r="G5" s="21">
        <f t="shared" ref="G5:G16" si="0">SUM(D5:F5)</f>
        <v>239</v>
      </c>
      <c r="H5" s="21">
        <f>SUMIF('SAP DC Stock'!$L$5:$L$17,A5,'SAP DC Stock'!$E$5:$E$17)+SUMIF('Oracle Store Inv'!$L$5:$L$28,A5,'Oracle Store Inv'!$E$5:$E$28)+SUMIF('Oracle Store Inv'!$L$5:$L$28,A5,'Oracle Store Inv'!$F$5:$F$28)+SUMIF('3PL Warehouse Feed'!$K$5:$K$17,A5,'3PL Warehouse Feed'!$D$5:$D$17)+SUMIF('3PL Warehouse Feed'!$K$5:$K$17,A5,'3PL Warehouse Feed'!$E$5:$E$17)</f>
        <v>27</v>
      </c>
      <c r="I5" s="21">
        <f t="shared" ref="I5:I16" si="1">MAX(0,G5-H5)</f>
        <v>212</v>
      </c>
      <c r="J5" s="21">
        <f>SUMIF('In-Transit'!$J$5:$J$12,A5,'In-Transit'!$K$5:$K$12)</f>
        <v>0</v>
      </c>
      <c r="K5" s="21">
        <f>SUMIF('Open POs'!$L$5:$L$14,A5,'Open POs'!$M$5:$M$14)</f>
        <v>80</v>
      </c>
      <c r="L5" s="21">
        <f>SUMIF('Sales History'!$G$5:$G$148,A5,'Sales History'!$H$5:$H$148)</f>
        <v>364</v>
      </c>
      <c r="M5" s="21">
        <f t="shared" ref="M5:M16" si="2">L5/12</f>
        <v>30.333333333333332</v>
      </c>
      <c r="N5" s="25">
        <f t="shared" ref="N5:N16" si="3">IF(M5=0,0,I5/M5)</f>
        <v>6.9890109890109891</v>
      </c>
      <c r="O5" s="22">
        <f>VLOOKUP(A5,'Item Master'!$A$5:$K$16,6,FALSE)</f>
        <v>429</v>
      </c>
      <c r="P5" s="22">
        <f t="shared" ref="P5:P16" si="4">G5*O5</f>
        <v>102531</v>
      </c>
      <c r="Q5" s="21" t="str">
        <f>VLOOKUP(A5,'Item Master'!$A$5:$K$16,11,FALSE)</f>
        <v>Active</v>
      </c>
      <c r="R5" s="21" t="str">
        <f t="shared" ref="R5:R16" si="5">IF(A5="NX-1001","Possible duplicate SAP row",IF(A5="LT-3300","Missing Oracle cost on one row",IF(N5&gt;6,"Excess cover",IF(N5&lt;1,"Stockout risk","Review OK"))))</f>
        <v>Possible duplicate SAP row</v>
      </c>
    </row>
    <row r="6" spans="1:18">
      <c r="A6" s="2" t="s">
        <v>125</v>
      </c>
      <c r="B6" s="2" t="s">
        <v>126</v>
      </c>
      <c r="C6" s="2" t="s">
        <v>38</v>
      </c>
      <c r="D6" s="21">
        <f>SUMIF('SAP DC Stock'!$L$5:$L$17,A6,'SAP DC Stock'!$N$5:$N$17)</f>
        <v>72</v>
      </c>
      <c r="E6" s="21">
        <f>SUMIF('Oracle Store Inv'!$L$5:$L$28,A6,'Oracle Store Inv'!$N$5:$N$28)</f>
        <v>46</v>
      </c>
      <c r="F6" s="21">
        <f>SUMIF('3PL Warehouse Feed'!$K$5:$K$17,A6,'3PL Warehouse Feed'!$M$5:$M$17)</f>
        <v>89</v>
      </c>
      <c r="G6" s="21">
        <f t="shared" si="0"/>
        <v>207</v>
      </c>
      <c r="H6" s="21">
        <f>SUMIF('SAP DC Stock'!$L$5:$L$17,A6,'SAP DC Stock'!$E$5:$E$17)+SUMIF('Oracle Store Inv'!$L$5:$L$28,A6,'Oracle Store Inv'!$E$5:$E$28)+SUMIF('Oracle Store Inv'!$L$5:$L$28,A6,'Oracle Store Inv'!$F$5:$F$28)+SUMIF('3PL Warehouse Feed'!$K$5:$K$17,A6,'3PL Warehouse Feed'!$D$5:$D$17)+SUMIF('3PL Warehouse Feed'!$K$5:$K$17,A6,'3PL Warehouse Feed'!$E$5:$E$17)</f>
        <v>0</v>
      </c>
      <c r="I6" s="21">
        <f t="shared" si="1"/>
        <v>207</v>
      </c>
      <c r="J6" s="21">
        <f>SUMIF('In-Transit'!$J$5:$J$12,A6,'In-Transit'!$K$5:$K$12)</f>
        <v>0</v>
      </c>
      <c r="K6" s="21">
        <f>SUMIF('Open POs'!$L$5:$L$14,A6,'Open POs'!$M$5:$M$14)</f>
        <v>97</v>
      </c>
      <c r="L6" s="21">
        <f>SUMIF('Sales History'!$G$5:$G$148,A6,'Sales History'!$H$5:$H$148)</f>
        <v>574</v>
      </c>
      <c r="M6" s="21">
        <f t="shared" si="2"/>
        <v>47.833333333333336</v>
      </c>
      <c r="N6" s="25">
        <f t="shared" si="3"/>
        <v>4.3275261324041807</v>
      </c>
      <c r="O6" s="22">
        <f>VLOOKUP(A6,'Item Master'!$A$5:$K$16,6,FALSE)</f>
        <v>489</v>
      </c>
      <c r="P6" s="22">
        <f t="shared" si="4"/>
        <v>101223</v>
      </c>
      <c r="Q6" s="21" t="str">
        <f>VLOOKUP(A6,'Item Master'!$A$5:$K$16,11,FALSE)</f>
        <v>Active</v>
      </c>
      <c r="R6" s="21" t="str">
        <f t="shared" si="5"/>
        <v>Review OK</v>
      </c>
    </row>
    <row r="7" spans="1:18">
      <c r="A7" s="2" t="s">
        <v>128</v>
      </c>
      <c r="B7" s="2" t="s">
        <v>129</v>
      </c>
      <c r="C7" s="2" t="s">
        <v>39</v>
      </c>
      <c r="D7" s="21">
        <f>SUMIF('SAP DC Stock'!$L$5:$L$17,A7,'SAP DC Stock'!$N$5:$N$17)</f>
        <v>109</v>
      </c>
      <c r="E7" s="21">
        <f>SUMIF('Oracle Store Inv'!$L$5:$L$28,A7,'Oracle Store Inv'!$N$5:$N$28)</f>
        <v>68</v>
      </c>
      <c r="F7" s="21">
        <f>SUMIF('3PL Warehouse Feed'!$K$5:$K$17,A7,'3PL Warehouse Feed'!$M$5:$M$17)</f>
        <v>118</v>
      </c>
      <c r="G7" s="21">
        <f t="shared" si="0"/>
        <v>295</v>
      </c>
      <c r="H7" s="21">
        <f>SUMIF('SAP DC Stock'!$L$5:$L$17,A7,'SAP DC Stock'!$E$5:$E$17)+SUMIF('Oracle Store Inv'!$L$5:$L$28,A7,'Oracle Store Inv'!$E$5:$E$28)+SUMIF('Oracle Store Inv'!$L$5:$L$28,A7,'Oracle Store Inv'!$F$5:$F$28)+SUMIF('3PL Warehouse Feed'!$K$5:$K$17,A7,'3PL Warehouse Feed'!$D$5:$D$17)+SUMIF('3PL Warehouse Feed'!$K$5:$K$17,A7,'3PL Warehouse Feed'!$E$5:$E$17)</f>
        <v>2</v>
      </c>
      <c r="I7" s="21">
        <f t="shared" si="1"/>
        <v>293</v>
      </c>
      <c r="J7" s="21">
        <f>SUMIF('In-Transit'!$J$5:$J$12,A7,'In-Transit'!$K$5:$K$12)</f>
        <v>25</v>
      </c>
      <c r="K7" s="21">
        <f>SUMIF('Open POs'!$L$5:$L$14,A7,'Open POs'!$M$5:$M$14)</f>
        <v>114</v>
      </c>
      <c r="L7" s="21">
        <f>SUMIF('Sales History'!$G$5:$G$148,A7,'Sales History'!$H$5:$H$148)</f>
        <v>756</v>
      </c>
      <c r="M7" s="21">
        <f t="shared" si="2"/>
        <v>63</v>
      </c>
      <c r="N7" s="25">
        <f t="shared" si="3"/>
        <v>4.6507936507936511</v>
      </c>
      <c r="O7" s="22">
        <f>VLOOKUP(A7,'Item Master'!$A$5:$K$16,6,FALSE)</f>
        <v>310</v>
      </c>
      <c r="P7" s="22">
        <f t="shared" si="4"/>
        <v>91450</v>
      </c>
      <c r="Q7" s="21" t="str">
        <f>VLOOKUP(A7,'Item Master'!$A$5:$K$16,11,FALSE)</f>
        <v>Active</v>
      </c>
      <c r="R7" s="21" t="str">
        <f t="shared" si="5"/>
        <v>Review OK</v>
      </c>
    </row>
    <row r="8" spans="1:18">
      <c r="A8" s="2" t="s">
        <v>131</v>
      </c>
      <c r="B8" s="2" t="s">
        <v>132</v>
      </c>
      <c r="C8" s="2" t="s">
        <v>39</v>
      </c>
      <c r="D8" s="21">
        <f>SUMIF('SAP DC Stock'!$L$5:$L$17,A8,'SAP DC Stock'!$N$5:$N$17)</f>
        <v>146</v>
      </c>
      <c r="E8" s="21">
        <f>SUMIF('Oracle Store Inv'!$L$5:$L$28,A8,'Oracle Store Inv'!$N$5:$N$28)</f>
        <v>90</v>
      </c>
      <c r="F8" s="21">
        <f>SUMIF('3PL Warehouse Feed'!$K$5:$K$17,A8,'3PL Warehouse Feed'!$M$5:$M$17)</f>
        <v>147</v>
      </c>
      <c r="G8" s="21">
        <f t="shared" si="0"/>
        <v>383</v>
      </c>
      <c r="H8" s="21">
        <f>SUMIF('SAP DC Stock'!$L$5:$L$17,A8,'SAP DC Stock'!$E$5:$E$17)+SUMIF('Oracle Store Inv'!$L$5:$L$28,A8,'Oracle Store Inv'!$E$5:$E$28)+SUMIF('Oracle Store Inv'!$L$5:$L$28,A8,'Oracle Store Inv'!$F$5:$F$28)+SUMIF('3PL Warehouse Feed'!$K$5:$K$17,A8,'3PL Warehouse Feed'!$D$5:$D$17)+SUMIF('3PL Warehouse Feed'!$K$5:$K$17,A8,'3PL Warehouse Feed'!$E$5:$E$17)</f>
        <v>0</v>
      </c>
      <c r="I8" s="21">
        <f t="shared" si="1"/>
        <v>383</v>
      </c>
      <c r="J8" s="21">
        <f>SUMIF('In-Transit'!$J$5:$J$12,A8,'In-Transit'!$K$5:$K$12)</f>
        <v>34</v>
      </c>
      <c r="K8" s="21">
        <f>SUMIF('Open POs'!$L$5:$L$14,A8,'Open POs'!$M$5:$M$14)</f>
        <v>131</v>
      </c>
      <c r="L8" s="21">
        <f>SUMIF('Sales History'!$G$5:$G$148,A8,'Sales History'!$H$5:$H$148)</f>
        <v>937</v>
      </c>
      <c r="M8" s="21">
        <f t="shared" si="2"/>
        <v>78.083333333333329</v>
      </c>
      <c r="N8" s="25">
        <f t="shared" si="3"/>
        <v>4.9050160085378876</v>
      </c>
      <c r="O8" s="22">
        <f>VLOOKUP(A8,'Item Master'!$A$5:$K$16,6,FALSE)</f>
        <v>735</v>
      </c>
      <c r="P8" s="22">
        <f t="shared" si="4"/>
        <v>281505</v>
      </c>
      <c r="Q8" s="21" t="str">
        <f>VLOOKUP(A8,'Item Master'!$A$5:$K$16,11,FALSE)</f>
        <v>Active</v>
      </c>
      <c r="R8" s="21" t="str">
        <f t="shared" si="5"/>
        <v>Missing Oracle cost on one row</v>
      </c>
    </row>
    <row r="9" spans="1:18">
      <c r="A9" s="2" t="s">
        <v>134</v>
      </c>
      <c r="B9" s="2" t="s">
        <v>135</v>
      </c>
      <c r="C9" s="2" t="s">
        <v>40</v>
      </c>
      <c r="D9" s="21">
        <f>SUMIF('SAP DC Stock'!$L$5:$L$17,A9,'SAP DC Stock'!$N$5:$N$17)</f>
        <v>183</v>
      </c>
      <c r="E9" s="21">
        <f>SUMIF('Oracle Store Inv'!$L$5:$L$28,A9,'Oracle Store Inv'!$N$5:$N$28)</f>
        <v>54</v>
      </c>
      <c r="F9" s="21">
        <f>SUMIF('3PL Warehouse Feed'!$K$5:$K$17,A9,'3PL Warehouse Feed'!$M$5:$M$17)</f>
        <v>176</v>
      </c>
      <c r="G9" s="21">
        <f t="shared" si="0"/>
        <v>413</v>
      </c>
      <c r="H9" s="21">
        <f>SUMIF('SAP DC Stock'!$L$5:$L$17,A9,'SAP DC Stock'!$E$5:$E$17)+SUMIF('Oracle Store Inv'!$L$5:$L$28,A9,'Oracle Store Inv'!$E$5:$E$28)+SUMIF('Oracle Store Inv'!$L$5:$L$28,A9,'Oracle Store Inv'!$F$5:$F$28)+SUMIF('3PL Warehouse Feed'!$K$5:$K$17,A9,'3PL Warehouse Feed'!$D$5:$D$17)+SUMIF('3PL Warehouse Feed'!$K$5:$K$17,A9,'3PL Warehouse Feed'!$E$5:$E$17)</f>
        <v>12</v>
      </c>
      <c r="I9" s="21">
        <f t="shared" si="1"/>
        <v>401</v>
      </c>
      <c r="J9" s="21">
        <f>SUMIF('In-Transit'!$J$5:$J$12,A9,'In-Transit'!$K$5:$K$12)</f>
        <v>43</v>
      </c>
      <c r="K9" s="21">
        <f>SUMIF('Open POs'!$L$5:$L$14,A9,'Open POs'!$M$5:$M$14)</f>
        <v>148</v>
      </c>
      <c r="L9" s="21">
        <f>SUMIF('Sales History'!$G$5:$G$148,A9,'Sales History'!$H$5:$H$148)</f>
        <v>1120</v>
      </c>
      <c r="M9" s="21">
        <f t="shared" si="2"/>
        <v>93.333333333333329</v>
      </c>
      <c r="N9" s="25">
        <f t="shared" si="3"/>
        <v>4.2964285714285717</v>
      </c>
      <c r="O9" s="22">
        <f>VLOOKUP(A9,'Item Master'!$A$5:$K$16,6,FALSE)</f>
        <v>86</v>
      </c>
      <c r="P9" s="22">
        <f t="shared" si="4"/>
        <v>35518</v>
      </c>
      <c r="Q9" s="21" t="str">
        <f>VLOOKUP(A9,'Item Master'!$A$5:$K$16,11,FALSE)</f>
        <v>Active</v>
      </c>
      <c r="R9" s="21" t="str">
        <f t="shared" si="5"/>
        <v>Review OK</v>
      </c>
    </row>
    <row r="10" spans="1:18">
      <c r="A10" s="2" t="s">
        <v>137</v>
      </c>
      <c r="B10" s="2" t="s">
        <v>138</v>
      </c>
      <c r="C10" s="2" t="s">
        <v>40</v>
      </c>
      <c r="D10" s="21">
        <f>SUMIF('SAP DC Stock'!$L$5:$L$17,A10,'SAP DC Stock'!$N$5:$N$17)</f>
        <v>220</v>
      </c>
      <c r="E10" s="21">
        <f>SUMIF('Oracle Store Inv'!$L$5:$L$28,A10,'Oracle Store Inv'!$N$5:$N$28)</f>
        <v>76</v>
      </c>
      <c r="F10" s="21">
        <f>SUMIF('3PL Warehouse Feed'!$K$5:$K$17,A10,'3PL Warehouse Feed'!$M$5:$M$17)</f>
        <v>205</v>
      </c>
      <c r="G10" s="21">
        <f t="shared" si="0"/>
        <v>501</v>
      </c>
      <c r="H10" s="21">
        <f>SUMIF('SAP DC Stock'!$L$5:$L$17,A10,'SAP DC Stock'!$E$5:$E$17)+SUMIF('Oracle Store Inv'!$L$5:$L$28,A10,'Oracle Store Inv'!$E$5:$E$28)+SUMIF('Oracle Store Inv'!$L$5:$L$28,A10,'Oracle Store Inv'!$F$5:$F$28)+SUMIF('3PL Warehouse Feed'!$K$5:$K$17,A10,'3PL Warehouse Feed'!$D$5:$D$17)+SUMIF('3PL Warehouse Feed'!$K$5:$K$17,A10,'3PL Warehouse Feed'!$E$5:$E$17)</f>
        <v>13</v>
      </c>
      <c r="I10" s="21">
        <f t="shared" si="1"/>
        <v>488</v>
      </c>
      <c r="J10" s="21">
        <f>SUMIF('In-Transit'!$J$5:$J$12,A10,'In-Transit'!$K$5:$K$12)</f>
        <v>52</v>
      </c>
      <c r="K10" s="21">
        <f>SUMIF('Open POs'!$L$5:$L$14,A10,'Open POs'!$M$5:$M$14)</f>
        <v>165</v>
      </c>
      <c r="L10" s="21">
        <f>SUMIF('Sales History'!$G$5:$G$148,A10,'Sales History'!$H$5:$H$148)</f>
        <v>1302</v>
      </c>
      <c r="M10" s="21">
        <f t="shared" si="2"/>
        <v>108.5</v>
      </c>
      <c r="N10" s="25">
        <f t="shared" si="3"/>
        <v>4.4976958525345623</v>
      </c>
      <c r="O10" s="22">
        <f>VLOOKUP(A10,'Item Master'!$A$5:$K$16,6,FALSE)</f>
        <v>44</v>
      </c>
      <c r="P10" s="22">
        <f t="shared" si="4"/>
        <v>22044</v>
      </c>
      <c r="Q10" s="21" t="str">
        <f>VLOOKUP(A10,'Item Master'!$A$5:$K$16,11,FALSE)</f>
        <v>Active</v>
      </c>
      <c r="R10" s="21" t="str">
        <f t="shared" si="5"/>
        <v>Review OK</v>
      </c>
    </row>
    <row r="11" spans="1:18">
      <c r="A11" s="2" t="s">
        <v>140</v>
      </c>
      <c r="B11" s="2" t="s">
        <v>141</v>
      </c>
      <c r="C11" s="2" t="s">
        <v>41</v>
      </c>
      <c r="D11" s="21">
        <f>SUMIF('SAP DC Stock'!$L$5:$L$17,A11,'SAP DC Stock'!$N$5:$N$17)</f>
        <v>257</v>
      </c>
      <c r="E11" s="21">
        <f>SUMIF('Oracle Store Inv'!$L$5:$L$28,A11,'Oracle Store Inv'!$N$5:$N$28)</f>
        <v>40</v>
      </c>
      <c r="F11" s="21">
        <f>SUMIF('3PL Warehouse Feed'!$K$5:$K$17,A11,'3PL Warehouse Feed'!$M$5:$M$17)</f>
        <v>234</v>
      </c>
      <c r="G11" s="21">
        <f t="shared" si="0"/>
        <v>531</v>
      </c>
      <c r="H11" s="21">
        <f>SUMIF('SAP DC Stock'!$L$5:$L$17,A11,'SAP DC Stock'!$E$5:$E$17)+SUMIF('Oracle Store Inv'!$L$5:$L$28,A11,'Oracle Store Inv'!$E$5:$E$28)+SUMIF('Oracle Store Inv'!$L$5:$L$28,A11,'Oracle Store Inv'!$F$5:$F$28)+SUMIF('3PL Warehouse Feed'!$K$5:$K$17,A11,'3PL Warehouse Feed'!$D$5:$D$17)+SUMIF('3PL Warehouse Feed'!$K$5:$K$17,A11,'3PL Warehouse Feed'!$E$5:$E$17)</f>
        <v>5</v>
      </c>
      <c r="I11" s="21">
        <f t="shared" si="1"/>
        <v>526</v>
      </c>
      <c r="J11" s="21">
        <f>SUMIF('In-Transit'!$J$5:$J$12,A11,'In-Transit'!$K$5:$K$12)</f>
        <v>61</v>
      </c>
      <c r="K11" s="21">
        <f>SUMIF('Open POs'!$L$5:$L$14,A11,'Open POs'!$M$5:$M$14)</f>
        <v>182</v>
      </c>
      <c r="L11" s="21">
        <f>SUMIF('Sales History'!$G$5:$G$148,A11,'Sales History'!$H$5:$H$148)</f>
        <v>1483</v>
      </c>
      <c r="M11" s="21">
        <f t="shared" si="2"/>
        <v>123.58333333333333</v>
      </c>
      <c r="N11" s="25">
        <f t="shared" si="3"/>
        <v>4.2562373567093728</v>
      </c>
      <c r="O11" s="22">
        <f>VLOOKUP(A11,'Item Master'!$A$5:$K$16,6,FALSE)</f>
        <v>57</v>
      </c>
      <c r="P11" s="22">
        <f t="shared" si="4"/>
        <v>30267</v>
      </c>
      <c r="Q11" s="21" t="str">
        <f>VLOOKUP(A11,'Item Master'!$A$5:$K$16,11,FALSE)</f>
        <v>Phase Out</v>
      </c>
      <c r="R11" s="21" t="str">
        <f t="shared" si="5"/>
        <v>Review OK</v>
      </c>
    </row>
    <row r="12" spans="1:18">
      <c r="A12" s="2" t="s">
        <v>145</v>
      </c>
      <c r="B12" s="2" t="s">
        <v>146</v>
      </c>
      <c r="C12" s="2" t="s">
        <v>41</v>
      </c>
      <c r="D12" s="21">
        <f>SUMIF('SAP DC Stock'!$L$5:$L$17,A12,'SAP DC Stock'!$N$5:$N$17)</f>
        <v>294</v>
      </c>
      <c r="E12" s="21">
        <f>SUMIF('Oracle Store Inv'!$L$5:$L$28,A12,'Oracle Store Inv'!$N$5:$N$28)</f>
        <v>62</v>
      </c>
      <c r="F12" s="21">
        <f>SUMIF('3PL Warehouse Feed'!$K$5:$K$17,A12,'3PL Warehouse Feed'!$M$5:$M$17)</f>
        <v>263</v>
      </c>
      <c r="G12" s="21">
        <f t="shared" si="0"/>
        <v>619</v>
      </c>
      <c r="H12" s="21">
        <f>SUMIF('SAP DC Stock'!$L$5:$L$17,A12,'SAP DC Stock'!$E$5:$E$17)+SUMIF('Oracle Store Inv'!$L$5:$L$28,A12,'Oracle Store Inv'!$E$5:$E$28)+SUMIF('Oracle Store Inv'!$L$5:$L$28,A12,'Oracle Store Inv'!$F$5:$F$28)+SUMIF('3PL Warehouse Feed'!$K$5:$K$17,A12,'3PL Warehouse Feed'!$D$5:$D$17)+SUMIF('3PL Warehouse Feed'!$K$5:$K$17,A12,'3PL Warehouse Feed'!$E$5:$E$17)</f>
        <v>2</v>
      </c>
      <c r="I12" s="21">
        <f t="shared" si="1"/>
        <v>617</v>
      </c>
      <c r="J12" s="21">
        <f>SUMIF('In-Transit'!$J$5:$J$12,A12,'In-Transit'!$K$5:$K$12)</f>
        <v>70</v>
      </c>
      <c r="K12" s="21">
        <f>SUMIF('Open POs'!$L$5:$L$14,A12,'Open POs'!$M$5:$M$14)</f>
        <v>199</v>
      </c>
      <c r="L12" s="21">
        <f>SUMIF('Sales History'!$G$5:$G$148,A12,'Sales History'!$H$5:$H$148)</f>
        <v>1665</v>
      </c>
      <c r="M12" s="21">
        <f t="shared" si="2"/>
        <v>138.75</v>
      </c>
      <c r="N12" s="25">
        <f t="shared" si="3"/>
        <v>4.4468468468468467</v>
      </c>
      <c r="O12" s="22">
        <f>VLOOKUP(A12,'Item Master'!$A$5:$K$16,6,FALSE)</f>
        <v>71</v>
      </c>
      <c r="P12" s="22">
        <f t="shared" si="4"/>
        <v>43949</v>
      </c>
      <c r="Q12" s="21" t="str">
        <f>VLOOKUP(A12,'Item Master'!$A$5:$K$16,11,FALSE)</f>
        <v>Active</v>
      </c>
      <c r="R12" s="21" t="str">
        <f t="shared" si="5"/>
        <v>Review OK</v>
      </c>
    </row>
    <row r="13" spans="1:18">
      <c r="A13" s="2" t="s">
        <v>148</v>
      </c>
      <c r="B13" s="2" t="s">
        <v>149</v>
      </c>
      <c r="C13" s="2" t="s">
        <v>42</v>
      </c>
      <c r="D13" s="21">
        <f>SUMIF('SAP DC Stock'!$L$5:$L$17,A13,'SAP DC Stock'!$N$5:$N$17)</f>
        <v>3972</v>
      </c>
      <c r="E13" s="21">
        <f>SUMIF('Oracle Store Inv'!$L$5:$L$28,A13,'Oracle Store Inv'!$N$5:$N$28)</f>
        <v>84</v>
      </c>
      <c r="F13" s="21">
        <f>SUMIF('3PL Warehouse Feed'!$K$5:$K$17,A13,'3PL Warehouse Feed'!$M$5:$M$17)</f>
        <v>192</v>
      </c>
      <c r="G13" s="21">
        <f t="shared" si="0"/>
        <v>4248</v>
      </c>
      <c r="H13" s="21">
        <f>SUMIF('SAP DC Stock'!$L$5:$L$17,A13,'SAP DC Stock'!$E$5:$E$17)+SUMIF('Oracle Store Inv'!$L$5:$L$28,A13,'Oracle Store Inv'!$E$5:$E$28)+SUMIF('Oracle Store Inv'!$L$5:$L$28,A13,'Oracle Store Inv'!$F$5:$F$28)+SUMIF('3PL Warehouse Feed'!$K$5:$K$17,A13,'3PL Warehouse Feed'!$D$5:$D$17)+SUMIF('3PL Warehouse Feed'!$K$5:$K$17,A13,'3PL Warehouse Feed'!$E$5:$E$17)</f>
        <v>12</v>
      </c>
      <c r="I13" s="21">
        <f t="shared" si="1"/>
        <v>4236</v>
      </c>
      <c r="J13" s="21">
        <f>SUMIF('In-Transit'!$J$5:$J$12,A13,'In-Transit'!$K$5:$K$12)</f>
        <v>79</v>
      </c>
      <c r="K13" s="21">
        <f>SUMIF('Open POs'!$L$5:$L$14,A13,'Open POs'!$M$5:$M$14)</f>
        <v>216</v>
      </c>
      <c r="L13" s="21">
        <f>SUMIF('Sales History'!$G$5:$G$148,A13,'Sales History'!$H$5:$H$148)</f>
        <v>518</v>
      </c>
      <c r="M13" s="21">
        <f t="shared" si="2"/>
        <v>43.166666666666664</v>
      </c>
      <c r="N13" s="25">
        <f t="shared" si="3"/>
        <v>98.131274131274139</v>
      </c>
      <c r="O13" s="22">
        <f>VLOOKUP(A13,'Item Master'!$A$5:$K$16,6,FALSE)</f>
        <v>14</v>
      </c>
      <c r="P13" s="22">
        <f t="shared" si="4"/>
        <v>59472</v>
      </c>
      <c r="Q13" s="21" t="str">
        <f>VLOOKUP(A13,'Item Master'!$A$5:$K$16,11,FALSE)</f>
        <v>Active</v>
      </c>
      <c r="R13" s="21" t="str">
        <f t="shared" si="5"/>
        <v>Excess cover</v>
      </c>
    </row>
    <row r="14" spans="1:18">
      <c r="A14" s="2" t="s">
        <v>152</v>
      </c>
      <c r="B14" s="2" t="s">
        <v>153</v>
      </c>
      <c r="C14" s="2" t="s">
        <v>42</v>
      </c>
      <c r="D14" s="21">
        <f>SUMIF('SAP DC Stock'!$L$5:$L$17,A14,'SAP DC Stock'!$N$5:$N$17)</f>
        <v>8832</v>
      </c>
      <c r="E14" s="21">
        <f>SUMIF('Oracle Store Inv'!$L$5:$L$28,A14,'Oracle Store Inv'!$N$5:$N$28)</f>
        <v>106</v>
      </c>
      <c r="F14" s="21">
        <f>SUMIF('3PL Warehouse Feed'!$K$5:$K$17,A14,'3PL Warehouse Feed'!$M$5:$M$17)</f>
        <v>408</v>
      </c>
      <c r="G14" s="21">
        <f t="shared" si="0"/>
        <v>9346</v>
      </c>
      <c r="H14" s="21">
        <f>SUMIF('SAP DC Stock'!$L$5:$L$17,A14,'SAP DC Stock'!$E$5:$E$17)+SUMIF('Oracle Store Inv'!$L$5:$L$28,A14,'Oracle Store Inv'!$E$5:$E$28)+SUMIF('Oracle Store Inv'!$L$5:$L$28,A14,'Oracle Store Inv'!$F$5:$F$28)+SUMIF('3PL Warehouse Feed'!$K$5:$K$17,A14,'3PL Warehouse Feed'!$D$5:$D$17)+SUMIF('3PL Warehouse Feed'!$K$5:$K$17,A14,'3PL Warehouse Feed'!$E$5:$E$17)</f>
        <v>3</v>
      </c>
      <c r="I14" s="21">
        <f t="shared" si="1"/>
        <v>9343</v>
      </c>
      <c r="J14" s="21">
        <f>SUMIF('In-Transit'!$J$5:$J$12,A14,'In-Transit'!$K$5:$K$12)</f>
        <v>88</v>
      </c>
      <c r="K14" s="21">
        <f>SUMIF('Open POs'!$L$5:$L$14,A14,'Open POs'!$M$5:$M$14)</f>
        <v>456</v>
      </c>
      <c r="L14" s="21">
        <f>SUMIF('Sales History'!$G$5:$G$148,A14,'Sales History'!$H$5:$H$148)</f>
        <v>700</v>
      </c>
      <c r="M14" s="21">
        <f t="shared" si="2"/>
        <v>58.333333333333336</v>
      </c>
      <c r="N14" s="25">
        <f t="shared" si="3"/>
        <v>160.16571428571427</v>
      </c>
      <c r="O14" s="22">
        <f>VLOOKUP(A14,'Item Master'!$A$5:$K$16,6,FALSE)</f>
        <v>4.2</v>
      </c>
      <c r="P14" s="22">
        <f t="shared" si="4"/>
        <v>39253.200000000004</v>
      </c>
      <c r="Q14" s="21" t="str">
        <f>VLOOKUP(A14,'Item Master'!$A$5:$K$16,11,FALSE)</f>
        <v>End of Life</v>
      </c>
      <c r="R14" s="21" t="str">
        <f t="shared" si="5"/>
        <v>Excess cover</v>
      </c>
    </row>
    <row r="15" spans="1:18">
      <c r="A15" s="2" t="s">
        <v>156</v>
      </c>
      <c r="B15" s="2" t="s">
        <v>157</v>
      </c>
      <c r="C15" s="2" t="s">
        <v>43</v>
      </c>
      <c r="D15" s="21">
        <f>SUMIF('SAP DC Stock'!$L$5:$L$17,A15,'SAP DC Stock'!$N$5:$N$17)</f>
        <v>405</v>
      </c>
      <c r="E15" s="21">
        <f>SUMIF('Oracle Store Inv'!$L$5:$L$28,A15,'Oracle Store Inv'!$N$5:$N$28)</f>
        <v>70</v>
      </c>
      <c r="F15" s="21">
        <f>SUMIF('3PL Warehouse Feed'!$K$5:$K$17,A15,'3PL Warehouse Feed'!$M$5:$M$17)</f>
        <v>110</v>
      </c>
      <c r="G15" s="21">
        <f t="shared" si="0"/>
        <v>585</v>
      </c>
      <c r="H15" s="21">
        <f>SUMIF('SAP DC Stock'!$L$5:$L$17,A15,'SAP DC Stock'!$E$5:$E$17)+SUMIF('Oracle Store Inv'!$L$5:$L$28,A15,'Oracle Store Inv'!$E$5:$E$28)+SUMIF('Oracle Store Inv'!$L$5:$L$28,A15,'Oracle Store Inv'!$F$5:$F$28)+SUMIF('3PL Warehouse Feed'!$K$5:$K$17,A15,'3PL Warehouse Feed'!$D$5:$D$17)+SUMIF('3PL Warehouse Feed'!$K$5:$K$17,A15,'3PL Warehouse Feed'!$E$5:$E$17)</f>
        <v>18</v>
      </c>
      <c r="I15" s="21">
        <f t="shared" si="1"/>
        <v>567</v>
      </c>
      <c r="J15" s="21">
        <f>SUMIF('In-Transit'!$J$5:$J$12,A15,'In-Transit'!$K$5:$K$12)</f>
        <v>0</v>
      </c>
      <c r="K15" s="21">
        <f>SUMIF('Open POs'!$L$5:$L$14,A15,'Open POs'!$M$5:$M$14)</f>
        <v>0</v>
      </c>
      <c r="L15" s="21">
        <f>SUMIF('Sales History'!$G$5:$G$148,A15,'Sales History'!$H$5:$H$148)</f>
        <v>884</v>
      </c>
      <c r="M15" s="21">
        <f t="shared" si="2"/>
        <v>73.666666666666671</v>
      </c>
      <c r="N15" s="25">
        <f t="shared" si="3"/>
        <v>7.6968325791855197</v>
      </c>
      <c r="O15" s="22">
        <f>VLOOKUP(A15,'Item Master'!$A$5:$K$16,6,FALSE)</f>
        <v>63</v>
      </c>
      <c r="P15" s="22">
        <f t="shared" si="4"/>
        <v>36855</v>
      </c>
      <c r="Q15" s="21" t="str">
        <f>VLOOKUP(A15,'Item Master'!$A$5:$K$16,11,FALSE)</f>
        <v>Active</v>
      </c>
      <c r="R15" s="21" t="str">
        <f t="shared" si="5"/>
        <v>Excess cover</v>
      </c>
    </row>
    <row r="16" spans="1:18">
      <c r="A16" s="2" t="s">
        <v>159</v>
      </c>
      <c r="B16" s="2" t="s">
        <v>160</v>
      </c>
      <c r="C16" s="2" t="s">
        <v>43</v>
      </c>
      <c r="D16" s="21">
        <f>SUMIF('SAP DC Stock'!$L$5:$L$17,A16,'SAP DC Stock'!$N$5:$N$17)</f>
        <v>442</v>
      </c>
      <c r="E16" s="21">
        <f>SUMIF('Oracle Store Inv'!$L$5:$L$28,A16,'Oracle Store Inv'!$N$5:$N$28)</f>
        <v>34</v>
      </c>
      <c r="F16" s="21">
        <f>SUMIF('3PL Warehouse Feed'!$K$5:$K$17,A16,'3PL Warehouse Feed'!$M$5:$M$17)</f>
        <v>139</v>
      </c>
      <c r="G16" s="21">
        <f t="shared" si="0"/>
        <v>615</v>
      </c>
      <c r="H16" s="21">
        <f>SUMIF('SAP DC Stock'!$L$5:$L$17,A16,'SAP DC Stock'!$E$5:$E$17)+SUMIF('Oracle Store Inv'!$L$5:$L$28,A16,'Oracle Store Inv'!$E$5:$E$28)+SUMIF('Oracle Store Inv'!$L$5:$L$28,A16,'Oracle Store Inv'!$F$5:$F$28)+SUMIF('3PL Warehouse Feed'!$K$5:$K$17,A16,'3PL Warehouse Feed'!$D$5:$D$17)+SUMIF('3PL Warehouse Feed'!$K$5:$K$17,A16,'3PL Warehouse Feed'!$E$5:$E$17)</f>
        <v>0</v>
      </c>
      <c r="I16" s="21">
        <f t="shared" si="1"/>
        <v>615</v>
      </c>
      <c r="J16" s="21">
        <f>SUMIF('In-Transit'!$J$5:$J$12,A16,'In-Transit'!$K$5:$K$12)</f>
        <v>0</v>
      </c>
      <c r="K16" s="21">
        <f>SUMIF('Open POs'!$L$5:$L$14,A16,'Open POs'!$M$5:$M$14)</f>
        <v>0</v>
      </c>
      <c r="L16" s="21">
        <f>SUMIF('Sales History'!$G$5:$G$148,A16,'Sales History'!$H$5:$H$148)</f>
        <v>977</v>
      </c>
      <c r="M16" s="21">
        <f t="shared" si="2"/>
        <v>81.416666666666671</v>
      </c>
      <c r="N16" s="25">
        <f t="shared" si="3"/>
        <v>7.5537359263050146</v>
      </c>
      <c r="O16" s="22">
        <f>VLOOKUP(A16,'Item Master'!$A$5:$K$16,6,FALSE)</f>
        <v>31</v>
      </c>
      <c r="P16" s="22">
        <f t="shared" si="4"/>
        <v>19065</v>
      </c>
      <c r="Q16" s="21" t="str">
        <f>VLOOKUP(A16,'Item Master'!$A$5:$K$16,11,FALSE)</f>
        <v>Active</v>
      </c>
      <c r="R16" s="21" t="str">
        <f t="shared" si="5"/>
        <v>Excess cover</v>
      </c>
    </row>
  </sheetData>
  <mergeCells count="2">
    <mergeCell ref="A1:R1"/>
    <mergeCell ref="A2:R2"/>
  </mergeCells>
  <conditionalFormatting sqref="N5:N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8"/>
  <sheetViews>
    <sheetView showGridLines="0" workbookViewId="0"/>
  </sheetViews>
  <sheetFormatPr baseColWidth="10" defaultColWidth="8.83203125" defaultRowHeight="15"/>
  <cols>
    <col min="1" max="1" width="17" customWidth="1"/>
    <col min="2" max="2" width="30" customWidth="1"/>
    <col min="3" max="10" width="17" customWidth="1"/>
  </cols>
  <sheetData>
    <row r="1" spans="1:10" ht="30" customHeight="1">
      <c r="A1" s="31" t="s">
        <v>310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32" customHeight="1">
      <c r="A2" s="32" t="s">
        <v>311</v>
      </c>
      <c r="B2" s="32"/>
      <c r="C2" s="32"/>
      <c r="D2" s="32"/>
      <c r="E2" s="32"/>
      <c r="F2" s="32"/>
      <c r="G2" s="32"/>
      <c r="H2" s="32"/>
      <c r="I2" s="32"/>
      <c r="J2" s="32"/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32">
      <c r="A4" s="1" t="s">
        <v>44</v>
      </c>
      <c r="B4" s="1" t="s">
        <v>45</v>
      </c>
      <c r="C4" s="1" t="s">
        <v>35</v>
      </c>
      <c r="D4" s="1" t="s">
        <v>46</v>
      </c>
      <c r="E4" s="1" t="s">
        <v>308</v>
      </c>
      <c r="F4" s="1" t="s">
        <v>312</v>
      </c>
      <c r="G4" s="1" t="s">
        <v>313</v>
      </c>
      <c r="H4" s="1" t="s">
        <v>314</v>
      </c>
      <c r="I4" s="1" t="s">
        <v>36</v>
      </c>
      <c r="J4" s="1" t="s">
        <v>315</v>
      </c>
    </row>
    <row r="5" spans="1:10">
      <c r="A5" s="2" t="str">
        <f>Consolidated!A5</f>
        <v>NX-1001</v>
      </c>
      <c r="B5" s="2" t="str">
        <f>Consolidated!B5</f>
        <v>Nova X1 Smartphone 128GB</v>
      </c>
      <c r="C5" s="6">
        <f>Consolidated!P5</f>
        <v>102531</v>
      </c>
      <c r="D5" s="7">
        <f>Consolidated!N5</f>
        <v>6.9890109890109891</v>
      </c>
      <c r="E5" s="2" t="str">
        <f>Consolidated!Q5</f>
        <v>Active</v>
      </c>
      <c r="F5" s="26">
        <f t="shared" ref="F5:F16" si="0">IF(D5&gt;12,75%,IF(D5&gt;9,50%,IF(D5&gt;6,25%,IF(D5&gt;3,10%,2%))))</f>
        <v>0.25</v>
      </c>
      <c r="G5" s="26">
        <f t="shared" ref="G5:G16" si="1">IF(E5="End of Life",20%,IF(E5="Phase Out",10%,0%))</f>
        <v>0</v>
      </c>
      <c r="H5" s="26">
        <f t="shared" ref="H5:H16" si="2">MIN(100%,F5+G5)</f>
        <v>0.25</v>
      </c>
      <c r="I5" s="6">
        <f t="shared" ref="I5:I16" si="3">C5*H5</f>
        <v>25632.75</v>
      </c>
      <c r="J5" s="6">
        <f t="shared" ref="J5:J16" si="4">C5-I5</f>
        <v>76898.25</v>
      </c>
    </row>
    <row r="6" spans="1:10">
      <c r="A6" s="2" t="str">
        <f>Consolidated!A6</f>
        <v>NX-1002</v>
      </c>
      <c r="B6" s="2" t="str">
        <f>Consolidated!B6</f>
        <v>Nova X1 Smartphone 256GB</v>
      </c>
      <c r="C6" s="6">
        <f>Consolidated!P6</f>
        <v>101223</v>
      </c>
      <c r="D6" s="7">
        <f>Consolidated!N6</f>
        <v>4.3275261324041807</v>
      </c>
      <c r="E6" s="2" t="str">
        <f>Consolidated!Q6</f>
        <v>Active</v>
      </c>
      <c r="F6" s="26">
        <f t="shared" si="0"/>
        <v>0.1</v>
      </c>
      <c r="G6" s="26">
        <f t="shared" si="1"/>
        <v>0</v>
      </c>
      <c r="H6" s="26">
        <f t="shared" si="2"/>
        <v>0.1</v>
      </c>
      <c r="I6" s="6">
        <f t="shared" si="3"/>
        <v>10122.300000000001</v>
      </c>
      <c r="J6" s="6">
        <f t="shared" si="4"/>
        <v>91100.7</v>
      </c>
    </row>
    <row r="7" spans="1:10">
      <c r="A7" s="2" t="str">
        <f>Consolidated!A7</f>
        <v>TB-2100</v>
      </c>
      <c r="B7" s="2" t="str">
        <f>Consolidated!B7</f>
        <v>Atlas 11-inch Tablet</v>
      </c>
      <c r="C7" s="6">
        <f>Consolidated!P7</f>
        <v>91450</v>
      </c>
      <c r="D7" s="7">
        <f>Consolidated!N7</f>
        <v>4.6507936507936511</v>
      </c>
      <c r="E7" s="2" t="str">
        <f>Consolidated!Q7</f>
        <v>Active</v>
      </c>
      <c r="F7" s="26">
        <f t="shared" si="0"/>
        <v>0.1</v>
      </c>
      <c r="G7" s="26">
        <f t="shared" si="1"/>
        <v>0</v>
      </c>
      <c r="H7" s="26">
        <f t="shared" si="2"/>
        <v>0.1</v>
      </c>
      <c r="I7" s="6">
        <f t="shared" si="3"/>
        <v>9145</v>
      </c>
      <c r="J7" s="6">
        <f t="shared" si="4"/>
        <v>82305</v>
      </c>
    </row>
    <row r="8" spans="1:10">
      <c r="A8" s="2" t="str">
        <f>Consolidated!A8</f>
        <v>LT-3300</v>
      </c>
      <c r="B8" s="2" t="str">
        <f>Consolidated!B8</f>
        <v>Pioneer 14 Pro Laptop</v>
      </c>
      <c r="C8" s="6">
        <f>Consolidated!P8</f>
        <v>281505</v>
      </c>
      <c r="D8" s="7">
        <f>Consolidated!N8</f>
        <v>4.9050160085378876</v>
      </c>
      <c r="E8" s="2" t="str">
        <f>Consolidated!Q8</f>
        <v>Active</v>
      </c>
      <c r="F8" s="26">
        <f t="shared" si="0"/>
        <v>0.1</v>
      </c>
      <c r="G8" s="26">
        <f t="shared" si="1"/>
        <v>0</v>
      </c>
      <c r="H8" s="26">
        <f t="shared" si="2"/>
        <v>0.1</v>
      </c>
      <c r="I8" s="6">
        <f t="shared" si="3"/>
        <v>28150.5</v>
      </c>
      <c r="J8" s="6">
        <f t="shared" si="4"/>
        <v>253354.5</v>
      </c>
    </row>
    <row r="9" spans="1:10">
      <c r="A9" s="2" t="str">
        <f>Consolidated!A9</f>
        <v>AU-4100</v>
      </c>
      <c r="B9" s="2" t="str">
        <f>Consolidated!B9</f>
        <v>Orbit ANC Headphones</v>
      </c>
      <c r="C9" s="6">
        <f>Consolidated!P9</f>
        <v>35518</v>
      </c>
      <c r="D9" s="7">
        <f>Consolidated!N9</f>
        <v>4.2964285714285717</v>
      </c>
      <c r="E9" s="2" t="str">
        <f>Consolidated!Q9</f>
        <v>Active</v>
      </c>
      <c r="F9" s="26">
        <f t="shared" si="0"/>
        <v>0.1</v>
      </c>
      <c r="G9" s="26">
        <f t="shared" si="1"/>
        <v>0</v>
      </c>
      <c r="H9" s="26">
        <f t="shared" si="2"/>
        <v>0.1</v>
      </c>
      <c r="I9" s="6">
        <f t="shared" si="3"/>
        <v>3551.8</v>
      </c>
      <c r="J9" s="6">
        <f t="shared" si="4"/>
        <v>31966.2</v>
      </c>
    </row>
    <row r="10" spans="1:10">
      <c r="A10" s="2" t="str">
        <f>Consolidated!A10</f>
        <v>AU-4200</v>
      </c>
      <c r="B10" s="2" t="str">
        <f>Consolidated!B10</f>
        <v>Pulse Wireless Earbuds</v>
      </c>
      <c r="C10" s="6">
        <f>Consolidated!P10</f>
        <v>22044</v>
      </c>
      <c r="D10" s="7">
        <f>Consolidated!N10</f>
        <v>4.4976958525345623</v>
      </c>
      <c r="E10" s="2" t="str">
        <f>Consolidated!Q10</f>
        <v>Active</v>
      </c>
      <c r="F10" s="26">
        <f t="shared" si="0"/>
        <v>0.1</v>
      </c>
      <c r="G10" s="26">
        <f t="shared" si="1"/>
        <v>0</v>
      </c>
      <c r="H10" s="26">
        <f t="shared" si="2"/>
        <v>0.1</v>
      </c>
      <c r="I10" s="6">
        <f t="shared" si="3"/>
        <v>2204.4</v>
      </c>
      <c r="J10" s="6">
        <f t="shared" si="4"/>
        <v>19839.599999999999</v>
      </c>
    </row>
    <row r="11" spans="1:10">
      <c r="A11" s="2" t="str">
        <f>Consolidated!A11</f>
        <v>HM-5100</v>
      </c>
      <c r="B11" s="2" t="str">
        <f>Consolidated!B11</f>
        <v>Halo Smart Speaker</v>
      </c>
      <c r="C11" s="6">
        <f>Consolidated!P11</f>
        <v>30267</v>
      </c>
      <c r="D11" s="7">
        <f>Consolidated!N11</f>
        <v>4.2562373567093728</v>
      </c>
      <c r="E11" s="2" t="str">
        <f>Consolidated!Q11</f>
        <v>Phase Out</v>
      </c>
      <c r="F11" s="26">
        <f t="shared" si="0"/>
        <v>0.1</v>
      </c>
      <c r="G11" s="26">
        <f t="shared" si="1"/>
        <v>0.1</v>
      </c>
      <c r="H11" s="26">
        <f t="shared" si="2"/>
        <v>0.2</v>
      </c>
      <c r="I11" s="6">
        <f t="shared" si="3"/>
        <v>6053.4000000000005</v>
      </c>
      <c r="J11" s="6">
        <f t="shared" si="4"/>
        <v>24213.599999999999</v>
      </c>
    </row>
    <row r="12" spans="1:10">
      <c r="A12" s="2" t="str">
        <f>Consolidated!A12</f>
        <v>HM-5200</v>
      </c>
      <c r="B12" s="2" t="str">
        <f>Consolidated!B12</f>
        <v>Sentinel Video Doorbell</v>
      </c>
      <c r="C12" s="6">
        <f>Consolidated!P12</f>
        <v>43949</v>
      </c>
      <c r="D12" s="7">
        <f>Consolidated!N12</f>
        <v>4.4468468468468467</v>
      </c>
      <c r="E12" s="2" t="str">
        <f>Consolidated!Q12</f>
        <v>Active</v>
      </c>
      <c r="F12" s="26">
        <f t="shared" si="0"/>
        <v>0.1</v>
      </c>
      <c r="G12" s="26">
        <f t="shared" si="1"/>
        <v>0</v>
      </c>
      <c r="H12" s="26">
        <f t="shared" si="2"/>
        <v>0.1</v>
      </c>
      <c r="I12" s="6">
        <f t="shared" si="3"/>
        <v>4394.9000000000005</v>
      </c>
      <c r="J12" s="6">
        <f t="shared" si="4"/>
        <v>39554.1</v>
      </c>
    </row>
    <row r="13" spans="1:10">
      <c r="A13" s="2" t="str">
        <f>Consolidated!A13</f>
        <v>AC-6100</v>
      </c>
      <c r="B13" s="2" t="str">
        <f>Consolidated!B13</f>
        <v>65W USB-C Power Adapter</v>
      </c>
      <c r="C13" s="6">
        <f>Consolidated!P13</f>
        <v>59472</v>
      </c>
      <c r="D13" s="7">
        <f>Consolidated!N13</f>
        <v>98.131274131274139</v>
      </c>
      <c r="E13" s="2" t="str">
        <f>Consolidated!Q13</f>
        <v>Active</v>
      </c>
      <c r="F13" s="26">
        <f t="shared" si="0"/>
        <v>0.75</v>
      </c>
      <c r="G13" s="26">
        <f t="shared" si="1"/>
        <v>0</v>
      </c>
      <c r="H13" s="26">
        <f t="shared" si="2"/>
        <v>0.75</v>
      </c>
      <c r="I13" s="6">
        <f t="shared" si="3"/>
        <v>44604</v>
      </c>
      <c r="J13" s="6">
        <f t="shared" si="4"/>
        <v>14868</v>
      </c>
    </row>
    <row r="14" spans="1:10">
      <c r="A14" s="2" t="str">
        <f>Consolidated!A14</f>
        <v>AC-6200</v>
      </c>
      <c r="B14" s="2" t="str">
        <f>Consolidated!B14</f>
        <v>Braided USB-C Cable 2m</v>
      </c>
      <c r="C14" s="6">
        <f>Consolidated!P14</f>
        <v>39253.200000000004</v>
      </c>
      <c r="D14" s="7">
        <f>Consolidated!N14</f>
        <v>160.16571428571427</v>
      </c>
      <c r="E14" s="2" t="str">
        <f>Consolidated!Q14</f>
        <v>End of Life</v>
      </c>
      <c r="F14" s="26">
        <f t="shared" si="0"/>
        <v>0.75</v>
      </c>
      <c r="G14" s="26">
        <f t="shared" si="1"/>
        <v>0.2</v>
      </c>
      <c r="H14" s="26">
        <f t="shared" si="2"/>
        <v>0.95</v>
      </c>
      <c r="I14" s="6">
        <f t="shared" si="3"/>
        <v>37290.54</v>
      </c>
      <c r="J14" s="6">
        <f t="shared" si="4"/>
        <v>1962.6600000000035</v>
      </c>
    </row>
    <row r="15" spans="1:10">
      <c r="A15" s="2" t="str">
        <f>Consolidated!A15</f>
        <v>GM-7100</v>
      </c>
      <c r="B15" s="2" t="str">
        <f>Consolidated!B15</f>
        <v>Vector Mechanical Keyboard</v>
      </c>
      <c r="C15" s="6">
        <f>Consolidated!P15</f>
        <v>36855</v>
      </c>
      <c r="D15" s="7">
        <f>Consolidated!N15</f>
        <v>7.6968325791855197</v>
      </c>
      <c r="E15" s="2" t="str">
        <f>Consolidated!Q15</f>
        <v>Active</v>
      </c>
      <c r="F15" s="26">
        <f t="shared" si="0"/>
        <v>0.25</v>
      </c>
      <c r="G15" s="26">
        <f t="shared" si="1"/>
        <v>0</v>
      </c>
      <c r="H15" s="26">
        <f t="shared" si="2"/>
        <v>0.25</v>
      </c>
      <c r="I15" s="6">
        <f t="shared" si="3"/>
        <v>9213.75</v>
      </c>
      <c r="J15" s="6">
        <f t="shared" si="4"/>
        <v>27641.25</v>
      </c>
    </row>
    <row r="16" spans="1:10">
      <c r="A16" s="2" t="str">
        <f>Consolidated!A16</f>
        <v>GM-7200</v>
      </c>
      <c r="B16" s="2" t="str">
        <f>Consolidated!B16</f>
        <v>Photon Gaming Mouse</v>
      </c>
      <c r="C16" s="6">
        <f>Consolidated!P16</f>
        <v>19065</v>
      </c>
      <c r="D16" s="7">
        <f>Consolidated!N16</f>
        <v>7.5537359263050146</v>
      </c>
      <c r="E16" s="2" t="str">
        <f>Consolidated!Q16</f>
        <v>Active</v>
      </c>
      <c r="F16" s="26">
        <f t="shared" si="0"/>
        <v>0.25</v>
      </c>
      <c r="G16" s="26">
        <f t="shared" si="1"/>
        <v>0</v>
      </c>
      <c r="H16" s="26">
        <f t="shared" si="2"/>
        <v>0.25</v>
      </c>
      <c r="I16" s="6">
        <f t="shared" si="3"/>
        <v>4766.25</v>
      </c>
      <c r="J16" s="6">
        <f t="shared" si="4"/>
        <v>14298.75</v>
      </c>
    </row>
    <row r="17" spans="1:10">
      <c r="A17" s="2"/>
      <c r="B17" s="2"/>
      <c r="C17" s="6"/>
      <c r="D17" s="2"/>
      <c r="E17" s="2"/>
      <c r="F17" s="2"/>
      <c r="G17" s="2"/>
      <c r="H17" s="2"/>
      <c r="I17" s="6"/>
      <c r="J17" s="6"/>
    </row>
    <row r="18" spans="1:10">
      <c r="A18" s="27" t="s">
        <v>316</v>
      </c>
      <c r="B18" s="27"/>
      <c r="C18" s="28">
        <f>SUM(C5:C16)</f>
        <v>863132.2</v>
      </c>
      <c r="D18" s="27"/>
      <c r="E18" s="27"/>
      <c r="F18" s="27"/>
      <c r="G18" s="27"/>
      <c r="H18" s="27"/>
      <c r="I18" s="28">
        <f>SUM(I5:I16)</f>
        <v>185129.59</v>
      </c>
      <c r="J18" s="28">
        <f>SUM(J5:J16)</f>
        <v>678002.61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5"/>
  <sheetViews>
    <sheetView showGridLines="0" workbookViewId="0"/>
  </sheetViews>
  <sheetFormatPr baseColWidth="10" defaultColWidth="8.83203125" defaultRowHeight="15"/>
  <cols>
    <col min="1" max="1" width="44" customWidth="1"/>
    <col min="2" max="6" width="18" customWidth="1"/>
    <col min="7" max="7" width="42" customWidth="1"/>
  </cols>
  <sheetData>
    <row r="1" spans="1:7" ht="30" customHeight="1">
      <c r="A1" s="31" t="s">
        <v>317</v>
      </c>
      <c r="B1" s="31"/>
      <c r="C1" s="31"/>
      <c r="D1" s="31"/>
      <c r="E1" s="31"/>
      <c r="F1" s="31"/>
      <c r="G1" s="31"/>
    </row>
    <row r="2" spans="1:7" ht="32" customHeight="1">
      <c r="A2" s="32" t="s">
        <v>318</v>
      </c>
      <c r="B2" s="32"/>
      <c r="C2" s="32"/>
      <c r="D2" s="32"/>
      <c r="E2" s="32"/>
      <c r="F2" s="32"/>
      <c r="G2" s="32"/>
    </row>
    <row r="3" spans="1:7">
      <c r="A3" s="2"/>
      <c r="B3" s="2"/>
      <c r="C3" s="2"/>
      <c r="D3" s="2"/>
      <c r="E3" s="2"/>
      <c r="F3" s="2"/>
      <c r="G3" s="2"/>
    </row>
    <row r="4" spans="1:7" ht="16">
      <c r="A4" s="1" t="s">
        <v>319</v>
      </c>
      <c r="B4" s="1" t="s">
        <v>320</v>
      </c>
      <c r="C4" s="1" t="s">
        <v>321</v>
      </c>
      <c r="D4" s="1" t="s">
        <v>322</v>
      </c>
      <c r="E4" s="1" t="s">
        <v>323</v>
      </c>
      <c r="F4" s="1" t="s">
        <v>324</v>
      </c>
      <c r="G4" s="1" t="s">
        <v>325</v>
      </c>
    </row>
    <row r="5" spans="1:7" ht="32">
      <c r="A5" s="5" t="s">
        <v>326</v>
      </c>
      <c r="B5" s="5">
        <f>SUM(Consolidated!G5:G16)</f>
        <v>17982</v>
      </c>
      <c r="C5" s="5">
        <f>SUM('SAP DC Stock'!N5:N17)+SUM('Oracle Store Inv'!N5:N28)+SUM('3PL Warehouse Feed'!M5:M16)</f>
        <v>17982</v>
      </c>
      <c r="D5" s="5">
        <f t="shared" ref="D5:D12" si="0">B5-C5</f>
        <v>0</v>
      </c>
      <c r="E5" s="5">
        <f>0</f>
        <v>0</v>
      </c>
      <c r="F5" s="5" t="str">
        <f>IF(ABS(D5)&lt;=E5,"PASS","FAIL")</f>
        <v>PASS</v>
      </c>
      <c r="G5" s="5" t="s">
        <v>327</v>
      </c>
    </row>
    <row r="6" spans="1:7" ht="16">
      <c r="A6" s="5" t="s">
        <v>328</v>
      </c>
      <c r="B6" s="5">
        <f>SUMIF('3PL Warehouse Feed'!K5:K17,"UNMAPPED",'3PL Warehouse Feed'!M5:M17)</f>
        <v>25</v>
      </c>
      <c r="C6" s="5">
        <f>0</f>
        <v>0</v>
      </c>
      <c r="D6" s="5">
        <f t="shared" si="0"/>
        <v>25</v>
      </c>
      <c r="E6" s="5">
        <f>0</f>
        <v>0</v>
      </c>
      <c r="F6" s="5" t="str">
        <f>IF(D6=0,"PASS","WARN")</f>
        <v>WARN</v>
      </c>
      <c r="G6" s="5" t="s">
        <v>329</v>
      </c>
    </row>
    <row r="7" spans="1:7" ht="16">
      <c r="A7" s="5" t="s">
        <v>330</v>
      </c>
      <c r="B7" s="5">
        <f>COUNTBLANK('Oracle Store Inv'!H5:H28)</f>
        <v>1</v>
      </c>
      <c r="C7" s="5">
        <f>0</f>
        <v>0</v>
      </c>
      <c r="D7" s="5">
        <f t="shared" si="0"/>
        <v>1</v>
      </c>
      <c r="E7" s="5">
        <f>0</f>
        <v>0</v>
      </c>
      <c r="F7" s="5" t="str">
        <f>IF(D7=0,"PASS","WARN")</f>
        <v>WARN</v>
      </c>
      <c r="G7" s="5" t="s">
        <v>331</v>
      </c>
    </row>
    <row r="8" spans="1:7" ht="16">
      <c r="A8" s="5" t="s">
        <v>332</v>
      </c>
      <c r="B8" s="5">
        <f>COUNTIF('Oracle Store Inv'!J5:J28,"&lt;"&amp;DATE(2026,7,31))</f>
        <v>3</v>
      </c>
      <c r="C8" s="5">
        <f>0</f>
        <v>0</v>
      </c>
      <c r="D8" s="5">
        <f t="shared" si="0"/>
        <v>3</v>
      </c>
      <c r="E8" s="5">
        <f>0</f>
        <v>0</v>
      </c>
      <c r="F8" s="5" t="str">
        <f>IF(D8=0,"PASS","WARN")</f>
        <v>WARN</v>
      </c>
      <c r="G8" s="5" t="s">
        <v>333</v>
      </c>
    </row>
    <row r="9" spans="1:7" ht="16">
      <c r="A9" s="5" t="s">
        <v>334</v>
      </c>
      <c r="B9" s="5">
        <f>COUNTIFS('SAP DC Stock'!A5:A17,"NX-1001",'SAP DC Stock'!B5:B17,"US01")</f>
        <v>2</v>
      </c>
      <c r="C9" s="5">
        <f>1</f>
        <v>1</v>
      </c>
      <c r="D9" s="5">
        <f t="shared" si="0"/>
        <v>1</v>
      </c>
      <c r="E9" s="5">
        <f>0</f>
        <v>0</v>
      </c>
      <c r="F9" s="5" t="str">
        <f>IF(D9&lt;=0,"PASS","WARN")</f>
        <v>WARN</v>
      </c>
      <c r="G9" s="5" t="s">
        <v>335</v>
      </c>
    </row>
    <row r="10" spans="1:7" ht="16">
      <c r="A10" s="5" t="s">
        <v>336</v>
      </c>
      <c r="B10" s="5">
        <f>'Reserve Analysis'!C18-'Reserve Analysis'!I18-'Reserve Analysis'!J18</f>
        <v>0</v>
      </c>
      <c r="C10" s="5">
        <f>0</f>
        <v>0</v>
      </c>
      <c r="D10" s="5">
        <f t="shared" si="0"/>
        <v>0</v>
      </c>
      <c r="E10" s="5">
        <f>0.01</f>
        <v>0.01</v>
      </c>
      <c r="F10" s="5" t="str">
        <f>IF(ABS(D10)&lt;=E10,"PASS","FAIL")</f>
        <v>PASS</v>
      </c>
      <c r="G10" s="5" t="s">
        <v>337</v>
      </c>
    </row>
    <row r="11" spans="1:7" ht="16">
      <c r="A11" s="5" t="s">
        <v>338</v>
      </c>
      <c r="B11" s="5">
        <f>MIN('Open POs'!M5:M14)</f>
        <v>80</v>
      </c>
      <c r="C11" s="5">
        <f>1</f>
        <v>1</v>
      </c>
      <c r="D11" s="5">
        <f t="shared" si="0"/>
        <v>79</v>
      </c>
      <c r="E11" s="5">
        <f>0</f>
        <v>0</v>
      </c>
      <c r="F11" s="5" t="str">
        <f>IF(B11&gt;=C11,"PASS","FAIL")</f>
        <v>PASS</v>
      </c>
      <c r="G11" s="5" t="s">
        <v>339</v>
      </c>
    </row>
    <row r="12" spans="1:7" ht="16">
      <c r="A12" s="5" t="s">
        <v>340</v>
      </c>
      <c r="B12" s="5">
        <f>COUNTIF('Sales History'!E5:E148,"&lt;0")</f>
        <v>24</v>
      </c>
      <c r="C12" s="5">
        <f>1</f>
        <v>1</v>
      </c>
      <c r="D12" s="5">
        <f t="shared" si="0"/>
        <v>23</v>
      </c>
      <c r="E12" s="5">
        <f>0</f>
        <v>0</v>
      </c>
      <c r="F12" s="5" t="str">
        <f>IF(B12&gt;=C12,"PASS","WARN")</f>
        <v>PASS</v>
      </c>
      <c r="G12" s="5" t="s">
        <v>341</v>
      </c>
    </row>
    <row r="13" spans="1:7">
      <c r="A13" s="5"/>
      <c r="B13" s="5"/>
      <c r="C13" s="5"/>
      <c r="D13" s="5"/>
      <c r="E13" s="5"/>
      <c r="F13" s="5"/>
      <c r="G13" s="5"/>
    </row>
    <row r="14" spans="1:7">
      <c r="A14" s="5"/>
      <c r="B14" s="5"/>
      <c r="C14" s="5"/>
      <c r="D14" s="5"/>
      <c r="E14" s="5"/>
      <c r="F14" s="5"/>
      <c r="G14" s="5"/>
    </row>
    <row r="15" spans="1:7" ht="32">
      <c r="A15" s="29" t="s">
        <v>342</v>
      </c>
      <c r="B15" s="29"/>
      <c r="C15" s="29" t="str">
        <f>IF(COUNTIF(F5:F12,"FAIL")=0,"PASS WITH WARNINGS","FAIL")</f>
        <v>PASS WITH WARNINGS</v>
      </c>
      <c r="D15" s="29"/>
      <c r="E15" s="29"/>
      <c r="F15" s="29"/>
      <c r="G15" s="29"/>
    </row>
  </sheetData>
  <mergeCells count="2">
    <mergeCell ref="A1:G1"/>
    <mergeCell ref="A2:G2"/>
  </mergeCells>
  <conditionalFormatting sqref="F5:F12">
    <cfRule type="containsText" dxfId="2" priority="1" operator="containsText" text="PASS"/>
    <cfRule type="containsText" dxfId="1" priority="2" operator="containsText" text="WARN"/>
    <cfRule type="containsText" dxfId="0" priority="3" operator="containsText" text="FAIL"/>
  </conditionalFormatting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9"/>
  <sheetViews>
    <sheetView showGridLines="0" tabSelected="1" workbookViewId="0">
      <selection sqref="A1:I1"/>
    </sheetView>
  </sheetViews>
  <sheetFormatPr baseColWidth="10" defaultColWidth="8.83203125" defaultRowHeight="15"/>
  <cols>
    <col min="1" max="2" width="18" customWidth="1"/>
    <col min="3" max="3" width="28" customWidth="1"/>
    <col min="4" max="7" width="18" customWidth="1"/>
    <col min="8" max="9" width="36" customWidth="1"/>
  </cols>
  <sheetData>
    <row r="1" spans="1:9" ht="30" customHeight="1">
      <c r="A1" s="31" t="s">
        <v>343</v>
      </c>
      <c r="B1" s="31"/>
      <c r="C1" s="31"/>
      <c r="D1" s="31"/>
      <c r="E1" s="31"/>
      <c r="F1" s="31"/>
      <c r="G1" s="31"/>
      <c r="H1" s="31"/>
      <c r="I1" s="31"/>
    </row>
    <row r="2" spans="1:9" ht="32" customHeight="1">
      <c r="A2" s="32" t="s">
        <v>344</v>
      </c>
      <c r="B2" s="32"/>
      <c r="C2" s="32"/>
      <c r="D2" s="32"/>
      <c r="E2" s="32"/>
      <c r="F2" s="32"/>
      <c r="G2" s="32"/>
      <c r="H2" s="32"/>
      <c r="I2" s="3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6">
      <c r="A4" s="1" t="s">
        <v>345</v>
      </c>
      <c r="B4" s="1" t="s">
        <v>346</v>
      </c>
      <c r="C4" s="1" t="s">
        <v>347</v>
      </c>
      <c r="D4" s="1" t="s">
        <v>348</v>
      </c>
      <c r="E4" s="1" t="s">
        <v>349</v>
      </c>
      <c r="F4" s="1" t="s">
        <v>292</v>
      </c>
      <c r="G4" s="1" t="s">
        <v>350</v>
      </c>
      <c r="H4" s="1" t="s">
        <v>351</v>
      </c>
      <c r="I4" s="1" t="s">
        <v>352</v>
      </c>
    </row>
    <row r="5" spans="1:9" ht="32">
      <c r="A5" s="5" t="s">
        <v>353</v>
      </c>
      <c r="B5" s="5" t="s">
        <v>354</v>
      </c>
      <c r="C5" s="5" t="s">
        <v>355</v>
      </c>
      <c r="D5" s="30">
        <v>46234</v>
      </c>
      <c r="E5" s="5" t="s">
        <v>356</v>
      </c>
      <c r="F5" s="5" t="s">
        <v>357</v>
      </c>
      <c r="G5" s="5" t="s">
        <v>358</v>
      </c>
      <c r="H5" s="5" t="s">
        <v>359</v>
      </c>
      <c r="I5" s="5" t="s">
        <v>360</v>
      </c>
    </row>
    <row r="6" spans="1:9" ht="32">
      <c r="A6" s="5" t="s">
        <v>361</v>
      </c>
      <c r="B6" s="5" t="s">
        <v>362</v>
      </c>
      <c r="C6" s="5" t="s">
        <v>363</v>
      </c>
      <c r="D6" s="30">
        <v>46234</v>
      </c>
      <c r="E6" s="5" t="s">
        <v>356</v>
      </c>
      <c r="F6" s="5" t="s">
        <v>364</v>
      </c>
      <c r="G6" s="5" t="s">
        <v>365</v>
      </c>
      <c r="H6" s="5" t="s">
        <v>366</v>
      </c>
      <c r="I6" s="5" t="s">
        <v>367</v>
      </c>
    </row>
    <row r="7" spans="1:9" ht="32">
      <c r="A7" s="5" t="s">
        <v>368</v>
      </c>
      <c r="B7" s="5" t="s">
        <v>369</v>
      </c>
      <c r="C7" s="5" t="s">
        <v>370</v>
      </c>
      <c r="D7" s="30">
        <v>46234</v>
      </c>
      <c r="E7" s="5" t="s">
        <v>371</v>
      </c>
      <c r="F7" s="5" t="s">
        <v>372</v>
      </c>
      <c r="G7" s="5" t="s">
        <v>373</v>
      </c>
      <c r="H7" s="5" t="s">
        <v>374</v>
      </c>
      <c r="I7" s="5" t="s">
        <v>375</v>
      </c>
    </row>
    <row r="8" spans="1:9" ht="32">
      <c r="A8" s="5" t="s">
        <v>376</v>
      </c>
      <c r="B8" s="5" t="s">
        <v>377</v>
      </c>
      <c r="C8" s="5" t="s">
        <v>378</v>
      </c>
      <c r="D8" s="30">
        <v>46234</v>
      </c>
      <c r="E8" s="5" t="s">
        <v>379</v>
      </c>
      <c r="F8" s="5" t="s">
        <v>380</v>
      </c>
      <c r="G8" s="5" t="s">
        <v>381</v>
      </c>
      <c r="H8" s="5" t="s">
        <v>382</v>
      </c>
      <c r="I8" s="5" t="s">
        <v>383</v>
      </c>
    </row>
    <row r="9" spans="1:9" ht="32">
      <c r="A9" s="5" t="s">
        <v>384</v>
      </c>
      <c r="B9" s="5" t="s">
        <v>294</v>
      </c>
      <c r="C9" s="5" t="s">
        <v>385</v>
      </c>
      <c r="D9" s="30">
        <v>46234</v>
      </c>
      <c r="E9" s="5" t="s">
        <v>386</v>
      </c>
      <c r="F9" s="5" t="s">
        <v>294</v>
      </c>
      <c r="G9" s="5" t="s">
        <v>387</v>
      </c>
      <c r="H9" s="5" t="s">
        <v>388</v>
      </c>
      <c r="I9" s="5" t="s">
        <v>389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Cover</vt:lpstr>
      <vt:lpstr>Executive Summary</vt:lpstr>
      <vt:lpstr>Header Dictionary</vt:lpstr>
      <vt:lpstr>Item Master</vt:lpstr>
      <vt:lpstr>SAP DC Stock</vt:lpstr>
      <vt:lpstr>Oracle Store Inv</vt:lpstr>
      <vt:lpstr>3PL Warehouse Feed</vt:lpstr>
      <vt:lpstr>Open POs</vt:lpstr>
      <vt:lpstr>In-Transit</vt:lpstr>
      <vt:lpstr>Sales History</vt:lpstr>
      <vt:lpstr>FX Rates</vt:lpstr>
      <vt:lpstr>Consolidated</vt:lpstr>
      <vt:lpstr>Reserve Analysis</vt:lpstr>
      <vt:lpstr>Checks</vt:lpstr>
      <vt:lpstr>Source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Soni_Enric (ATCS-2027)</cp:lastModifiedBy>
  <dcterms:created xsi:type="dcterms:W3CDTF">2026-08-11T18:47:56Z</dcterms:created>
  <dcterms:modified xsi:type="dcterms:W3CDTF">2026-08-11T18:47:56Z</dcterms:modified>
</cp:coreProperties>
</file>