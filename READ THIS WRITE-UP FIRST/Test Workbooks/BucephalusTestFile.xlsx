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enricsoni/Downloads/"/>
    </mc:Choice>
  </mc:AlternateContent>
  <xr:revisionPtr revIDLastSave="0" documentId="8_{72C98A75-8557-D741-B198-F4B9D2A4BD5A}" xr6:coauthVersionLast="47" xr6:coauthVersionMax="47" xr10:uidLastSave="{00000000-0000-0000-0000-000000000000}"/>
  <bookViews>
    <workbookView xWindow="0" yWindow="740" windowWidth="29400" windowHeight="16400" activeTab="1" xr2:uid="{00000000-000D-0000-FFFF-FFFF00000000}"/>
  </bookViews>
  <sheets>
    <sheet name="Read Me First" sheetId="1" r:id="rId1"/>
    <sheet name="Global Product Register" sheetId="2" r:id="rId2"/>
    <sheet name="SAP Distribution Stock" sheetId="3" r:id="rId3"/>
    <sheet name="Oracle Retail Count" sheetId="4" r:id="rId4"/>
    <sheet name="3PL External Feed" sheetId="5" r:id="rId5"/>
    <sheet name="Cycle Count Detail" sheetId="6" r:id="rId6"/>
    <sheet name="Wholesale Consignment" sheetId="7" r:id="rId7"/>
    <sheet name="Monthly Sell Through" sheetId="8" r:id="rId8"/>
    <sheet name="Open Procurement" sheetId="9" r:id="rId9"/>
    <sheet name="Network Transfers" sheetId="10" r:id="rId10"/>
    <sheet name="Reference Tables" sheetId="11" r:id="rId11"/>
    <sheet name="Test Controls" sheetId="12" r:id="rId12"/>
    <sheet name="Regional P and L" sheetId="13" r:id="rId13"/>
    <sheet name="Treasury Cash Forecast" sheetId="14" r:id="rId14"/>
    <sheet name="Journal Export" sheetId="15" r:id="rId15"/>
    <sheet name="Marketing Commitment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4" l="1"/>
  <c r="D16" i="14"/>
  <c r="D15" i="14"/>
  <c r="D14" i="14"/>
  <c r="D13" i="14"/>
  <c r="D12" i="14"/>
  <c r="D11" i="14"/>
  <c r="D10" i="14"/>
  <c r="D9" i="14"/>
  <c r="D8" i="14"/>
  <c r="D7" i="14"/>
  <c r="D6" i="14"/>
  <c r="G31" i="13"/>
  <c r="F31" i="13"/>
  <c r="G30" i="13"/>
  <c r="F30" i="13"/>
  <c r="G29" i="13"/>
  <c r="F29" i="13"/>
  <c r="G28" i="13"/>
  <c r="F28" i="13"/>
  <c r="G27" i="13"/>
  <c r="F27" i="13"/>
  <c r="G26" i="13"/>
  <c r="F26" i="13"/>
  <c r="G25" i="13"/>
  <c r="F25" i="13"/>
  <c r="G24" i="13"/>
  <c r="F24" i="13"/>
  <c r="G23" i="13"/>
  <c r="F23" i="13"/>
  <c r="G22" i="13"/>
  <c r="F22" i="13"/>
  <c r="G21" i="13"/>
  <c r="F21" i="13"/>
  <c r="G20" i="13"/>
  <c r="F20" i="13"/>
  <c r="G19" i="13"/>
  <c r="F19" i="13"/>
  <c r="G18" i="13"/>
  <c r="F18" i="13"/>
  <c r="G17" i="13"/>
  <c r="F17" i="13"/>
  <c r="G16" i="13"/>
  <c r="F16" i="13"/>
  <c r="G15" i="13"/>
  <c r="F15" i="13"/>
  <c r="G14" i="13"/>
  <c r="F14" i="13"/>
  <c r="G13" i="13"/>
  <c r="F13" i="13"/>
  <c r="G12" i="13"/>
  <c r="F12" i="13"/>
  <c r="G11" i="13"/>
  <c r="F11" i="13"/>
  <c r="G10" i="13"/>
  <c r="F10" i="13"/>
  <c r="G9" i="13"/>
  <c r="F9" i="13"/>
  <c r="G8" i="13"/>
  <c r="F8" i="13"/>
  <c r="G7" i="13"/>
  <c r="F7" i="13"/>
  <c r="G6" i="13"/>
  <c r="F6" i="13"/>
  <c r="G5" i="13"/>
  <c r="F5" i="13"/>
  <c r="B11" i="12"/>
  <c r="B10" i="12"/>
  <c r="B9" i="12"/>
  <c r="B8" i="12"/>
  <c r="B7" i="12"/>
  <c r="B6" i="12"/>
  <c r="B5" i="12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</calcChain>
</file>

<file path=xl/sharedStrings.xml><?xml version="1.0" encoding="utf-8"?>
<sst xmlns="http://schemas.openxmlformats.org/spreadsheetml/2006/main" count="2044" uniqueCount="513">
  <si>
    <t>BUCEPHALUS STRESS-TEST WORKBOOK</t>
  </si>
  <si>
    <t>A difficult but resolvable demo for workbook discovery, normalization, validation, forecasting, and Botpress context sharing.</t>
  </si>
  <si>
    <t>How to test</t>
  </si>
  <si>
    <t>1</t>
  </si>
  <si>
    <t>Open the Bucephalus task pane and select Enterprise Workbook.</t>
  </si>
  <si>
    <t>2</t>
  </si>
  <si>
    <t>Rescan the workbook and review every detected dataset and mapping.</t>
  </si>
  <si>
    <t>3</t>
  </si>
  <si>
    <t>Resolve blockers: map/exclude the unknown and ambiguous SKUs, and exclude the CHF purchase-order row or add an FX rate.</t>
  </si>
  <si>
    <t>4</t>
  </si>
  <si>
    <t>For duplicate review, exclude the exact repeat but keep the two different batch rows as distinct.</t>
  </si>
  <si>
    <t>5</t>
  </si>
  <si>
    <t>Confirm warnings, run Enterprise Analysis, and then share the compact context with Ask Bucephalus.</t>
  </si>
  <si>
    <t>Intentional review cases</t>
  </si>
  <si>
    <t>Blocker</t>
  </si>
  <si>
    <t>ZZ-UNKNOWN-01</t>
  </si>
  <si>
    <t>Unknown SKU in Oracle Retail Count; map or exclude the row.</t>
  </si>
  <si>
    <t>SHARED-DEMO</t>
  </si>
  <si>
    <t>Alias belongs to two audio SKUs; select the intended SKU or exclude.</t>
  </si>
  <si>
    <t>CHF PO</t>
  </si>
  <si>
    <t>One procurement row uses CHF without an FX rate; add CHF to Reference Tables or exclude the row.</t>
  </si>
  <si>
    <t>Duplicate</t>
  </si>
  <si>
    <t>Exact repeat</t>
  </si>
  <si>
    <t>SAP row for EL-1001/DC-NJ is repeated exactly; choose Exclude repeats.</t>
  </si>
  <si>
    <t>Different batches</t>
  </si>
  <si>
    <t>Two EL-2001/DC-TX rows have different batch IDs and quantities; keep them distinct.</t>
  </si>
  <si>
    <t>Warning</t>
  </si>
  <si>
    <t>Missing cost</t>
  </si>
  <si>
    <t>One 3PL row has no source cost; the item-master standard cost should be used.</t>
  </si>
  <si>
    <t>Stale dates</t>
  </si>
  <si>
    <t>Several retail records are older than the newest inventory snapshot.</t>
  </si>
  <si>
    <t>Edge case</t>
  </si>
  <si>
    <t>Negative returns</t>
  </si>
  <si>
    <t>One historical returns value is negative and should remain valid.</t>
  </si>
  <si>
    <t>Mixed UOM</t>
  </si>
  <si>
    <t>EA, CS, and PACK quantities use SKU-specific conversion factors.</t>
  </si>
  <si>
    <t>Supply</t>
  </si>
  <si>
    <t>Customs/Delayed</t>
  </si>
  <si>
    <t>Held or delayed transfers should be visible but not treated as immediately available.</t>
  </si>
  <si>
    <t>Global Product Register</t>
  </si>
  <si>
    <t>Authoritative item master. Aliases are intentionally varied; SHARED-DEMO is ambiguous by design.</t>
  </si>
  <si>
    <t>Master SKU</t>
  </si>
  <si>
    <t>Material Description</t>
  </si>
  <si>
    <t>Merchandise Group</t>
  </si>
  <si>
    <t>Known Source Aliases</t>
  </si>
  <si>
    <t>Base UoM</t>
  </si>
  <si>
    <t>Case Pack</t>
  </si>
  <si>
    <t>Standard Unit Cost</t>
  </si>
  <si>
    <t>Local Currency</t>
  </si>
  <si>
    <t>Lifecycle</t>
  </si>
  <si>
    <t>EL-1001</t>
  </si>
  <si>
    <t>Nova X1 Smartphone 128GB</t>
  </si>
  <si>
    <t>Mobile</t>
  </si>
  <si>
    <t>N-X1-128 | NX1001</t>
  </si>
  <si>
    <t>EA</t>
  </si>
  <si>
    <t>USD</t>
  </si>
  <si>
    <t>Active</t>
  </si>
  <si>
    <t>EL-1002</t>
  </si>
  <si>
    <t>Nova X1 Smartphone 256GB</t>
  </si>
  <si>
    <t>N-X1-256 | NX1002</t>
  </si>
  <si>
    <t>EL-2001</t>
  </si>
  <si>
    <t>Atlas 14 Pro Laptop</t>
  </si>
  <si>
    <t>Computing</t>
  </si>
  <si>
    <t>A14-LT | LT-AT14</t>
  </si>
  <si>
    <t>EL-2002</t>
  </si>
  <si>
    <t>Atlas 11-inch Tablet</t>
  </si>
  <si>
    <t>AT-11 | TB1100</t>
  </si>
  <si>
    <t>AU-3001</t>
  </si>
  <si>
    <t>Orbit ANC Headphones</t>
  </si>
  <si>
    <t>Audio</t>
  </si>
  <si>
    <t>ORB-ANC | HEAD-ORB | SHARED-DEMO</t>
  </si>
  <si>
    <t>AU-3002</t>
  </si>
  <si>
    <t>Pulse Wireless Earbuds</t>
  </si>
  <si>
    <t>PULSE-BUD | BUD3002 | SHARED-DEMO</t>
  </si>
  <si>
    <t>GM-4001</t>
  </si>
  <si>
    <t>Vector Mechanical Keyboard</t>
  </si>
  <si>
    <t>Gaming</t>
  </si>
  <si>
    <t>VEC-KB | VK4001</t>
  </si>
  <si>
    <t>GM-4002</t>
  </si>
  <si>
    <t>Photon Gaming Mouse</t>
  </si>
  <si>
    <t>PH-MOUSE | PGM4002</t>
  </si>
  <si>
    <t>HM-5001</t>
  </si>
  <si>
    <t>Halo Smart Speaker</t>
  </si>
  <si>
    <t>Smart Home</t>
  </si>
  <si>
    <t>HALO-SPK | HS5001</t>
  </si>
  <si>
    <t>HM-5002</t>
  </si>
  <si>
    <t>Sentinel Video Doorbell</t>
  </si>
  <si>
    <t>SENT-DB | SV5002</t>
  </si>
  <si>
    <t>AC-6001</t>
  </si>
  <si>
    <t>65W USB-C Power Adapter</t>
  </si>
  <si>
    <t>Accessories</t>
  </si>
  <si>
    <t>PWR65 | PA6001</t>
  </si>
  <si>
    <t>EUR</t>
  </si>
  <si>
    <t>AC-6002</t>
  </si>
  <si>
    <t>Braided USB-C Cable 2m</t>
  </si>
  <si>
    <t>CBL-2M | CB6002</t>
  </si>
  <si>
    <t>OF-7001</t>
  </si>
  <si>
    <t>Ergo Wireless Desk Set</t>
  </si>
  <si>
    <t>Office</t>
  </si>
  <si>
    <t>ERGO-SET | ED7001</t>
  </si>
  <si>
    <t>CAD</t>
  </si>
  <si>
    <t>OF-7002</t>
  </si>
  <si>
    <t>HD Conference Camera</t>
  </si>
  <si>
    <t>CONF-CAM | HC7002</t>
  </si>
  <si>
    <t>JPY</t>
  </si>
  <si>
    <t>Phase Out</t>
  </si>
  <si>
    <t>SAP Distribution Stock</t>
  </si>
  <si>
    <t>ERP snapshot with mixed EA/CS quantities, restrictions, an exact repeat, and a legitimate alternate batch.</t>
  </si>
  <si>
    <t>Material</t>
  </si>
  <si>
    <t>Plant</t>
  </si>
  <si>
    <t>Stock Type</t>
  </si>
  <si>
    <t>Unrestricted Qty</t>
  </si>
  <si>
    <t>Customer Reserve</t>
  </si>
  <si>
    <t>QI</t>
  </si>
  <si>
    <t>Damaged Qty</t>
  </si>
  <si>
    <t>Qty UOM</t>
  </si>
  <si>
    <t>MAP</t>
  </si>
  <si>
    <t>Company Code Currency</t>
  </si>
  <si>
    <t>Snapshot Date</t>
  </si>
  <si>
    <t>Batch</t>
  </si>
  <si>
    <t>N-X1-128</t>
  </si>
  <si>
    <t>DC-NJ</t>
  </si>
  <si>
    <t>Unrestricted</t>
  </si>
  <si>
    <t>CS</t>
  </si>
  <si>
    <t>B-1-1</t>
  </si>
  <si>
    <t>DC-TX</t>
  </si>
  <si>
    <t>B-1-2</t>
  </si>
  <si>
    <t>B-2-1</t>
  </si>
  <si>
    <t>B-2-2</t>
  </si>
  <si>
    <t>B-3-1</t>
  </si>
  <si>
    <t>B-3-2</t>
  </si>
  <si>
    <t>B-4-1</t>
  </si>
  <si>
    <t>B-4-2</t>
  </si>
  <si>
    <t>B-5-1</t>
  </si>
  <si>
    <t>B-5-2</t>
  </si>
  <si>
    <t>PULSE-BUD</t>
  </si>
  <si>
    <t>B-6-1</t>
  </si>
  <si>
    <t>B-6-2</t>
  </si>
  <si>
    <t>B-7-1</t>
  </si>
  <si>
    <t>B-7-2</t>
  </si>
  <si>
    <t>B-8-1</t>
  </si>
  <si>
    <t>B-8-2</t>
  </si>
  <si>
    <t>B-9-1</t>
  </si>
  <si>
    <t>B-9-2</t>
  </si>
  <si>
    <t>B-10-1</t>
  </si>
  <si>
    <t>B-10-2</t>
  </si>
  <si>
    <t>PWR65</t>
  </si>
  <si>
    <t>B-11-1</t>
  </si>
  <si>
    <t>B-11-2</t>
  </si>
  <si>
    <t>B-12-1</t>
  </si>
  <si>
    <t>B-12-2</t>
  </si>
  <si>
    <t>B-13-1</t>
  </si>
  <si>
    <t>B-13-2</t>
  </si>
  <si>
    <t>B-14-1</t>
  </si>
  <si>
    <t>B-14-2</t>
  </si>
  <si>
    <t>B-LAPTOP-ALT</t>
  </si>
  <si>
    <t>Oracle Retail Count</t>
  </si>
  <si>
    <t>Retail stores use different aliases and headers. Includes stale rows, a missing cost, an unknown SKU, and an ambiguous alias.</t>
  </si>
  <si>
    <t>Product Code</t>
  </si>
  <si>
    <t>Store</t>
  </si>
  <si>
    <t>SOH</t>
  </si>
  <si>
    <t>Allocated</t>
  </si>
  <si>
    <t>Hold Qty</t>
  </si>
  <si>
    <t>Selling UOM</t>
  </si>
  <si>
    <t>Retail Cost</t>
  </si>
  <si>
    <t>Curr</t>
  </si>
  <si>
    <t>As Of</t>
  </si>
  <si>
    <t>NYC-01</t>
  </si>
  <si>
    <t>CHI-02</t>
  </si>
  <si>
    <t>AT-11</t>
  </si>
  <si>
    <t>VEC-KB</t>
  </si>
  <si>
    <t>SENT-DB</t>
  </si>
  <si>
    <t>ERGO-SET</t>
  </si>
  <si>
    <t>External Logistics Feed</t>
  </si>
  <si>
    <t>Case and pack quantities require item-specific conversions; one cost is intentionally missing.</t>
  </si>
  <si>
    <t>Client Item</t>
  </si>
  <si>
    <t>Facility</t>
  </si>
  <si>
    <t>Inventory Status</t>
  </si>
  <si>
    <t>Stock</t>
  </si>
  <si>
    <t>Reserved</t>
  </si>
  <si>
    <t>Quality Hold</t>
  </si>
  <si>
    <t>Damage Qty</t>
  </si>
  <si>
    <t>Order UOM</t>
  </si>
  <si>
    <t>Declared Cost</t>
  </si>
  <si>
    <t>Currency Code</t>
  </si>
  <si>
    <t>Stocktake Date</t>
  </si>
  <si>
    <t>Lot Number</t>
  </si>
  <si>
    <t>NX1001</t>
  </si>
  <si>
    <t>3PL-EAST</t>
  </si>
  <si>
    <t>Available</t>
  </si>
  <si>
    <t>PACK</t>
  </si>
  <si>
    <t>3PL-01-1</t>
  </si>
  <si>
    <t>3PL-WEST</t>
  </si>
  <si>
    <t>3PL-01-2</t>
  </si>
  <si>
    <t>NX1002</t>
  </si>
  <si>
    <t>3PL-02-1</t>
  </si>
  <si>
    <t>3PL-02-2</t>
  </si>
  <si>
    <t>LT-AT14</t>
  </si>
  <si>
    <t>3PL-03-1</t>
  </si>
  <si>
    <t>3PL-03-2</t>
  </si>
  <si>
    <t>TB1100</t>
  </si>
  <si>
    <t>3PL-04-1</t>
  </si>
  <si>
    <t>3PL-04-2</t>
  </si>
  <si>
    <t>HEAD-ORB</t>
  </si>
  <si>
    <t>3PL-05-1</t>
  </si>
  <si>
    <t>3PL-05-2</t>
  </si>
  <si>
    <t>BUD3002</t>
  </si>
  <si>
    <t>3PL-06-1</t>
  </si>
  <si>
    <t>3PL-06-2</t>
  </si>
  <si>
    <t>VK4001</t>
  </si>
  <si>
    <t>3PL-07-1</t>
  </si>
  <si>
    <t>3PL-07-2</t>
  </si>
  <si>
    <t>PGM4002</t>
  </si>
  <si>
    <t>3PL-08-1</t>
  </si>
  <si>
    <t>3PL-08-2</t>
  </si>
  <si>
    <t>HS5001</t>
  </si>
  <si>
    <t>3PL-09-1</t>
  </si>
  <si>
    <t>3PL-09-2</t>
  </si>
  <si>
    <t>SV5002</t>
  </si>
  <si>
    <t>3PL-10-1</t>
  </si>
  <si>
    <t>3PL-10-2</t>
  </si>
  <si>
    <t>PA6001</t>
  </si>
  <si>
    <t>3PL-11-1</t>
  </si>
  <si>
    <t>3PL-11-2</t>
  </si>
  <si>
    <t>CB6002</t>
  </si>
  <si>
    <t>3PL-12-1</t>
  </si>
  <si>
    <t>3PL-12-2</t>
  </si>
  <si>
    <t>ED7001</t>
  </si>
  <si>
    <t>3PL-13-1</t>
  </si>
  <si>
    <t>3PL-13-2</t>
  </si>
  <si>
    <t>HC7002</t>
  </si>
  <si>
    <t>3PL-14-1</t>
  </si>
  <si>
    <t>3PL-14-2</t>
  </si>
  <si>
    <t>Cycle Count Detail</t>
  </si>
  <si>
    <t>A separate physical-count source at an overlapping location; review granularity before including it with ERP stock.</t>
  </si>
  <si>
    <t>Item Number</t>
  </si>
  <si>
    <t>Storage Location</t>
  </si>
  <si>
    <t>Stock Status</t>
  </si>
  <si>
    <t>Physical Qty</t>
  </si>
  <si>
    <t>Blocked</t>
  </si>
  <si>
    <t>Damaged</t>
  </si>
  <si>
    <t>Unit Cost</t>
  </si>
  <si>
    <t>Currency</t>
  </si>
  <si>
    <t>Serial Batch</t>
  </si>
  <si>
    <t>Counted</t>
  </si>
  <si>
    <t>CC-1000</t>
  </si>
  <si>
    <t>CC-1001</t>
  </si>
  <si>
    <t>CC-1002</t>
  </si>
  <si>
    <t>CC-1003</t>
  </si>
  <si>
    <t>CC-1004</t>
  </si>
  <si>
    <t>CC-1005</t>
  </si>
  <si>
    <t>CC-1006</t>
  </si>
  <si>
    <t>CC-1007</t>
  </si>
  <si>
    <t>CC-1008</t>
  </si>
  <si>
    <t>CC-1009</t>
  </si>
  <si>
    <t>CC-1010</t>
  </si>
  <si>
    <t>CC-1011</t>
  </si>
  <si>
    <t>CC-1012</t>
  </si>
  <si>
    <t>CC-1013</t>
  </si>
  <si>
    <t>Wholesale Consignment Inventory</t>
  </si>
  <si>
    <t>Vendor-owned stock at a shared facility. Use the dataset-role and inclusion controls deliberately.</t>
  </si>
  <si>
    <t>SKU</t>
  </si>
  <si>
    <t>Warehouse</t>
  </si>
  <si>
    <t>On Hand</t>
  </si>
  <si>
    <t>Reserved Qty</t>
  </si>
  <si>
    <t>Hold</t>
  </si>
  <si>
    <t>Damaged Quantity</t>
  </si>
  <si>
    <t>UOM</t>
  </si>
  <si>
    <t>Cost Per Unit</t>
  </si>
  <si>
    <t>Inventory Date</t>
  </si>
  <si>
    <t>Vendor Owned</t>
  </si>
  <si>
    <t>CONS-200</t>
  </si>
  <si>
    <t>CONS-201</t>
  </si>
  <si>
    <t>CONS-202</t>
  </si>
  <si>
    <t>CONS-203</t>
  </si>
  <si>
    <t>CONS-204</t>
  </si>
  <si>
    <t>CONS-205</t>
  </si>
  <si>
    <t>CONS-206</t>
  </si>
  <si>
    <t>CONS-207</t>
  </si>
  <si>
    <t>CONS-208</t>
  </si>
  <si>
    <t>CONS-209</t>
  </si>
  <si>
    <t>CONS-210</t>
  </si>
  <si>
    <t>CONS-211</t>
  </si>
  <si>
    <t>CONS-212</t>
  </si>
  <si>
    <t>CONS-213</t>
  </si>
  <si>
    <t>Monthly Sell-Through History</t>
  </si>
  <si>
    <t>Eighteen months of demand with aliases, seasonality, multiple channels, formulas, and one valid negative return.</t>
  </si>
  <si>
    <t>Fiscal Month End</t>
  </si>
  <si>
    <t>SKU / Style</t>
  </si>
  <si>
    <t>Sales Channel</t>
  </si>
  <si>
    <t>Gross Units</t>
  </si>
  <si>
    <t>Returns Units</t>
  </si>
  <si>
    <t>Avg Net Price USD</t>
  </si>
  <si>
    <t>Net Demand Units Helper</t>
  </si>
  <si>
    <t>Retail</t>
  </si>
  <si>
    <t>Ecommerce</t>
  </si>
  <si>
    <t>Wholesale</t>
  </si>
  <si>
    <t>ORB-ANC</t>
  </si>
  <si>
    <t>HALO-SPK</t>
  </si>
  <si>
    <t>Open Procurement Commitments</t>
  </si>
  <si>
    <t>Open POs use mixed currencies and UOMs. PO-CHF-BLOCK intentionally lacks an FX rate.</t>
  </si>
  <si>
    <t>Purchase Order</t>
  </si>
  <si>
    <t>Ship From</t>
  </si>
  <si>
    <t>Ship To</t>
  </si>
  <si>
    <t>Open Quantity</t>
  </si>
  <si>
    <t>Expected Receipt</t>
  </si>
  <si>
    <t>PO Status</t>
  </si>
  <si>
    <t>PO Unit Price</t>
  </si>
  <si>
    <t>PO Currency</t>
  </si>
  <si>
    <t>PO-20260800</t>
  </si>
  <si>
    <t>Shenzhen</t>
  </si>
  <si>
    <t>Open</t>
  </si>
  <si>
    <t>PO-20260801</t>
  </si>
  <si>
    <t>Approved</t>
  </si>
  <si>
    <t>PO-20260802</t>
  </si>
  <si>
    <t>Monterrey</t>
  </si>
  <si>
    <t>PO-20260803</t>
  </si>
  <si>
    <t>N-X1-256</t>
  </si>
  <si>
    <t>In Transit</t>
  </si>
  <si>
    <t>PO-20260804</t>
  </si>
  <si>
    <t>Rotterdam</t>
  </si>
  <si>
    <t>PO-20260805</t>
  </si>
  <si>
    <t>A14-LT</t>
  </si>
  <si>
    <t>Supplier Delay</t>
  </si>
  <si>
    <t>PO-20260806</t>
  </si>
  <si>
    <t>PO-20260807</t>
  </si>
  <si>
    <t>PO-20260808</t>
  </si>
  <si>
    <t>PO-20260809</t>
  </si>
  <si>
    <t>PO-20260810</t>
  </si>
  <si>
    <t>PO-20260811</t>
  </si>
  <si>
    <t>PO-20260812</t>
  </si>
  <si>
    <t>PO-20260813</t>
  </si>
  <si>
    <t>PO-20260814</t>
  </si>
  <si>
    <t>PO-20260815</t>
  </si>
  <si>
    <t>PH-MOUSE</t>
  </si>
  <si>
    <t>PO-20260816</t>
  </si>
  <si>
    <t>PO-20260817</t>
  </si>
  <si>
    <t>PO-20260818</t>
  </si>
  <si>
    <t>PO-20260819</t>
  </si>
  <si>
    <t>PO-20260820</t>
  </si>
  <si>
    <t>PO-20260821</t>
  </si>
  <si>
    <t>PO-20260822</t>
  </si>
  <si>
    <t>PO-20260823</t>
  </si>
  <si>
    <t>CBL-2M</t>
  </si>
  <si>
    <t>PO-20260824</t>
  </si>
  <si>
    <t>PO-20260825</t>
  </si>
  <si>
    <t>PO-20260826</t>
  </si>
  <si>
    <t>PO-20260827</t>
  </si>
  <si>
    <t>CONF-CAM</t>
  </si>
  <si>
    <t>PO-CHF-BLOCK</t>
  </si>
  <si>
    <t>Zurich</t>
  </si>
  <si>
    <t>CHF</t>
  </si>
  <si>
    <t>Network Transfer Pipeline</t>
  </si>
  <si>
    <t>Transfers include in-transit, delayed, and customs-held movements across the six analysis locations.</t>
  </si>
  <si>
    <t>Transfer ID</t>
  </si>
  <si>
    <t>From Site</t>
  </si>
  <si>
    <t>To Site</t>
  </si>
  <si>
    <t>In Transit Qty</t>
  </si>
  <si>
    <t>ETA</t>
  </si>
  <si>
    <t>Movement Status</t>
  </si>
  <si>
    <t>TR-8800</t>
  </si>
  <si>
    <t>Customs Hold</t>
  </si>
  <si>
    <t>TR-8801</t>
  </si>
  <si>
    <t>TR-8802</t>
  </si>
  <si>
    <t>TR-8803</t>
  </si>
  <si>
    <t>TR-8804</t>
  </si>
  <si>
    <t>TR-8805</t>
  </si>
  <si>
    <t>Delayed</t>
  </si>
  <si>
    <t>TR-8806</t>
  </si>
  <si>
    <t>TR-8807</t>
  </si>
  <si>
    <t>TR-8808</t>
  </si>
  <si>
    <t>TR-8809</t>
  </si>
  <si>
    <t>TR-8810</t>
  </si>
  <si>
    <t>TR-8811</t>
  </si>
  <si>
    <t>TR-8812</t>
  </si>
  <si>
    <t>TR-8813</t>
  </si>
  <si>
    <t>Reference Tables</t>
  </si>
  <si>
    <t>Two separate candidate regions share this sheet. Sheet names are supporting evidence only.</t>
  </si>
  <si>
    <t>USD per Local Currency</t>
  </si>
  <si>
    <t>FX Date</t>
  </si>
  <si>
    <t>Policy Class</t>
  </si>
  <si>
    <t>Default Lead Time Days</t>
  </si>
  <si>
    <t>Safety Stock Days</t>
  </si>
  <si>
    <t>Owner</t>
  </si>
  <si>
    <t>Planning</t>
  </si>
  <si>
    <t>Category</t>
  </si>
  <si>
    <t>Operations</t>
  </si>
  <si>
    <t>Test Controls</t>
  </si>
  <si>
    <t>These checks help confirm that the workbook itself is intact before running the add-in.</t>
  </si>
  <si>
    <t>Control</t>
  </si>
  <si>
    <t>Formula / Expected</t>
  </si>
  <si>
    <t>Purpose</t>
  </si>
  <si>
    <t>Item rows</t>
  </si>
  <si>
    <t>Should equal 14 authoritative products</t>
  </si>
  <si>
    <t>Sales rows</t>
  </si>
  <si>
    <t>Should equal 252 monthly SKU records</t>
  </si>
  <si>
    <t>SAP rows</t>
  </si>
  <si>
    <t>Includes one exact repeat and one extra batch</t>
  </si>
  <si>
    <t>Oracle rows</t>
  </si>
  <si>
    <t>Includes unknown and ambiguous SKU rows</t>
  </si>
  <si>
    <t>3PL rows</t>
  </si>
  <si>
    <t>Contains CS/PACK conversions</t>
  </si>
  <si>
    <t>PO rows</t>
  </si>
  <si>
    <t>Includes the CHF blocker</t>
  </si>
  <si>
    <t>Transfer rows</t>
  </si>
  <si>
    <t>Contains delayed/customs-held movements</t>
  </si>
  <si>
    <t>Workbook intent</t>
  </si>
  <si>
    <t>Stress test</t>
  </si>
  <si>
    <t>Do not treat these controls as inventory data</t>
  </si>
  <si>
    <t>Regional Profit &amp; Loss</t>
  </si>
  <si>
    <t>Unrelated finance data included to test that inventory discovery ignores plausible numeric business tables.</t>
  </si>
  <si>
    <t>Fiscal Period</t>
  </si>
  <si>
    <t>Region</t>
  </si>
  <si>
    <t>Revenue</t>
  </si>
  <si>
    <t>COGS</t>
  </si>
  <si>
    <t>Operating Expense</t>
  </si>
  <si>
    <t>Gross Profit</t>
  </si>
  <si>
    <t>EBITDA</t>
  </si>
  <si>
    <t>North</t>
  </si>
  <si>
    <t>South</t>
  </si>
  <si>
    <t>West</t>
  </si>
  <si>
    <t>Treasury Cash Forecast</t>
  </si>
  <si>
    <t>Formula-driven cash planning data that must not be classified as inventory, sales, supply, or FX.</t>
  </si>
  <si>
    <t>Week Ending</t>
  </si>
  <si>
    <t>Opening Cash</t>
  </si>
  <si>
    <t>Net Cash Flow</t>
  </si>
  <si>
    <t>Closing Cash</t>
  </si>
  <si>
    <t>Minimum Buffer</t>
  </si>
  <si>
    <t>Treasury</t>
  </si>
  <si>
    <t>General Ledger Journal Export</t>
  </si>
  <si>
    <t>A large unrelated transaction table with dates, codes, statuses, and currency fields.</t>
  </si>
  <si>
    <t>Journal ID</t>
  </si>
  <si>
    <t>Posting Date</t>
  </si>
  <si>
    <t>Account</t>
  </si>
  <si>
    <t>Narrative</t>
  </si>
  <si>
    <t>Debit</t>
  </si>
  <si>
    <t>Credit</t>
  </si>
  <si>
    <t>Ledger Currency</t>
  </si>
  <si>
    <t>Approval Status</t>
  </si>
  <si>
    <t>JE-90000</t>
  </si>
  <si>
    <t>400100</t>
  </si>
  <si>
    <t>Sales accrual</t>
  </si>
  <si>
    <t>Posted</t>
  </si>
  <si>
    <t>JE-90001</t>
  </si>
  <si>
    <t>500200</t>
  </si>
  <si>
    <t>Freight</t>
  </si>
  <si>
    <t>JE-90002</t>
  </si>
  <si>
    <t>610300</t>
  </si>
  <si>
    <t>Payroll</t>
  </si>
  <si>
    <t>JE-90003</t>
  </si>
  <si>
    <t>720400</t>
  </si>
  <si>
    <t>Marketing</t>
  </si>
  <si>
    <t>JE-90004</t>
  </si>
  <si>
    <t>130500</t>
  </si>
  <si>
    <t>Receivable</t>
  </si>
  <si>
    <t>JE-90005</t>
  </si>
  <si>
    <t>JE-90006</t>
  </si>
  <si>
    <t>JE-90007</t>
  </si>
  <si>
    <t>JE-90008</t>
  </si>
  <si>
    <t>JE-90009</t>
  </si>
  <si>
    <t>JE-90010</t>
  </si>
  <si>
    <t>JE-90011</t>
  </si>
  <si>
    <t>JE-90012</t>
  </si>
  <si>
    <t>JE-90013</t>
  </si>
  <si>
    <t>JE-90014</t>
  </si>
  <si>
    <t>JE-90015</t>
  </si>
  <si>
    <t>JE-90016</t>
  </si>
  <si>
    <t>JE-90017</t>
  </si>
  <si>
    <t>JE-90018</t>
  </si>
  <si>
    <t>JE-90019</t>
  </si>
  <si>
    <t>JE-90020</t>
  </si>
  <si>
    <t>JE-90021</t>
  </si>
  <si>
    <t>JE-90022</t>
  </si>
  <si>
    <t>JE-90023</t>
  </si>
  <si>
    <t>JE-90024</t>
  </si>
  <si>
    <t>JE-90025</t>
  </si>
  <si>
    <t>JE-90026</t>
  </si>
  <si>
    <t>JE-90027</t>
  </si>
  <si>
    <t>JE-90028</t>
  </si>
  <si>
    <t>JE-90029</t>
  </si>
  <si>
    <t>Marketing Commitments</t>
  </si>
  <si>
    <t>Unrelated campaign budgets add more realistic workbook noise and varied data types.</t>
  </si>
  <si>
    <t>Campaign</t>
  </si>
  <si>
    <t>Channel Group</t>
  </si>
  <si>
    <t>Committed Spend</t>
  </si>
  <si>
    <t>Forecast Confidence</t>
  </si>
  <si>
    <t>Launch Date</t>
  </si>
  <si>
    <t>Status</t>
  </si>
  <si>
    <t>CMP-700</t>
  </si>
  <si>
    <t>Search</t>
  </si>
  <si>
    <t>Planned</t>
  </si>
  <si>
    <t>CMP-701</t>
  </si>
  <si>
    <t>Social</t>
  </si>
  <si>
    <t>CMP-702</t>
  </si>
  <si>
    <t>Retail Media</t>
  </si>
  <si>
    <t>CMP-703</t>
  </si>
  <si>
    <t>Events</t>
  </si>
  <si>
    <t>CMP-704</t>
  </si>
  <si>
    <t>CMP-705</t>
  </si>
  <si>
    <t>CMP-706</t>
  </si>
  <si>
    <t>CMP-707</t>
  </si>
  <si>
    <t>CMP-708</t>
  </si>
  <si>
    <t>CMP-709</t>
  </si>
  <si>
    <t>CMP-710</t>
  </si>
  <si>
    <t>CMP-711</t>
  </si>
  <si>
    <t>CMP-712</t>
  </si>
  <si>
    <t>CMP-713</t>
  </si>
  <si>
    <t>CMP-714</t>
  </si>
  <si>
    <t>CMP-715</t>
  </si>
  <si>
    <t>CMP-716</t>
  </si>
  <si>
    <t>CMP-717</t>
  </si>
  <si>
    <t>CMP-718</t>
  </si>
  <si>
    <t>CMP-719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</si>
</sst>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0.0000"/>
    <numFmt numFmtId="167" formatCode="0.0%"/>
  </numFmts>
  <fonts count="8">
    <font>
      <sz val="11"/>
      <name val="Carlito"/>
    </font>
    <font>
      <b/>
      <sz val="16"/>
      <color rgb="FFFFFFFF"/>
      <name val="Carlito"/>
    </font>
    <font>
      <i/>
      <sz val="10"/>
      <color rgb="FF6B6577"/>
      <name val="Carlito"/>
    </font>
    <font>
      <b/>
      <sz val="13"/>
      <color rgb="FFFFFFFF"/>
      <name val="Carlito"/>
    </font>
    <font>
      <b/>
      <sz val="11"/>
      <color rgb="FF4338CA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241B35"/>
      <name val="Carlito"/>
    </font>
  </fonts>
  <fills count="9">
    <fill>
      <patternFill patternType="none"/>
    </fill>
    <fill>
      <patternFill patternType="gray125"/>
    </fill>
    <fill>
      <patternFill patternType="solid">
        <fgColor rgb="FF24176F"/>
      </patternFill>
    </fill>
    <fill>
      <patternFill patternType="solid">
        <fgColor rgb="FFEEF2FF"/>
      </patternFill>
    </fill>
    <fill>
      <patternFill patternType="solid">
        <fgColor rgb="FF4338CA"/>
      </patternFill>
    </fill>
    <fill>
      <patternFill patternType="solid">
        <fgColor rgb="FFF5F3FF"/>
      </patternFill>
    </fill>
    <fill>
      <patternFill patternType="solid">
        <fgColor rgb="FFFDE8EC"/>
      </patternFill>
    </fill>
    <fill>
      <patternFill patternType="solid">
        <fgColor rgb="FFFFF4CC"/>
      </patternFill>
    </fill>
    <fill>
      <patternFill patternType="solid">
        <fgColor rgb="FFDCFCE7"/>
      </patternFill>
    </fill>
  </fills>
  <borders count="10">
    <border>
      <left/>
      <right/>
      <top/>
      <bottom/>
      <diagonal/>
    </border>
    <border>
      <left/>
      <right style="thin">
        <color rgb="FFD9D6EC"/>
      </right>
      <top/>
      <bottom style="thin">
        <color rgb="FFD9D6EC"/>
      </bottom>
      <diagonal/>
    </border>
    <border>
      <left style="thin">
        <color rgb="FFD9D6EC"/>
      </left>
      <right style="thin">
        <color rgb="FFD9D6EC"/>
      </right>
      <top/>
      <bottom style="thin">
        <color rgb="FFD9D6EC"/>
      </bottom>
      <diagonal/>
    </border>
    <border>
      <left style="thin">
        <color rgb="FFD9D6EC"/>
      </left>
      <right/>
      <top/>
      <bottom style="thin">
        <color rgb="FFD9D6EC"/>
      </bottom>
      <diagonal/>
    </border>
    <border>
      <left/>
      <right style="thin">
        <color rgb="FFD9D6EC"/>
      </right>
      <top style="thin">
        <color rgb="FFD9D6EC"/>
      </top>
      <bottom style="thin">
        <color rgb="FFD9D6EC"/>
      </bottom>
      <diagonal/>
    </border>
    <border>
      <left style="thin">
        <color rgb="FFD9D6EC"/>
      </left>
      <right style="thin">
        <color rgb="FFD9D6EC"/>
      </right>
      <top style="thin">
        <color rgb="FFD9D6EC"/>
      </top>
      <bottom style="thin">
        <color rgb="FFD9D6EC"/>
      </bottom>
      <diagonal/>
    </border>
    <border>
      <left style="thin">
        <color rgb="FFD9D6EC"/>
      </left>
      <right/>
      <top style="thin">
        <color rgb="FFD9D6EC"/>
      </top>
      <bottom style="thin">
        <color rgb="FFD9D6EC"/>
      </bottom>
      <diagonal/>
    </border>
    <border>
      <left/>
      <right style="thin">
        <color rgb="FFD9D6EC"/>
      </right>
      <top style="thin">
        <color rgb="FFD9D6EC"/>
      </top>
      <bottom/>
      <diagonal/>
    </border>
    <border>
      <left style="thin">
        <color rgb="FFD9D6EC"/>
      </left>
      <right style="thin">
        <color rgb="FFD9D6EC"/>
      </right>
      <top style="thin">
        <color rgb="FFD9D6EC"/>
      </top>
      <bottom/>
      <diagonal/>
    </border>
    <border>
      <left style="thin">
        <color rgb="FFD9D6EC"/>
      </left>
      <right/>
      <top style="thin">
        <color rgb="FFD9D6EC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5" borderId="0" xfId="0" applyFont="1" applyFill="1" applyAlignment="1">
      <alignment horizontal="center"/>
    </xf>
    <xf numFmtId="0" fontId="0" fillId="0" borderId="5" xfId="0" applyBorder="1"/>
    <xf numFmtId="0" fontId="5" fillId="6" borderId="1" xfId="0" applyFont="1" applyFill="1" applyBorder="1" applyAlignment="1">
      <alignment horizontal="center"/>
    </xf>
    <xf numFmtId="0" fontId="0" fillId="6" borderId="2" xfId="0" applyFill="1" applyBorder="1"/>
    <xf numFmtId="0" fontId="0" fillId="6" borderId="3" xfId="0" applyFill="1" applyBorder="1"/>
    <xf numFmtId="0" fontId="5" fillId="6" borderId="4" xfId="0" applyFont="1" applyFill="1" applyBorder="1" applyAlignment="1">
      <alignment horizontal="center"/>
    </xf>
    <xf numFmtId="0" fontId="0" fillId="6" borderId="5" xfId="0" applyFill="1" applyBorder="1"/>
    <xf numFmtId="0" fontId="0" fillId="6" borderId="6" xfId="0" applyFill="1" applyBorder="1"/>
    <xf numFmtId="0" fontId="5" fillId="7" borderId="4" xfId="0" applyFont="1" applyFill="1" applyBorder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5" fillId="3" borderId="4" xfId="0" applyFont="1" applyFill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5" fillId="3" borderId="7" xfId="0" applyFont="1" applyFill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6" fillId="4" borderId="0" xfId="0" applyFont="1" applyFill="1" applyAlignment="1">
      <alignment vertical="center" wrapText="1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0" fontId="6" fillId="4" borderId="5" xfId="0" applyFont="1" applyFill="1" applyBorder="1"/>
    <xf numFmtId="3" fontId="7" fillId="8" borderId="5" xfId="0" applyNumberFormat="1" applyFont="1" applyFill="1" applyBorder="1"/>
    <xf numFmtId="167" fontId="0" fillId="0" borderId="0" xfId="0" applyNumberFormat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2" borderId="0" xfId="0" applyFont="1" applyFill="1"/>
  </cellXfs>
  <cellStyles count="1">
    <cellStyle name="Normal" xfId="0" builtinId="0"/>
  </cellStyles>
  <dxfs count="9">
    <dxf>
      <font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FF4CC"/>
        </patternFill>
      </fill>
    </dxf>
    <dxf>
      <font>
        <b/>
        <color rgb="FF991B1B"/>
      </font>
      <fill>
        <patternFill patternType="solid">
          <bgColor rgb="FFFDE8EC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FF4CC"/>
        </patternFill>
      </fill>
    </dxf>
    <dxf>
      <font>
        <b/>
        <color rgb="FF991B1B"/>
      </font>
      <fill>
        <patternFill patternType="solid">
          <bgColor rgb="FFFDE8EC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FF4CC"/>
        </patternFill>
      </fill>
    </dxf>
    <dxf>
      <font>
        <b/>
        <color rgb="FF991B1B"/>
      </font>
      <fill>
        <patternFill patternType="solid">
          <bgColor rgb="FFFDE8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balCatalogDemoTable" displayName="GlobalCatalogDemoTable" ref="A4:I18" totalsRowShown="0">
  <autoFilter ref="A4:I18" xr:uid="{00000000-0009-0000-0100-000001000000}"/>
  <tableColumns count="9">
    <tableColumn id="1" xr3:uid="{00000000-0010-0000-0000-000001000000}" name="Master SKU"/>
    <tableColumn id="2" xr3:uid="{00000000-0010-0000-0000-000002000000}" name="Material Description"/>
    <tableColumn id="3" xr3:uid="{00000000-0010-0000-0000-000003000000}" name="Merchandise Group"/>
    <tableColumn id="4" xr3:uid="{00000000-0010-0000-0000-000004000000}" name="Known Source Aliases"/>
    <tableColumn id="5" xr3:uid="{00000000-0010-0000-0000-000005000000}" name="Base UoM"/>
    <tableColumn id="6" xr3:uid="{00000000-0010-0000-0000-000006000000}" name="Case Pack"/>
    <tableColumn id="7" xr3:uid="{00000000-0010-0000-0000-000007000000}" name="Standard Unit Cost"/>
    <tableColumn id="8" xr3:uid="{00000000-0010-0000-0000-000008000000}" name="Local Currency"/>
    <tableColumn id="9" xr3:uid="{00000000-0010-0000-0000-000009000000}" name="Lifecycl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pStressInventoryTable" displayName="SapStressInventoryTable" ref="A5:L35" totalsRowShown="0">
  <autoFilter ref="A5:L35" xr:uid="{00000000-0009-0000-0100-000002000000}"/>
  <tableColumns count="12">
    <tableColumn id="1" xr3:uid="{00000000-0010-0000-0100-000001000000}" name="Material"/>
    <tableColumn id="2" xr3:uid="{00000000-0010-0000-0100-000002000000}" name="Plant"/>
    <tableColumn id="3" xr3:uid="{00000000-0010-0000-0100-000003000000}" name="Stock Type"/>
    <tableColumn id="4" xr3:uid="{00000000-0010-0000-0100-000004000000}" name="Unrestricted Qty"/>
    <tableColumn id="5" xr3:uid="{00000000-0010-0000-0100-000005000000}" name="Customer Reserve"/>
    <tableColumn id="6" xr3:uid="{00000000-0010-0000-0100-000006000000}" name="QI"/>
    <tableColumn id="7" xr3:uid="{00000000-0010-0000-0100-000007000000}" name="Damaged Qty"/>
    <tableColumn id="8" xr3:uid="{00000000-0010-0000-0100-000008000000}" name="Qty UOM"/>
    <tableColumn id="9" xr3:uid="{00000000-0010-0000-0100-000009000000}" name="MAP"/>
    <tableColumn id="10" xr3:uid="{00000000-0010-0000-0100-00000A000000}" name="Company Code Currency"/>
    <tableColumn id="11" xr3:uid="{00000000-0010-0000-0100-00000B000000}" name="Snapshot Date"/>
    <tableColumn id="12" xr3:uid="{00000000-0010-0000-0100-00000C000000}" name="Batch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racleRetailStressTable" displayName="OracleRetailStressTable" ref="A6:I36" totalsRowShown="0">
  <autoFilter ref="A6:I36" xr:uid="{00000000-0009-0000-0100-000003000000}"/>
  <tableColumns count="9">
    <tableColumn id="1" xr3:uid="{00000000-0010-0000-0200-000001000000}" name="Product Code"/>
    <tableColumn id="2" xr3:uid="{00000000-0010-0000-0200-000002000000}" name="Store"/>
    <tableColumn id="3" xr3:uid="{00000000-0010-0000-0200-000003000000}" name="SOH"/>
    <tableColumn id="4" xr3:uid="{00000000-0010-0000-0200-000004000000}" name="Allocated"/>
    <tableColumn id="5" xr3:uid="{00000000-0010-0000-0200-000005000000}" name="Hold Qty"/>
    <tableColumn id="6" xr3:uid="{00000000-0010-0000-0200-000006000000}" name="Selling UOM"/>
    <tableColumn id="7" xr3:uid="{00000000-0010-0000-0200-000007000000}" name="Retail Cost"/>
    <tableColumn id="8" xr3:uid="{00000000-0010-0000-0200-000008000000}" name="Curr"/>
    <tableColumn id="9" xr3:uid="{00000000-0010-0000-0200-000009000000}" name="As Of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ternal3PLStressTable" displayName="External3PLStressTable" ref="A4:L32" totalsRowShown="0">
  <autoFilter ref="A4:L32" xr:uid="{00000000-0009-0000-0100-000004000000}"/>
  <tableColumns count="12">
    <tableColumn id="1" xr3:uid="{00000000-0010-0000-0300-000001000000}" name="Client Item"/>
    <tableColumn id="2" xr3:uid="{00000000-0010-0000-0300-000002000000}" name="Facility"/>
    <tableColumn id="3" xr3:uid="{00000000-0010-0000-0300-000003000000}" name="Inventory Status"/>
    <tableColumn id="4" xr3:uid="{00000000-0010-0000-0300-000004000000}" name="Stock"/>
    <tableColumn id="5" xr3:uid="{00000000-0010-0000-0300-000005000000}" name="Reserved"/>
    <tableColumn id="6" xr3:uid="{00000000-0010-0000-0300-000006000000}" name="Quality Hold"/>
    <tableColumn id="7" xr3:uid="{00000000-0010-0000-0300-000007000000}" name="Damage Qty"/>
    <tableColumn id="8" xr3:uid="{00000000-0010-0000-0300-000008000000}" name="Order UOM"/>
    <tableColumn id="9" xr3:uid="{00000000-0010-0000-0300-000009000000}" name="Declared Cost"/>
    <tableColumn id="10" xr3:uid="{00000000-0010-0000-0300-00000A000000}" name="Currency Code"/>
    <tableColumn id="11" xr3:uid="{00000000-0010-0000-0300-00000B000000}" name="Stocktake Date"/>
    <tableColumn id="12" xr3:uid="{00000000-0010-0000-0300-00000C000000}" name="Lot Number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ycleCountStressTable" displayName="CycleCountStressTable" ref="A7:L21" totalsRowShown="0">
  <autoFilter ref="A7:L21" xr:uid="{00000000-0009-0000-0100-000005000000}"/>
  <tableColumns count="12">
    <tableColumn id="1" xr3:uid="{00000000-0010-0000-0400-000001000000}" name="Item Number"/>
    <tableColumn id="2" xr3:uid="{00000000-0010-0000-0400-000002000000}" name="Storage Location"/>
    <tableColumn id="3" xr3:uid="{00000000-0010-0000-0400-000003000000}" name="Stock Status"/>
    <tableColumn id="4" xr3:uid="{00000000-0010-0000-0400-000004000000}" name="Physical Qty"/>
    <tableColumn id="5" xr3:uid="{00000000-0010-0000-0400-000005000000}" name="Blocked"/>
    <tableColumn id="6" xr3:uid="{00000000-0010-0000-0400-000006000000}" name="QI"/>
    <tableColumn id="7" xr3:uid="{00000000-0010-0000-0400-000007000000}" name="Damaged"/>
    <tableColumn id="8" xr3:uid="{00000000-0010-0000-0400-000008000000}" name="Base UoM"/>
    <tableColumn id="9" xr3:uid="{00000000-0010-0000-0400-000009000000}" name="Unit Cost"/>
    <tableColumn id="10" xr3:uid="{00000000-0010-0000-0400-00000A000000}" name="Currency"/>
    <tableColumn id="11" xr3:uid="{00000000-0010-0000-0400-00000B000000}" name="Stocktake Date"/>
    <tableColumn id="12" xr3:uid="{00000000-0010-0000-0400-00000C000000}" name="Serial Batch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nsignmentStressTable" displayName="ConsignmentStressTable" ref="A5:L19" totalsRowShown="0">
  <autoFilter ref="A5:L19" xr:uid="{00000000-0009-0000-0100-000006000000}"/>
  <tableColumns count="12">
    <tableColumn id="1" xr3:uid="{00000000-0010-0000-0500-000001000000}" name="SKU"/>
    <tableColumn id="2" xr3:uid="{00000000-0010-0000-0500-000002000000}" name="Warehouse"/>
    <tableColumn id="3" xr3:uid="{00000000-0010-0000-0500-000003000000}" name="Inventory Status"/>
    <tableColumn id="4" xr3:uid="{00000000-0010-0000-0500-000004000000}" name="On Hand"/>
    <tableColumn id="5" xr3:uid="{00000000-0010-0000-0500-000005000000}" name="Reserved Qty"/>
    <tableColumn id="6" xr3:uid="{00000000-0010-0000-0500-000006000000}" name="Hold"/>
    <tableColumn id="7" xr3:uid="{00000000-0010-0000-0500-000007000000}" name="Damaged Quantity"/>
    <tableColumn id="8" xr3:uid="{00000000-0010-0000-0500-000008000000}" name="UOM"/>
    <tableColumn id="9" xr3:uid="{00000000-0010-0000-0500-000009000000}" name="Cost Per Unit"/>
    <tableColumn id="10" xr3:uid="{00000000-0010-0000-0500-00000A000000}" name="Local Currency"/>
    <tableColumn id="11" xr3:uid="{00000000-0010-0000-0500-00000B000000}" name="Inventory Date"/>
    <tableColumn id="12" xr3:uid="{00000000-0010-0000-0500-00000C000000}" name="Batch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onthlyDemandStressTable" displayName="MonthlyDemandStressTable" ref="A4:G256" totalsRowShown="0">
  <autoFilter ref="A4:G256" xr:uid="{00000000-0009-0000-0100-000007000000}"/>
  <tableColumns count="7">
    <tableColumn id="1" xr3:uid="{00000000-0010-0000-0600-000001000000}" name="Fiscal Month End"/>
    <tableColumn id="2" xr3:uid="{00000000-0010-0000-0600-000002000000}" name="SKU / Style"/>
    <tableColumn id="3" xr3:uid="{00000000-0010-0000-0600-000003000000}" name="Sales Channel"/>
    <tableColumn id="4" xr3:uid="{00000000-0010-0000-0600-000004000000}" name="Gross Units"/>
    <tableColumn id="5" xr3:uid="{00000000-0010-0000-0600-000005000000}" name="Returns Units"/>
    <tableColumn id="6" xr3:uid="{00000000-0010-0000-0600-000006000000}" name="Avg Net Price USD"/>
    <tableColumn id="7" xr3:uid="{00000000-0010-0000-0600-000007000000}" name="Net Demand Units Helper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penProcurementStressTable" displayName="OpenProcurementStressTable" ref="A5:J34" totalsRowShown="0">
  <autoFilter ref="A5:J34" xr:uid="{00000000-0009-0000-0100-000008000000}"/>
  <tableColumns count="10">
    <tableColumn id="1" xr3:uid="{00000000-0010-0000-0700-000001000000}" name="Purchase Order"/>
    <tableColumn id="2" xr3:uid="{00000000-0010-0000-0700-000002000000}" name="Client Item"/>
    <tableColumn id="3" xr3:uid="{00000000-0010-0000-0700-000003000000}" name="Ship From"/>
    <tableColumn id="4" xr3:uid="{00000000-0010-0000-0700-000004000000}" name="Ship To"/>
    <tableColumn id="5" xr3:uid="{00000000-0010-0000-0700-000005000000}" name="Open Quantity"/>
    <tableColumn id="6" xr3:uid="{00000000-0010-0000-0700-000006000000}" name="Order UOM"/>
    <tableColumn id="7" xr3:uid="{00000000-0010-0000-0700-000007000000}" name="Expected Receipt"/>
    <tableColumn id="8" xr3:uid="{00000000-0010-0000-0700-000008000000}" name="PO Status"/>
    <tableColumn id="9" xr3:uid="{00000000-0010-0000-0700-000009000000}" name="PO Unit Price"/>
    <tableColumn id="10" xr3:uid="{00000000-0010-0000-0700-00000A000000}" name="PO Currency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NetworkTransferStressTable" displayName="NetworkTransferStressTable" ref="A4:J18" totalsRowShown="0">
  <autoFilter ref="A4:J18" xr:uid="{00000000-0009-0000-0100-000009000000}"/>
  <tableColumns count="10">
    <tableColumn id="1" xr3:uid="{00000000-0010-0000-0800-000001000000}" name="Transfer ID"/>
    <tableColumn id="2" xr3:uid="{00000000-0010-0000-0800-000002000000}" name="Material"/>
    <tableColumn id="3" xr3:uid="{00000000-0010-0000-0800-000003000000}" name="From Site"/>
    <tableColumn id="4" xr3:uid="{00000000-0010-0000-0800-000004000000}" name="To Site"/>
    <tableColumn id="5" xr3:uid="{00000000-0010-0000-0800-000005000000}" name="In Transit Qty"/>
    <tableColumn id="6" xr3:uid="{00000000-0010-0000-0800-000006000000}" name="Qty UOM"/>
    <tableColumn id="7" xr3:uid="{00000000-0010-0000-0800-000007000000}" name="ETA"/>
    <tableColumn id="8" xr3:uid="{00000000-0010-0000-0800-000008000000}" name="Movement Status"/>
    <tableColumn id="9" xr3:uid="{00000000-0010-0000-0800-000009000000}" name="Declared Cost"/>
    <tableColumn id="10" xr3:uid="{00000000-0010-0000-0800-00000A000000}" name="Currency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eferenceFxStressTable" displayName="ReferenceFxStressTable" ref="A4:C8" totalsRowShown="0">
  <tableColumns count="3">
    <tableColumn id="1" xr3:uid="{00000000-0010-0000-0900-000001000000}" name="Curr"/>
    <tableColumn id="2" xr3:uid="{00000000-0010-0000-0900-000002000000}" name="USD per Local Currency"/>
    <tableColumn id="3" xr3:uid="{00000000-0010-0000-0900-000003000000}" name="FX Date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eadTimePolicyStressTable" displayName="LeadTimePolicyStressTable" ref="E4:H9" totalsRowShown="0">
  <tableColumns count="4">
    <tableColumn id="1" xr3:uid="{00000000-0010-0000-0A00-000001000000}" name="Policy Class"/>
    <tableColumn id="2" xr3:uid="{00000000-0010-0000-0A00-000002000000}" name="Default Lead Time Days"/>
    <tableColumn id="3" xr3:uid="{00000000-0010-0000-0A00-000003000000}" name="Safety Stock Days"/>
    <tableColumn id="4" xr3:uid="{00000000-0010-0000-0A00-000004000000}" name="Owner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egionalFinanceStressTable" displayName="RegionalFinanceStressTable" ref="A4:G31" totalsRowShown="0">
  <autoFilter ref="A4:G31" xr:uid="{00000000-0009-0000-0100-00000C000000}"/>
  <tableColumns count="7">
    <tableColumn id="1" xr3:uid="{00000000-0010-0000-0B00-000001000000}" name="Fiscal Period"/>
    <tableColumn id="2" xr3:uid="{00000000-0010-0000-0B00-000002000000}" name="Region"/>
    <tableColumn id="3" xr3:uid="{00000000-0010-0000-0B00-000003000000}" name="Revenue"/>
    <tableColumn id="4" xr3:uid="{00000000-0010-0000-0B00-000004000000}" name="COGS"/>
    <tableColumn id="5" xr3:uid="{00000000-0010-0000-0B00-000005000000}" name="Operating Expense"/>
    <tableColumn id="6" xr3:uid="{00000000-0010-0000-0B00-000006000000}" name="Gross Profit"/>
    <tableColumn id="7" xr3:uid="{00000000-0010-0000-0B00-000007000000}" name="EBITDA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reasuryStressTable" displayName="TreasuryStressTable" ref="A5:F17" totalsRowShown="0">
  <autoFilter ref="A5:F17" xr:uid="{00000000-0009-0000-0100-00000D000000}"/>
  <tableColumns count="6">
    <tableColumn id="1" xr3:uid="{00000000-0010-0000-0C00-000001000000}" name="Week Ending"/>
    <tableColumn id="2" xr3:uid="{00000000-0010-0000-0C00-000002000000}" name="Opening Cash"/>
    <tableColumn id="3" xr3:uid="{00000000-0010-0000-0C00-000003000000}" name="Net Cash Flow"/>
    <tableColumn id="4" xr3:uid="{00000000-0010-0000-0C00-000004000000}" name="Closing Cash"/>
    <tableColumn id="5" xr3:uid="{00000000-0010-0000-0C00-000005000000}" name="Minimum Buffer"/>
    <tableColumn id="6" xr3:uid="{00000000-0010-0000-0C00-000006000000}" name="Owner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JournalStressTable" displayName="JournalStressTable" ref="A4:H34" totalsRowShown="0">
  <autoFilter ref="A4:H34" xr:uid="{00000000-0009-0000-0100-00000E000000}"/>
  <tableColumns count="8">
    <tableColumn id="1" xr3:uid="{00000000-0010-0000-0D00-000001000000}" name="Journal ID"/>
    <tableColumn id="2" xr3:uid="{00000000-0010-0000-0D00-000002000000}" name="Posting Date"/>
    <tableColumn id="3" xr3:uid="{00000000-0010-0000-0D00-000003000000}" name="Account"/>
    <tableColumn id="4" xr3:uid="{00000000-0010-0000-0D00-000004000000}" name="Narrative"/>
    <tableColumn id="5" xr3:uid="{00000000-0010-0000-0D00-000005000000}" name="Debit"/>
    <tableColumn id="6" xr3:uid="{00000000-0010-0000-0D00-000006000000}" name="Credit"/>
    <tableColumn id="7" xr3:uid="{00000000-0010-0000-0D00-000007000000}" name="Ledger Currency"/>
    <tableColumn id="8" xr3:uid="{00000000-0010-0000-0D00-000008000000}" name="Approval Status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MarketingStressTable" displayName="MarketingStressTable" ref="A6:G26" totalsRowShown="0">
  <autoFilter ref="A6:G26" xr:uid="{00000000-0009-0000-0100-00000F000000}"/>
  <tableColumns count="7">
    <tableColumn id="1" xr3:uid="{00000000-0010-0000-0E00-000001000000}" name="Campaign"/>
    <tableColumn id="2" xr3:uid="{00000000-0010-0000-0E00-000002000000}" name="Channel Group"/>
    <tableColumn id="3" xr3:uid="{00000000-0010-0000-0E00-000003000000}" name="Region"/>
    <tableColumn id="4" xr3:uid="{00000000-0010-0000-0E00-000004000000}" name="Committed Spend"/>
    <tableColumn id="5" xr3:uid="{00000000-0010-0000-0E00-000005000000}" name="Forecast Confidence"/>
    <tableColumn id="6" xr3:uid="{00000000-0010-0000-0E00-000006000000}" name="Launch Date"/>
    <tableColumn id="7" xr3:uid="{00000000-0010-0000-0E00-000007000000}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D50979-1C6F-5D45-ACEC-C0AF0D3FCD93}">
  <we:reference id="cd2a98a3-844d-4f25-9a17-4c48c094bb09" version="1.0.0.1" store="developer" storeType="Registry"/>
  <we:alternateReferences/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workbookViewId="0">
      <selection sqref="A1:H1"/>
    </sheetView>
  </sheetViews>
  <sheetFormatPr baseColWidth="10" defaultColWidth="8.83203125" defaultRowHeight="14"/>
  <cols>
    <col min="1" max="1" width="13" customWidth="1"/>
    <col min="2" max="2" width="22" customWidth="1"/>
    <col min="3" max="3" width="74" customWidth="1"/>
    <col min="4" max="8" width="12" customWidth="1"/>
  </cols>
  <sheetData>
    <row r="1" spans="1:8" ht="30" customHeight="1">
      <c r="A1" s="27" t="s">
        <v>0</v>
      </c>
      <c r="B1" s="27"/>
      <c r="C1" s="27"/>
      <c r="D1" s="27"/>
      <c r="E1" s="27"/>
      <c r="F1" s="27"/>
      <c r="G1" s="27"/>
      <c r="H1" s="27"/>
    </row>
    <row r="2" spans="1:8" ht="26" customHeight="1">
      <c r="A2" s="28" t="s">
        <v>1</v>
      </c>
      <c r="B2" s="28"/>
      <c r="C2" s="28"/>
      <c r="D2" s="28"/>
      <c r="E2" s="28"/>
      <c r="F2" s="28"/>
      <c r="G2" s="28"/>
      <c r="H2" s="28"/>
    </row>
    <row r="4" spans="1:8" ht="17">
      <c r="A4" s="29" t="s">
        <v>2</v>
      </c>
      <c r="B4" s="29"/>
      <c r="C4" s="29"/>
      <c r="D4" s="29"/>
      <c r="E4" s="29"/>
      <c r="F4" s="29"/>
      <c r="G4" s="29"/>
      <c r="H4" s="29"/>
    </row>
    <row r="5" spans="1:8" ht="32" customHeight="1">
      <c r="A5" s="1" t="s">
        <v>3</v>
      </c>
      <c r="B5" s="30" t="s">
        <v>4</v>
      </c>
      <c r="C5" s="31"/>
      <c r="D5" s="31"/>
      <c r="E5" s="31"/>
      <c r="F5" s="31"/>
      <c r="G5" s="31"/>
      <c r="H5" s="32"/>
    </row>
    <row r="6" spans="1:8" ht="32" customHeight="1">
      <c r="A6" s="1" t="s">
        <v>5</v>
      </c>
      <c r="B6" s="33" t="s">
        <v>6</v>
      </c>
      <c r="C6" s="34"/>
      <c r="D6" s="34"/>
      <c r="E6" s="34"/>
      <c r="F6" s="34"/>
      <c r="G6" s="34"/>
      <c r="H6" s="35"/>
    </row>
    <row r="7" spans="1:8" ht="32" customHeight="1">
      <c r="A7" s="1" t="s">
        <v>7</v>
      </c>
      <c r="B7" s="33" t="s">
        <v>8</v>
      </c>
      <c r="C7" s="34"/>
      <c r="D7" s="34"/>
      <c r="E7" s="34"/>
      <c r="F7" s="34"/>
      <c r="G7" s="34"/>
      <c r="H7" s="35"/>
    </row>
    <row r="8" spans="1:8" ht="32" customHeight="1">
      <c r="A8" s="1" t="s">
        <v>9</v>
      </c>
      <c r="B8" s="33" t="s">
        <v>10</v>
      </c>
      <c r="C8" s="34"/>
      <c r="D8" s="34"/>
      <c r="E8" s="34"/>
      <c r="F8" s="34"/>
      <c r="G8" s="34"/>
      <c r="H8" s="35"/>
    </row>
    <row r="9" spans="1:8" ht="32" customHeight="1">
      <c r="A9" s="1" t="s">
        <v>11</v>
      </c>
      <c r="B9" s="36" t="s">
        <v>12</v>
      </c>
      <c r="C9" s="37"/>
      <c r="D9" s="37"/>
      <c r="E9" s="37"/>
      <c r="F9" s="37"/>
      <c r="G9" s="37"/>
      <c r="H9" s="38"/>
    </row>
    <row r="11" spans="1:8" ht="17">
      <c r="A11" s="39" t="s">
        <v>13</v>
      </c>
      <c r="B11" s="39"/>
      <c r="C11" s="39"/>
      <c r="D11" s="39"/>
      <c r="E11" s="39"/>
      <c r="F11" s="39"/>
      <c r="G11" s="39"/>
      <c r="H11" s="39"/>
    </row>
    <row r="12" spans="1:8" ht="15">
      <c r="A12" s="3" t="s">
        <v>14</v>
      </c>
      <c r="B12" s="4" t="s">
        <v>15</v>
      </c>
      <c r="C12" s="5" t="s">
        <v>16</v>
      </c>
    </row>
    <row r="13" spans="1:8" ht="15">
      <c r="A13" s="6" t="s">
        <v>14</v>
      </c>
      <c r="B13" s="7" t="s">
        <v>17</v>
      </c>
      <c r="C13" s="8" t="s">
        <v>18</v>
      </c>
    </row>
    <row r="14" spans="1:8" ht="15">
      <c r="A14" s="6" t="s">
        <v>14</v>
      </c>
      <c r="B14" s="7" t="s">
        <v>19</v>
      </c>
      <c r="C14" s="8" t="s">
        <v>20</v>
      </c>
    </row>
    <row r="15" spans="1:8" ht="15">
      <c r="A15" s="9" t="s">
        <v>21</v>
      </c>
      <c r="B15" s="10" t="s">
        <v>22</v>
      </c>
      <c r="C15" s="11" t="s">
        <v>23</v>
      </c>
    </row>
    <row r="16" spans="1:8" ht="15">
      <c r="A16" s="9" t="s">
        <v>21</v>
      </c>
      <c r="B16" s="10" t="s">
        <v>24</v>
      </c>
      <c r="C16" s="11" t="s">
        <v>25</v>
      </c>
    </row>
    <row r="17" spans="1:3" ht="15">
      <c r="A17" s="9" t="s">
        <v>26</v>
      </c>
      <c r="B17" s="10" t="s">
        <v>27</v>
      </c>
      <c r="C17" s="11" t="s">
        <v>28</v>
      </c>
    </row>
    <row r="18" spans="1:3" ht="15">
      <c r="A18" s="12" t="s">
        <v>26</v>
      </c>
      <c r="B18" s="13" t="s">
        <v>29</v>
      </c>
      <c r="C18" s="14" t="s">
        <v>30</v>
      </c>
    </row>
    <row r="19" spans="1:3" ht="15">
      <c r="A19" s="12" t="s">
        <v>31</v>
      </c>
      <c r="B19" s="13" t="s">
        <v>32</v>
      </c>
      <c r="C19" s="14" t="s">
        <v>33</v>
      </c>
    </row>
    <row r="20" spans="1:3" ht="15">
      <c r="A20" s="12" t="s">
        <v>31</v>
      </c>
      <c r="B20" s="13" t="s">
        <v>34</v>
      </c>
      <c r="C20" s="14" t="s">
        <v>35</v>
      </c>
    </row>
    <row r="21" spans="1:3" ht="15">
      <c r="A21" s="15" t="s">
        <v>36</v>
      </c>
      <c r="B21" s="16" t="s">
        <v>37</v>
      </c>
      <c r="C21" s="17" t="s">
        <v>38</v>
      </c>
    </row>
  </sheetData>
  <mergeCells count="9">
    <mergeCell ref="B7:H7"/>
    <mergeCell ref="B8:H8"/>
    <mergeCell ref="B9:H9"/>
    <mergeCell ref="A11:H11"/>
    <mergeCell ref="A1:H1"/>
    <mergeCell ref="A2:H2"/>
    <mergeCell ref="A4:H4"/>
    <mergeCell ref="B5:H5"/>
    <mergeCell ref="B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showGridLines="0" tabSelected="1" workbookViewId="0">
      <selection sqref="A1:I1"/>
    </sheetView>
  </sheetViews>
  <sheetFormatPr baseColWidth="10" defaultColWidth="8.83203125" defaultRowHeight="14"/>
  <cols>
    <col min="1" max="1" width="14" customWidth="1"/>
    <col min="2" max="2" width="31" customWidth="1"/>
    <col min="3" max="3" width="18" customWidth="1"/>
    <col min="4" max="4" width="32" customWidth="1"/>
    <col min="5" max="6" width="12" customWidth="1"/>
    <col min="7" max="7" width="18" customWidth="1"/>
    <col min="8" max="9" width="14" customWidth="1"/>
  </cols>
  <sheetData>
    <row r="1" spans="1:9" ht="30" customHeight="1">
      <c r="A1" s="27" t="s">
        <v>39</v>
      </c>
      <c r="B1" s="27"/>
      <c r="C1" s="27"/>
      <c r="D1" s="27"/>
      <c r="E1" s="27"/>
      <c r="F1" s="27"/>
      <c r="G1" s="27"/>
      <c r="H1" s="27"/>
      <c r="I1" s="27"/>
    </row>
    <row r="2" spans="1:9" ht="26" customHeight="1">
      <c r="A2" s="28" t="s">
        <v>40</v>
      </c>
      <c r="B2" s="28"/>
      <c r="C2" s="28"/>
      <c r="D2" s="28"/>
      <c r="E2" s="28"/>
      <c r="F2" s="28"/>
      <c r="G2" s="28"/>
      <c r="H2" s="28"/>
      <c r="I2" s="28"/>
    </row>
    <row r="4" spans="1:9" ht="32" customHeight="1">
      <c r="A4" s="18" t="s">
        <v>41</v>
      </c>
      <c r="B4" s="18" t="s">
        <v>42</v>
      </c>
      <c r="C4" s="18" t="s">
        <v>43</v>
      </c>
      <c r="D4" s="18" t="s">
        <v>44</v>
      </c>
      <c r="E4" s="18" t="s">
        <v>45</v>
      </c>
      <c r="F4" s="18" t="s">
        <v>46</v>
      </c>
      <c r="G4" s="18" t="s">
        <v>47</v>
      </c>
      <c r="H4" s="18" t="s">
        <v>48</v>
      </c>
      <c r="I4" s="18" t="s">
        <v>49</v>
      </c>
    </row>
    <row r="5" spans="1:9">
      <c r="A5" t="s">
        <v>50</v>
      </c>
      <c r="B5" t="s">
        <v>51</v>
      </c>
      <c r="C5" t="s">
        <v>52</v>
      </c>
      <c r="D5" t="s">
        <v>53</v>
      </c>
      <c r="E5" t="s">
        <v>54</v>
      </c>
      <c r="F5" s="19">
        <v>10</v>
      </c>
      <c r="G5" s="19">
        <v>310</v>
      </c>
      <c r="H5" t="s">
        <v>55</v>
      </c>
      <c r="I5" t="s">
        <v>56</v>
      </c>
    </row>
    <row r="6" spans="1:9">
      <c r="A6" t="s">
        <v>57</v>
      </c>
      <c r="B6" t="s">
        <v>58</v>
      </c>
      <c r="C6" t="s">
        <v>52</v>
      </c>
      <c r="D6" t="s">
        <v>59</v>
      </c>
      <c r="E6" t="s">
        <v>54</v>
      </c>
      <c r="F6" s="19">
        <v>8</v>
      </c>
      <c r="G6" s="19">
        <v>420</v>
      </c>
      <c r="H6" t="s">
        <v>55</v>
      </c>
      <c r="I6" t="s">
        <v>56</v>
      </c>
    </row>
    <row r="7" spans="1:9">
      <c r="A7" t="s">
        <v>60</v>
      </c>
      <c r="B7" t="s">
        <v>61</v>
      </c>
      <c r="C7" t="s">
        <v>62</v>
      </c>
      <c r="D7" t="s">
        <v>63</v>
      </c>
      <c r="E7" t="s">
        <v>54</v>
      </c>
      <c r="F7" s="19">
        <v>4</v>
      </c>
      <c r="G7" s="19">
        <v>735</v>
      </c>
      <c r="H7" t="s">
        <v>55</v>
      </c>
      <c r="I7" t="s">
        <v>56</v>
      </c>
    </row>
    <row r="8" spans="1:9">
      <c r="A8" t="s">
        <v>64</v>
      </c>
      <c r="B8" t="s">
        <v>65</v>
      </c>
      <c r="C8" t="s">
        <v>62</v>
      </c>
      <c r="D8" t="s">
        <v>66</v>
      </c>
      <c r="E8" t="s">
        <v>54</v>
      </c>
      <c r="F8" s="19">
        <v>6</v>
      </c>
      <c r="G8" s="19">
        <v>310</v>
      </c>
      <c r="H8" t="s">
        <v>55</v>
      </c>
      <c r="I8" t="s">
        <v>56</v>
      </c>
    </row>
    <row r="9" spans="1:9">
      <c r="A9" t="s">
        <v>67</v>
      </c>
      <c r="B9" t="s">
        <v>68</v>
      </c>
      <c r="C9" t="s">
        <v>69</v>
      </c>
      <c r="D9" t="s">
        <v>70</v>
      </c>
      <c r="E9" t="s">
        <v>54</v>
      </c>
      <c r="F9" s="19">
        <v>12</v>
      </c>
      <c r="G9" s="19">
        <v>86</v>
      </c>
      <c r="H9" t="s">
        <v>55</v>
      </c>
      <c r="I9" t="s">
        <v>56</v>
      </c>
    </row>
    <row r="10" spans="1:9">
      <c r="A10" t="s">
        <v>71</v>
      </c>
      <c r="B10" t="s">
        <v>72</v>
      </c>
      <c r="C10" t="s">
        <v>69</v>
      </c>
      <c r="D10" t="s">
        <v>73</v>
      </c>
      <c r="E10" t="s">
        <v>54</v>
      </c>
      <c r="F10" s="19">
        <v>24</v>
      </c>
      <c r="G10" s="19">
        <v>44</v>
      </c>
      <c r="H10" t="s">
        <v>55</v>
      </c>
      <c r="I10" t="s">
        <v>56</v>
      </c>
    </row>
    <row r="11" spans="1:9">
      <c r="A11" t="s">
        <v>74</v>
      </c>
      <c r="B11" t="s">
        <v>75</v>
      </c>
      <c r="C11" t="s">
        <v>76</v>
      </c>
      <c r="D11" t="s">
        <v>77</v>
      </c>
      <c r="E11" t="s">
        <v>54</v>
      </c>
      <c r="F11" s="19">
        <v>10</v>
      </c>
      <c r="G11" s="19">
        <v>63</v>
      </c>
      <c r="H11" t="s">
        <v>55</v>
      </c>
      <c r="I11" t="s">
        <v>56</v>
      </c>
    </row>
    <row r="12" spans="1:9">
      <c r="A12" t="s">
        <v>78</v>
      </c>
      <c r="B12" t="s">
        <v>79</v>
      </c>
      <c r="C12" t="s">
        <v>76</v>
      </c>
      <c r="D12" t="s">
        <v>80</v>
      </c>
      <c r="E12" t="s">
        <v>54</v>
      </c>
      <c r="F12" s="19">
        <v>20</v>
      </c>
      <c r="G12" s="19">
        <v>31</v>
      </c>
      <c r="H12" t="s">
        <v>55</v>
      </c>
      <c r="I12" t="s">
        <v>56</v>
      </c>
    </row>
    <row r="13" spans="1:9">
      <c r="A13" t="s">
        <v>81</v>
      </c>
      <c r="B13" t="s">
        <v>82</v>
      </c>
      <c r="C13" t="s">
        <v>83</v>
      </c>
      <c r="D13" t="s">
        <v>84</v>
      </c>
      <c r="E13" t="s">
        <v>54</v>
      </c>
      <c r="F13" s="19">
        <v>8</v>
      </c>
      <c r="G13" s="19">
        <v>57</v>
      </c>
      <c r="H13" t="s">
        <v>55</v>
      </c>
      <c r="I13" t="s">
        <v>56</v>
      </c>
    </row>
    <row r="14" spans="1:9">
      <c r="A14" t="s">
        <v>85</v>
      </c>
      <c r="B14" t="s">
        <v>86</v>
      </c>
      <c r="C14" t="s">
        <v>83</v>
      </c>
      <c r="D14" t="s">
        <v>87</v>
      </c>
      <c r="E14" t="s">
        <v>54</v>
      </c>
      <c r="F14" s="19">
        <v>6</v>
      </c>
      <c r="G14" s="19">
        <v>71</v>
      </c>
      <c r="H14" t="s">
        <v>55</v>
      </c>
      <c r="I14" t="s">
        <v>56</v>
      </c>
    </row>
    <row r="15" spans="1:9">
      <c r="A15" t="s">
        <v>88</v>
      </c>
      <c r="B15" t="s">
        <v>89</v>
      </c>
      <c r="C15" t="s">
        <v>90</v>
      </c>
      <c r="D15" t="s">
        <v>91</v>
      </c>
      <c r="E15" t="s">
        <v>54</v>
      </c>
      <c r="F15" s="19">
        <v>30</v>
      </c>
      <c r="G15" s="19">
        <v>14</v>
      </c>
      <c r="H15" t="s">
        <v>92</v>
      </c>
      <c r="I15" t="s">
        <v>56</v>
      </c>
    </row>
    <row r="16" spans="1:9">
      <c r="A16" t="s">
        <v>93</v>
      </c>
      <c r="B16" t="s">
        <v>94</v>
      </c>
      <c r="C16" t="s">
        <v>90</v>
      </c>
      <c r="D16" t="s">
        <v>95</v>
      </c>
      <c r="E16" t="s">
        <v>54</v>
      </c>
      <c r="F16" s="19">
        <v>50</v>
      </c>
      <c r="G16" s="19">
        <v>4.2</v>
      </c>
      <c r="H16" t="s">
        <v>92</v>
      </c>
      <c r="I16" t="s">
        <v>56</v>
      </c>
    </row>
    <row r="17" spans="1:9">
      <c r="A17" t="s">
        <v>96</v>
      </c>
      <c r="B17" t="s">
        <v>97</v>
      </c>
      <c r="C17" t="s">
        <v>98</v>
      </c>
      <c r="D17" t="s">
        <v>99</v>
      </c>
      <c r="E17" t="s">
        <v>54</v>
      </c>
      <c r="F17" s="19">
        <v>5</v>
      </c>
      <c r="G17" s="19">
        <v>95</v>
      </c>
      <c r="H17" t="s">
        <v>100</v>
      </c>
      <c r="I17" t="s">
        <v>56</v>
      </c>
    </row>
    <row r="18" spans="1:9">
      <c r="A18" t="s">
        <v>101</v>
      </c>
      <c r="B18" t="s">
        <v>102</v>
      </c>
      <c r="C18" t="s">
        <v>98</v>
      </c>
      <c r="D18" t="s">
        <v>103</v>
      </c>
      <c r="E18" t="s">
        <v>54</v>
      </c>
      <c r="F18" s="19">
        <v>8</v>
      </c>
      <c r="G18" s="19">
        <v>16500</v>
      </c>
      <c r="H18" t="s">
        <v>104</v>
      </c>
      <c r="I18" t="s">
        <v>105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showGridLines="0" workbookViewId="0"/>
  </sheetViews>
  <sheetFormatPr baseColWidth="10" defaultColWidth="8.83203125" defaultRowHeight="14"/>
  <cols>
    <col min="1" max="1" width="15" customWidth="1"/>
    <col min="2" max="2" width="13" customWidth="1"/>
    <col min="3" max="3" width="16" customWidth="1"/>
    <col min="4" max="5" width="18" customWidth="1"/>
    <col min="6" max="6" width="10" customWidth="1"/>
    <col min="7" max="7" width="15" customWidth="1"/>
    <col min="8" max="8" width="12" customWidth="1"/>
    <col min="9" max="9" width="14" customWidth="1"/>
    <col min="10" max="10" width="22" customWidth="1"/>
    <col min="11" max="11" width="15" customWidth="1"/>
    <col min="12" max="12" width="18" customWidth="1"/>
  </cols>
  <sheetData>
    <row r="1" spans="1:12" ht="30" customHeight="1">
      <c r="A1" s="27" t="s">
        <v>106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6" customHeight="1">
      <c r="A2" s="28" t="s">
        <v>107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5" spans="1:12" ht="32" customHeight="1">
      <c r="A5" s="18" t="s">
        <v>108</v>
      </c>
      <c r="B5" s="18" t="s">
        <v>109</v>
      </c>
      <c r="C5" s="18" t="s">
        <v>110</v>
      </c>
      <c r="D5" s="18" t="s">
        <v>111</v>
      </c>
      <c r="E5" s="18" t="s">
        <v>112</v>
      </c>
      <c r="F5" s="18" t="s">
        <v>113</v>
      </c>
      <c r="G5" s="18" t="s">
        <v>114</v>
      </c>
      <c r="H5" s="18" t="s">
        <v>115</v>
      </c>
      <c r="I5" s="18" t="s">
        <v>116</v>
      </c>
      <c r="J5" s="18" t="s">
        <v>117</v>
      </c>
      <c r="K5" s="18" t="s">
        <v>118</v>
      </c>
      <c r="L5" s="18" t="s">
        <v>119</v>
      </c>
    </row>
    <row r="6" spans="1:12">
      <c r="A6" t="s">
        <v>120</v>
      </c>
      <c r="B6" t="s">
        <v>121</v>
      </c>
      <c r="C6" t="s">
        <v>122</v>
      </c>
      <c r="D6" s="19">
        <v>4</v>
      </c>
      <c r="E6" s="19">
        <v>8</v>
      </c>
      <c r="F6" s="19">
        <v>3</v>
      </c>
      <c r="G6" s="19">
        <v>2</v>
      </c>
      <c r="H6" t="s">
        <v>123</v>
      </c>
      <c r="I6" s="19">
        <v>310</v>
      </c>
      <c r="J6" t="s">
        <v>55</v>
      </c>
      <c r="K6" s="20">
        <v>46235</v>
      </c>
      <c r="L6" t="s">
        <v>124</v>
      </c>
    </row>
    <row r="7" spans="1:12">
      <c r="A7" t="s">
        <v>120</v>
      </c>
      <c r="B7" t="s">
        <v>125</v>
      </c>
      <c r="C7" t="s">
        <v>122</v>
      </c>
      <c r="D7" s="19">
        <v>84</v>
      </c>
      <c r="E7" s="19">
        <v>0</v>
      </c>
      <c r="F7" s="19">
        <v>0</v>
      </c>
      <c r="G7" s="19">
        <v>0</v>
      </c>
      <c r="H7" t="s">
        <v>54</v>
      </c>
      <c r="I7" s="19">
        <v>310</v>
      </c>
      <c r="J7" t="s">
        <v>55</v>
      </c>
      <c r="K7" s="20">
        <v>46235</v>
      </c>
      <c r="L7" t="s">
        <v>126</v>
      </c>
    </row>
    <row r="8" spans="1:12">
      <c r="A8" t="s">
        <v>57</v>
      </c>
      <c r="B8" t="s">
        <v>121</v>
      </c>
      <c r="C8" t="s">
        <v>122</v>
      </c>
      <c r="D8" s="19">
        <v>102</v>
      </c>
      <c r="E8" s="19">
        <v>0</v>
      </c>
      <c r="F8" s="19">
        <v>0</v>
      </c>
      <c r="G8" s="19">
        <v>0</v>
      </c>
      <c r="H8" t="s">
        <v>54</v>
      </c>
      <c r="I8" s="19">
        <v>420</v>
      </c>
      <c r="J8" t="s">
        <v>55</v>
      </c>
      <c r="K8" s="20">
        <v>46235</v>
      </c>
      <c r="L8" t="s">
        <v>127</v>
      </c>
    </row>
    <row r="9" spans="1:12">
      <c r="A9" t="s">
        <v>57</v>
      </c>
      <c r="B9" t="s">
        <v>125</v>
      </c>
      <c r="C9" t="s">
        <v>122</v>
      </c>
      <c r="D9" s="19">
        <v>121</v>
      </c>
      <c r="E9" s="19">
        <v>0</v>
      </c>
      <c r="F9" s="19">
        <v>0</v>
      </c>
      <c r="G9" s="19">
        <v>0</v>
      </c>
      <c r="H9" t="s">
        <v>54</v>
      </c>
      <c r="I9" s="19">
        <v>420</v>
      </c>
      <c r="J9" t="s">
        <v>55</v>
      </c>
      <c r="K9" s="20">
        <v>46235</v>
      </c>
      <c r="L9" t="s">
        <v>128</v>
      </c>
    </row>
    <row r="10" spans="1:12">
      <c r="A10" t="s">
        <v>60</v>
      </c>
      <c r="B10" t="s">
        <v>121</v>
      </c>
      <c r="C10" t="s">
        <v>122</v>
      </c>
      <c r="D10" s="19">
        <v>139</v>
      </c>
      <c r="E10" s="19">
        <v>0</v>
      </c>
      <c r="F10" s="19">
        <v>0</v>
      </c>
      <c r="G10" s="19">
        <v>0</v>
      </c>
      <c r="H10" t="s">
        <v>54</v>
      </c>
      <c r="I10" s="19">
        <v>735</v>
      </c>
      <c r="J10" t="s">
        <v>55</v>
      </c>
      <c r="K10" s="20">
        <v>46235</v>
      </c>
      <c r="L10" t="s">
        <v>129</v>
      </c>
    </row>
    <row r="11" spans="1:12">
      <c r="A11" t="s">
        <v>60</v>
      </c>
      <c r="B11" t="s">
        <v>125</v>
      </c>
      <c r="C11" t="s">
        <v>122</v>
      </c>
      <c r="D11" s="19">
        <v>158</v>
      </c>
      <c r="E11" s="19">
        <v>0</v>
      </c>
      <c r="F11" s="19">
        <v>0</v>
      </c>
      <c r="G11" s="19">
        <v>0</v>
      </c>
      <c r="H11" t="s">
        <v>54</v>
      </c>
      <c r="I11" s="19">
        <v>735</v>
      </c>
      <c r="J11" t="s">
        <v>55</v>
      </c>
      <c r="K11" s="20">
        <v>46235</v>
      </c>
      <c r="L11" t="s">
        <v>130</v>
      </c>
    </row>
    <row r="12" spans="1:12">
      <c r="A12" t="s">
        <v>64</v>
      </c>
      <c r="B12" t="s">
        <v>121</v>
      </c>
      <c r="C12" t="s">
        <v>122</v>
      </c>
      <c r="D12" s="19">
        <v>176</v>
      </c>
      <c r="E12" s="19">
        <v>0</v>
      </c>
      <c r="F12" s="19">
        <v>0</v>
      </c>
      <c r="G12" s="19">
        <v>0</v>
      </c>
      <c r="H12" t="s">
        <v>54</v>
      </c>
      <c r="I12" s="19">
        <v>310</v>
      </c>
      <c r="J12" t="s">
        <v>55</v>
      </c>
      <c r="K12" s="20">
        <v>46235</v>
      </c>
      <c r="L12" t="s">
        <v>131</v>
      </c>
    </row>
    <row r="13" spans="1:12">
      <c r="A13" t="s">
        <v>64</v>
      </c>
      <c r="B13" t="s">
        <v>125</v>
      </c>
      <c r="C13" t="s">
        <v>122</v>
      </c>
      <c r="D13" s="19">
        <v>7</v>
      </c>
      <c r="E13" s="19">
        <v>0</v>
      </c>
      <c r="F13" s="19">
        <v>0</v>
      </c>
      <c r="G13" s="19">
        <v>0</v>
      </c>
      <c r="H13" t="s">
        <v>123</v>
      </c>
      <c r="I13" s="19">
        <v>310</v>
      </c>
      <c r="J13" t="s">
        <v>55</v>
      </c>
      <c r="K13" s="20">
        <v>46235</v>
      </c>
      <c r="L13" t="s">
        <v>132</v>
      </c>
    </row>
    <row r="14" spans="1:12">
      <c r="A14" t="s">
        <v>67</v>
      </c>
      <c r="B14" t="s">
        <v>121</v>
      </c>
      <c r="C14" t="s">
        <v>122</v>
      </c>
      <c r="D14" s="19">
        <v>8</v>
      </c>
      <c r="E14" s="19">
        <v>0</v>
      </c>
      <c r="F14" s="19">
        <v>0</v>
      </c>
      <c r="G14" s="19">
        <v>0</v>
      </c>
      <c r="H14" t="s">
        <v>123</v>
      </c>
      <c r="I14" s="19">
        <v>86</v>
      </c>
      <c r="J14" t="s">
        <v>55</v>
      </c>
      <c r="K14" s="20">
        <v>46235</v>
      </c>
      <c r="L14" t="s">
        <v>133</v>
      </c>
    </row>
    <row r="15" spans="1:12">
      <c r="A15" t="s">
        <v>67</v>
      </c>
      <c r="B15" t="s">
        <v>125</v>
      </c>
      <c r="C15" t="s">
        <v>122</v>
      </c>
      <c r="D15" s="19">
        <v>232</v>
      </c>
      <c r="E15" s="19">
        <v>0</v>
      </c>
      <c r="F15" s="19">
        <v>0</v>
      </c>
      <c r="G15" s="19">
        <v>0</v>
      </c>
      <c r="H15" t="s">
        <v>54</v>
      </c>
      <c r="I15" s="19">
        <v>86</v>
      </c>
      <c r="J15" t="s">
        <v>55</v>
      </c>
      <c r="K15" s="20">
        <v>46235</v>
      </c>
      <c r="L15" t="s">
        <v>134</v>
      </c>
    </row>
    <row r="16" spans="1:12">
      <c r="A16" t="s">
        <v>135</v>
      </c>
      <c r="B16" t="s">
        <v>121</v>
      </c>
      <c r="C16" t="s">
        <v>122</v>
      </c>
      <c r="D16" s="19">
        <v>250</v>
      </c>
      <c r="E16" s="19">
        <v>0</v>
      </c>
      <c r="F16" s="19">
        <v>0</v>
      </c>
      <c r="G16" s="19">
        <v>0</v>
      </c>
      <c r="H16" t="s">
        <v>54</v>
      </c>
      <c r="I16" s="19">
        <v>44</v>
      </c>
      <c r="J16" t="s">
        <v>55</v>
      </c>
      <c r="K16" s="20">
        <v>46235</v>
      </c>
      <c r="L16" t="s">
        <v>136</v>
      </c>
    </row>
    <row r="17" spans="1:12">
      <c r="A17" t="s">
        <v>135</v>
      </c>
      <c r="B17" t="s">
        <v>125</v>
      </c>
      <c r="C17" t="s">
        <v>122</v>
      </c>
      <c r="D17" s="19">
        <v>269</v>
      </c>
      <c r="E17" s="19">
        <v>8</v>
      </c>
      <c r="F17" s="19">
        <v>0</v>
      </c>
      <c r="G17" s="19">
        <v>0</v>
      </c>
      <c r="H17" t="s">
        <v>54</v>
      </c>
      <c r="I17" s="19">
        <v>44</v>
      </c>
      <c r="J17" t="s">
        <v>55</v>
      </c>
      <c r="K17" s="20">
        <v>46235</v>
      </c>
      <c r="L17" t="s">
        <v>137</v>
      </c>
    </row>
    <row r="18" spans="1:12">
      <c r="A18" t="s">
        <v>74</v>
      </c>
      <c r="B18" t="s">
        <v>121</v>
      </c>
      <c r="C18" t="s">
        <v>122</v>
      </c>
      <c r="D18" s="19">
        <v>287</v>
      </c>
      <c r="E18" s="19">
        <v>8</v>
      </c>
      <c r="F18" s="19">
        <v>0</v>
      </c>
      <c r="G18" s="19">
        <v>0</v>
      </c>
      <c r="H18" t="s">
        <v>54</v>
      </c>
      <c r="I18" s="19">
        <v>63</v>
      </c>
      <c r="J18" t="s">
        <v>55</v>
      </c>
      <c r="K18" s="20">
        <v>46235</v>
      </c>
      <c r="L18" t="s">
        <v>138</v>
      </c>
    </row>
    <row r="19" spans="1:12">
      <c r="A19" t="s">
        <v>74</v>
      </c>
      <c r="B19" t="s">
        <v>125</v>
      </c>
      <c r="C19" t="s">
        <v>122</v>
      </c>
      <c r="D19" s="19">
        <v>66</v>
      </c>
      <c r="E19" s="19">
        <v>0</v>
      </c>
      <c r="F19" s="19">
        <v>0</v>
      </c>
      <c r="G19" s="19">
        <v>0</v>
      </c>
      <c r="H19" t="s">
        <v>54</v>
      </c>
      <c r="I19" s="19">
        <v>63</v>
      </c>
      <c r="J19" t="s">
        <v>55</v>
      </c>
      <c r="K19" s="20">
        <v>46235</v>
      </c>
      <c r="L19" t="s">
        <v>139</v>
      </c>
    </row>
    <row r="20" spans="1:12">
      <c r="A20" t="s">
        <v>78</v>
      </c>
      <c r="B20" t="s">
        <v>121</v>
      </c>
      <c r="C20" t="s">
        <v>122</v>
      </c>
      <c r="D20" s="19">
        <v>84</v>
      </c>
      <c r="E20" s="19">
        <v>0</v>
      </c>
      <c r="F20" s="19">
        <v>0</v>
      </c>
      <c r="G20" s="19">
        <v>0</v>
      </c>
      <c r="H20" t="s">
        <v>54</v>
      </c>
      <c r="I20" s="19">
        <v>31</v>
      </c>
      <c r="J20" t="s">
        <v>55</v>
      </c>
      <c r="K20" s="20">
        <v>46235</v>
      </c>
      <c r="L20" t="s">
        <v>140</v>
      </c>
    </row>
    <row r="21" spans="1:12">
      <c r="A21" t="s">
        <v>78</v>
      </c>
      <c r="B21" t="s">
        <v>125</v>
      </c>
      <c r="C21" t="s">
        <v>122</v>
      </c>
      <c r="D21" s="19">
        <v>6</v>
      </c>
      <c r="E21" s="19">
        <v>0</v>
      </c>
      <c r="F21" s="19">
        <v>0</v>
      </c>
      <c r="G21" s="19">
        <v>0</v>
      </c>
      <c r="H21" t="s">
        <v>123</v>
      </c>
      <c r="I21" s="19">
        <v>31</v>
      </c>
      <c r="J21" t="s">
        <v>55</v>
      </c>
      <c r="K21" s="20">
        <v>46235</v>
      </c>
      <c r="L21" t="s">
        <v>141</v>
      </c>
    </row>
    <row r="22" spans="1:12">
      <c r="A22" t="s">
        <v>81</v>
      </c>
      <c r="B22" t="s">
        <v>121</v>
      </c>
      <c r="C22" t="s">
        <v>122</v>
      </c>
      <c r="D22" s="19">
        <v>7</v>
      </c>
      <c r="E22" s="19">
        <v>0</v>
      </c>
      <c r="F22" s="19">
        <v>0</v>
      </c>
      <c r="G22" s="19">
        <v>0</v>
      </c>
      <c r="H22" t="s">
        <v>123</v>
      </c>
      <c r="I22" s="19">
        <v>57</v>
      </c>
      <c r="J22" t="s">
        <v>55</v>
      </c>
      <c r="K22" s="20">
        <v>46235</v>
      </c>
      <c r="L22" t="s">
        <v>142</v>
      </c>
    </row>
    <row r="23" spans="1:12">
      <c r="A23" t="s">
        <v>81</v>
      </c>
      <c r="B23" t="s">
        <v>125</v>
      </c>
      <c r="C23" t="s">
        <v>122</v>
      </c>
      <c r="D23" s="19">
        <v>140</v>
      </c>
      <c r="E23" s="19">
        <v>0</v>
      </c>
      <c r="F23" s="19">
        <v>3</v>
      </c>
      <c r="G23" s="19">
        <v>0</v>
      </c>
      <c r="H23" t="s">
        <v>54</v>
      </c>
      <c r="I23" s="19">
        <v>57</v>
      </c>
      <c r="J23" t="s">
        <v>55</v>
      </c>
      <c r="K23" s="20">
        <v>46235</v>
      </c>
      <c r="L23" t="s">
        <v>143</v>
      </c>
    </row>
    <row r="24" spans="1:12">
      <c r="A24" t="s">
        <v>85</v>
      </c>
      <c r="B24" t="s">
        <v>121</v>
      </c>
      <c r="C24" t="s">
        <v>122</v>
      </c>
      <c r="D24" s="19">
        <v>158</v>
      </c>
      <c r="E24" s="19">
        <v>0</v>
      </c>
      <c r="F24" s="19">
        <v>3</v>
      </c>
      <c r="G24" s="19">
        <v>0</v>
      </c>
      <c r="H24" t="s">
        <v>54</v>
      </c>
      <c r="I24" s="19">
        <v>71</v>
      </c>
      <c r="J24" t="s">
        <v>55</v>
      </c>
      <c r="K24" s="20">
        <v>46235</v>
      </c>
      <c r="L24" t="s">
        <v>144</v>
      </c>
    </row>
    <row r="25" spans="1:12">
      <c r="A25" t="s">
        <v>85</v>
      </c>
      <c r="B25" t="s">
        <v>125</v>
      </c>
      <c r="C25" t="s">
        <v>122</v>
      </c>
      <c r="D25" s="19">
        <v>177</v>
      </c>
      <c r="E25" s="19">
        <v>0</v>
      </c>
      <c r="F25" s="19">
        <v>0</v>
      </c>
      <c r="G25" s="19">
        <v>0</v>
      </c>
      <c r="H25" t="s">
        <v>54</v>
      </c>
      <c r="I25" s="19">
        <v>71</v>
      </c>
      <c r="J25" t="s">
        <v>55</v>
      </c>
      <c r="K25" s="20">
        <v>46235</v>
      </c>
      <c r="L25" t="s">
        <v>145</v>
      </c>
    </row>
    <row r="26" spans="1:12">
      <c r="A26" t="s">
        <v>146</v>
      </c>
      <c r="B26" t="s">
        <v>121</v>
      </c>
      <c r="C26" t="s">
        <v>122</v>
      </c>
      <c r="D26" s="19">
        <v>195</v>
      </c>
      <c r="E26" s="19">
        <v>0</v>
      </c>
      <c r="F26" s="19">
        <v>0</v>
      </c>
      <c r="G26" s="19">
        <v>0</v>
      </c>
      <c r="H26" t="s">
        <v>54</v>
      </c>
      <c r="I26" s="19">
        <v>14</v>
      </c>
      <c r="J26" t="s">
        <v>92</v>
      </c>
      <c r="K26" s="20">
        <v>46235</v>
      </c>
      <c r="L26" t="s">
        <v>147</v>
      </c>
    </row>
    <row r="27" spans="1:12">
      <c r="A27" t="s">
        <v>146</v>
      </c>
      <c r="B27" t="s">
        <v>125</v>
      </c>
      <c r="C27" t="s">
        <v>122</v>
      </c>
      <c r="D27" s="19">
        <v>214</v>
      </c>
      <c r="E27" s="19">
        <v>0</v>
      </c>
      <c r="F27" s="19">
        <v>0</v>
      </c>
      <c r="G27" s="19">
        <v>2</v>
      </c>
      <c r="H27" t="s">
        <v>54</v>
      </c>
      <c r="I27" s="19">
        <v>14</v>
      </c>
      <c r="J27" t="s">
        <v>92</v>
      </c>
      <c r="K27" s="20">
        <v>46235</v>
      </c>
      <c r="L27" t="s">
        <v>148</v>
      </c>
    </row>
    <row r="28" spans="1:12">
      <c r="A28" t="s">
        <v>93</v>
      </c>
      <c r="B28" t="s">
        <v>121</v>
      </c>
      <c r="C28" t="s">
        <v>122</v>
      </c>
      <c r="D28" s="19">
        <v>232</v>
      </c>
      <c r="E28" s="19">
        <v>0</v>
      </c>
      <c r="F28" s="19">
        <v>0</v>
      </c>
      <c r="G28" s="19">
        <v>2</v>
      </c>
      <c r="H28" t="s">
        <v>54</v>
      </c>
      <c r="I28" s="19">
        <v>4.2</v>
      </c>
      <c r="J28" t="s">
        <v>92</v>
      </c>
      <c r="K28" s="20">
        <v>46235</v>
      </c>
      <c r="L28" t="s">
        <v>149</v>
      </c>
    </row>
    <row r="29" spans="1:12">
      <c r="A29" t="s">
        <v>93</v>
      </c>
      <c r="B29" t="s">
        <v>125</v>
      </c>
      <c r="C29" t="s">
        <v>122</v>
      </c>
      <c r="D29" s="19">
        <v>5</v>
      </c>
      <c r="E29" s="19">
        <v>8</v>
      </c>
      <c r="F29" s="19">
        <v>0</v>
      </c>
      <c r="G29" s="19">
        <v>0</v>
      </c>
      <c r="H29" t="s">
        <v>123</v>
      </c>
      <c r="I29" s="19">
        <v>4.2</v>
      </c>
      <c r="J29" t="s">
        <v>92</v>
      </c>
      <c r="K29" s="20">
        <v>46235</v>
      </c>
      <c r="L29" t="s">
        <v>150</v>
      </c>
    </row>
    <row r="30" spans="1:12">
      <c r="A30" t="s">
        <v>96</v>
      </c>
      <c r="B30" t="s">
        <v>121</v>
      </c>
      <c r="C30" t="s">
        <v>122</v>
      </c>
      <c r="D30" s="19">
        <v>6</v>
      </c>
      <c r="E30" s="19">
        <v>8</v>
      </c>
      <c r="F30" s="19">
        <v>0</v>
      </c>
      <c r="G30" s="19">
        <v>0</v>
      </c>
      <c r="H30" t="s">
        <v>123</v>
      </c>
      <c r="I30" s="19">
        <v>95</v>
      </c>
      <c r="J30" t="s">
        <v>100</v>
      </c>
      <c r="K30" s="20">
        <v>46235</v>
      </c>
      <c r="L30" t="s">
        <v>151</v>
      </c>
    </row>
    <row r="31" spans="1:12">
      <c r="A31" t="s">
        <v>96</v>
      </c>
      <c r="B31" t="s">
        <v>125</v>
      </c>
      <c r="C31" t="s">
        <v>122</v>
      </c>
      <c r="D31" s="19">
        <v>288</v>
      </c>
      <c r="E31" s="19">
        <v>0</v>
      </c>
      <c r="F31" s="19">
        <v>0</v>
      </c>
      <c r="G31" s="19">
        <v>0</v>
      </c>
      <c r="H31" t="s">
        <v>54</v>
      </c>
      <c r="I31" s="19">
        <v>95</v>
      </c>
      <c r="J31" t="s">
        <v>100</v>
      </c>
      <c r="K31" s="20">
        <v>46235</v>
      </c>
      <c r="L31" t="s">
        <v>152</v>
      </c>
    </row>
    <row r="32" spans="1:12">
      <c r="A32" t="s">
        <v>101</v>
      </c>
      <c r="B32" t="s">
        <v>121</v>
      </c>
      <c r="C32" t="s">
        <v>122</v>
      </c>
      <c r="D32" s="19">
        <v>66</v>
      </c>
      <c r="E32" s="19">
        <v>0</v>
      </c>
      <c r="F32" s="19">
        <v>0</v>
      </c>
      <c r="G32" s="19">
        <v>0</v>
      </c>
      <c r="H32" t="s">
        <v>54</v>
      </c>
      <c r="I32" s="19">
        <v>16500</v>
      </c>
      <c r="J32" t="s">
        <v>104</v>
      </c>
      <c r="K32" s="20">
        <v>46235</v>
      </c>
      <c r="L32" t="s">
        <v>153</v>
      </c>
    </row>
    <row r="33" spans="1:12">
      <c r="A33" t="s">
        <v>101</v>
      </c>
      <c r="B33" t="s">
        <v>125</v>
      </c>
      <c r="C33" t="s">
        <v>122</v>
      </c>
      <c r="D33" s="19">
        <v>85</v>
      </c>
      <c r="E33" s="19">
        <v>0</v>
      </c>
      <c r="F33" s="19">
        <v>0</v>
      </c>
      <c r="G33" s="19">
        <v>0</v>
      </c>
      <c r="H33" t="s">
        <v>54</v>
      </c>
      <c r="I33" s="19">
        <v>16500</v>
      </c>
      <c r="J33" t="s">
        <v>104</v>
      </c>
      <c r="K33" s="20">
        <v>46235</v>
      </c>
      <c r="L33" t="s">
        <v>154</v>
      </c>
    </row>
    <row r="34" spans="1:12">
      <c r="A34" t="s">
        <v>120</v>
      </c>
      <c r="B34" t="s">
        <v>121</v>
      </c>
      <c r="C34" t="s">
        <v>122</v>
      </c>
      <c r="D34" s="19">
        <v>4</v>
      </c>
      <c r="E34" s="19">
        <v>8</v>
      </c>
      <c r="F34" s="19">
        <v>3</v>
      </c>
      <c r="G34" s="19">
        <v>2</v>
      </c>
      <c r="H34" t="s">
        <v>123</v>
      </c>
      <c r="I34" s="19">
        <v>310</v>
      </c>
      <c r="J34" t="s">
        <v>55</v>
      </c>
      <c r="K34" s="20">
        <v>46235</v>
      </c>
      <c r="L34" t="s">
        <v>124</v>
      </c>
    </row>
    <row r="35" spans="1:12">
      <c r="A35" t="s">
        <v>60</v>
      </c>
      <c r="B35" t="s">
        <v>125</v>
      </c>
      <c r="C35" t="s">
        <v>122</v>
      </c>
      <c r="D35" s="19">
        <v>37</v>
      </c>
      <c r="E35" s="19">
        <v>0</v>
      </c>
      <c r="F35" s="19">
        <v>0</v>
      </c>
      <c r="G35" s="19">
        <v>0</v>
      </c>
      <c r="H35" t="s">
        <v>54</v>
      </c>
      <c r="I35" s="19">
        <v>735</v>
      </c>
      <c r="J35" t="s">
        <v>55</v>
      </c>
      <c r="K35" s="20">
        <v>46235</v>
      </c>
      <c r="L35" t="s">
        <v>155</v>
      </c>
    </row>
  </sheetData>
  <mergeCells count="2">
    <mergeCell ref="A1:L1"/>
    <mergeCell ref="A2:L2"/>
  </mergeCells>
  <dataValidations count="1">
    <dataValidation type="list" sqref="C6:C35" xr:uid="{00000000-0002-0000-0200-000000000000}">
      <formula1>"Unrestricted,Quality Hold,Damaged"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showGridLines="0" workbookViewId="0">
      <selection sqref="A1:I1"/>
    </sheetView>
  </sheetViews>
  <sheetFormatPr baseColWidth="10" defaultColWidth="8.83203125" defaultRowHeight="14"/>
  <cols>
    <col min="1" max="1" width="18" customWidth="1"/>
    <col min="2" max="2" width="13" customWidth="1"/>
    <col min="3" max="3" width="12" customWidth="1"/>
    <col min="4" max="4" width="13" customWidth="1"/>
    <col min="5" max="5" width="12" customWidth="1"/>
    <col min="6" max="6" width="14" customWidth="1"/>
    <col min="7" max="7" width="15" customWidth="1"/>
    <col min="8" max="8" width="11" customWidth="1"/>
    <col min="9" max="9" width="14" customWidth="1"/>
  </cols>
  <sheetData>
    <row r="1" spans="1:9" ht="30" customHeight="1">
      <c r="A1" s="27" t="s">
        <v>156</v>
      </c>
      <c r="B1" s="27"/>
      <c r="C1" s="27"/>
      <c r="D1" s="27"/>
      <c r="E1" s="27"/>
      <c r="F1" s="27"/>
      <c r="G1" s="27"/>
      <c r="H1" s="27"/>
      <c r="I1" s="27"/>
    </row>
    <row r="2" spans="1:9" ht="26" customHeight="1">
      <c r="A2" s="28" t="s">
        <v>157</v>
      </c>
      <c r="B2" s="28"/>
      <c r="C2" s="28"/>
      <c r="D2" s="28"/>
      <c r="E2" s="28"/>
      <c r="F2" s="28"/>
      <c r="G2" s="28"/>
      <c r="H2" s="28"/>
      <c r="I2" s="28"/>
    </row>
    <row r="6" spans="1:9" ht="32" customHeight="1">
      <c r="A6" s="18" t="s">
        <v>158</v>
      </c>
      <c r="B6" s="18" t="s">
        <v>159</v>
      </c>
      <c r="C6" s="18" t="s">
        <v>160</v>
      </c>
      <c r="D6" s="18" t="s">
        <v>161</v>
      </c>
      <c r="E6" s="18" t="s">
        <v>162</v>
      </c>
      <c r="F6" s="18" t="s">
        <v>163</v>
      </c>
      <c r="G6" s="18" t="s">
        <v>164</v>
      </c>
      <c r="H6" s="18" t="s">
        <v>165</v>
      </c>
      <c r="I6" s="18" t="s">
        <v>166</v>
      </c>
    </row>
    <row r="7" spans="1:9">
      <c r="A7" t="s">
        <v>120</v>
      </c>
      <c r="B7" t="s">
        <v>167</v>
      </c>
      <c r="C7" s="19">
        <v>28</v>
      </c>
      <c r="D7" s="19">
        <v>5</v>
      </c>
      <c r="E7" s="19">
        <v>2</v>
      </c>
      <c r="F7" t="s">
        <v>54</v>
      </c>
      <c r="G7" s="19">
        <v>310</v>
      </c>
      <c r="H7" t="s">
        <v>55</v>
      </c>
      <c r="I7" s="20">
        <v>46227</v>
      </c>
    </row>
    <row r="8" spans="1:9">
      <c r="A8" t="s">
        <v>120</v>
      </c>
      <c r="B8" t="s">
        <v>168</v>
      </c>
      <c r="C8" s="19">
        <v>39</v>
      </c>
      <c r="D8" s="19">
        <v>0</v>
      </c>
      <c r="E8" s="19">
        <v>0</v>
      </c>
      <c r="F8" t="s">
        <v>54</v>
      </c>
      <c r="G8" s="19">
        <v>310</v>
      </c>
      <c r="H8" t="s">
        <v>55</v>
      </c>
      <c r="I8" s="20">
        <v>46235</v>
      </c>
    </row>
    <row r="9" spans="1:9">
      <c r="A9" t="s">
        <v>57</v>
      </c>
      <c r="B9" t="s">
        <v>167</v>
      </c>
      <c r="C9" s="19">
        <v>57</v>
      </c>
      <c r="D9" s="19">
        <v>0</v>
      </c>
      <c r="E9" s="19">
        <v>0</v>
      </c>
      <c r="F9" t="s">
        <v>54</v>
      </c>
      <c r="G9" s="19">
        <v>420</v>
      </c>
      <c r="H9" t="s">
        <v>55</v>
      </c>
      <c r="I9" s="20">
        <v>46227</v>
      </c>
    </row>
    <row r="10" spans="1:9">
      <c r="A10" t="s">
        <v>57</v>
      </c>
      <c r="B10" t="s">
        <v>168</v>
      </c>
      <c r="C10" s="19">
        <v>68</v>
      </c>
      <c r="D10" s="19">
        <v>0</v>
      </c>
      <c r="E10" s="19">
        <v>0</v>
      </c>
      <c r="F10" t="s">
        <v>54</v>
      </c>
      <c r="G10" s="19">
        <v>420</v>
      </c>
      <c r="H10" t="s">
        <v>55</v>
      </c>
      <c r="I10" s="20">
        <v>46235</v>
      </c>
    </row>
    <row r="11" spans="1:9">
      <c r="A11" t="s">
        <v>60</v>
      </c>
      <c r="B11" t="s">
        <v>167</v>
      </c>
      <c r="C11" s="19">
        <v>86</v>
      </c>
      <c r="D11" s="19">
        <v>0</v>
      </c>
      <c r="E11" s="19">
        <v>0</v>
      </c>
      <c r="F11" t="s">
        <v>54</v>
      </c>
      <c r="G11" s="19">
        <v>735</v>
      </c>
      <c r="H11" t="s">
        <v>55</v>
      </c>
      <c r="I11" s="20">
        <v>46227</v>
      </c>
    </row>
    <row r="12" spans="1:9">
      <c r="A12" t="s">
        <v>60</v>
      </c>
      <c r="B12" t="s">
        <v>168</v>
      </c>
      <c r="C12" s="19">
        <v>97</v>
      </c>
      <c r="D12" s="19">
        <v>0</v>
      </c>
      <c r="E12" s="19">
        <v>0</v>
      </c>
      <c r="F12" t="s">
        <v>54</v>
      </c>
      <c r="G12" s="19">
        <v>735</v>
      </c>
      <c r="H12" t="s">
        <v>55</v>
      </c>
      <c r="I12" s="20">
        <v>46235</v>
      </c>
    </row>
    <row r="13" spans="1:9">
      <c r="A13" t="s">
        <v>169</v>
      </c>
      <c r="B13" t="s">
        <v>167</v>
      </c>
      <c r="C13" s="19">
        <v>115</v>
      </c>
      <c r="D13" s="19">
        <v>0</v>
      </c>
      <c r="E13" s="19">
        <v>0</v>
      </c>
      <c r="F13" t="s">
        <v>54</v>
      </c>
      <c r="G13" s="19">
        <v>310</v>
      </c>
      <c r="H13" t="s">
        <v>55</v>
      </c>
      <c r="I13" s="20">
        <v>46235</v>
      </c>
    </row>
    <row r="14" spans="1:9">
      <c r="A14" t="s">
        <v>169</v>
      </c>
      <c r="B14" t="s">
        <v>168</v>
      </c>
      <c r="C14" s="19">
        <v>126</v>
      </c>
      <c r="D14" s="19">
        <v>0</v>
      </c>
      <c r="E14" s="19">
        <v>0</v>
      </c>
      <c r="F14" t="s">
        <v>54</v>
      </c>
      <c r="G14" s="19">
        <v>310</v>
      </c>
      <c r="H14" t="s">
        <v>55</v>
      </c>
      <c r="I14" s="20">
        <v>46235</v>
      </c>
    </row>
    <row r="15" spans="1:9">
      <c r="A15" t="s">
        <v>67</v>
      </c>
      <c r="B15" t="s">
        <v>167</v>
      </c>
      <c r="C15" s="19">
        <v>144</v>
      </c>
      <c r="D15" s="19">
        <v>0</v>
      </c>
      <c r="E15" s="19">
        <v>0</v>
      </c>
      <c r="F15" t="s">
        <v>54</v>
      </c>
      <c r="G15" s="19">
        <v>86</v>
      </c>
      <c r="H15" t="s">
        <v>55</v>
      </c>
      <c r="I15" s="20">
        <v>46235</v>
      </c>
    </row>
    <row r="16" spans="1:9">
      <c r="A16" t="s">
        <v>67</v>
      </c>
      <c r="B16" t="s">
        <v>168</v>
      </c>
      <c r="C16" s="19">
        <v>35</v>
      </c>
      <c r="D16" s="19">
        <v>0</v>
      </c>
      <c r="E16" s="19">
        <v>0</v>
      </c>
      <c r="F16" t="s">
        <v>54</v>
      </c>
      <c r="G16" s="19">
        <v>86</v>
      </c>
      <c r="H16" t="s">
        <v>55</v>
      </c>
      <c r="I16" s="20">
        <v>46235</v>
      </c>
    </row>
    <row r="17" spans="1:9">
      <c r="A17" t="s">
        <v>71</v>
      </c>
      <c r="B17" t="s">
        <v>167</v>
      </c>
      <c r="C17" s="19">
        <v>53</v>
      </c>
      <c r="D17" s="19">
        <v>0</v>
      </c>
      <c r="E17" s="19">
        <v>0</v>
      </c>
      <c r="F17" t="s">
        <v>54</v>
      </c>
      <c r="G17" s="19">
        <v>44</v>
      </c>
      <c r="H17" t="s">
        <v>55</v>
      </c>
      <c r="I17" s="20">
        <v>46235</v>
      </c>
    </row>
    <row r="18" spans="1:9">
      <c r="A18" t="s">
        <v>71</v>
      </c>
      <c r="B18" t="s">
        <v>168</v>
      </c>
      <c r="C18" s="19">
        <v>64</v>
      </c>
      <c r="D18" s="19">
        <v>0</v>
      </c>
      <c r="E18" s="19">
        <v>0</v>
      </c>
      <c r="F18" t="s">
        <v>54</v>
      </c>
      <c r="G18" s="19">
        <v>44</v>
      </c>
      <c r="H18" t="s">
        <v>55</v>
      </c>
      <c r="I18" s="20">
        <v>46235</v>
      </c>
    </row>
    <row r="19" spans="1:9">
      <c r="A19" t="s">
        <v>170</v>
      </c>
      <c r="B19" t="s">
        <v>167</v>
      </c>
      <c r="C19" s="19">
        <v>82</v>
      </c>
      <c r="D19" s="19">
        <v>0</v>
      </c>
      <c r="E19" s="19">
        <v>0</v>
      </c>
      <c r="F19" t="s">
        <v>54</v>
      </c>
      <c r="G19" s="19">
        <v>63</v>
      </c>
      <c r="H19" t="s">
        <v>55</v>
      </c>
      <c r="I19" s="20">
        <v>46235</v>
      </c>
    </row>
    <row r="20" spans="1:9">
      <c r="A20" t="s">
        <v>170</v>
      </c>
      <c r="B20" t="s">
        <v>168</v>
      </c>
      <c r="C20" s="19">
        <v>93</v>
      </c>
      <c r="D20" s="19">
        <v>5</v>
      </c>
      <c r="E20" s="19">
        <v>0</v>
      </c>
      <c r="F20" t="s">
        <v>54</v>
      </c>
      <c r="G20" s="19">
        <v>63</v>
      </c>
      <c r="H20" t="s">
        <v>55</v>
      </c>
      <c r="I20" s="20">
        <v>46235</v>
      </c>
    </row>
    <row r="21" spans="1:9">
      <c r="A21" t="s">
        <v>78</v>
      </c>
      <c r="B21" t="s">
        <v>167</v>
      </c>
      <c r="C21" s="19">
        <v>111</v>
      </c>
      <c r="D21" s="19">
        <v>5</v>
      </c>
      <c r="E21" s="19">
        <v>0</v>
      </c>
      <c r="F21" t="s">
        <v>54</v>
      </c>
      <c r="G21" s="19">
        <v>31</v>
      </c>
      <c r="H21" t="s">
        <v>55</v>
      </c>
      <c r="I21" s="20">
        <v>46235</v>
      </c>
    </row>
    <row r="22" spans="1:9">
      <c r="A22" t="s">
        <v>78</v>
      </c>
      <c r="B22" t="s">
        <v>168</v>
      </c>
      <c r="C22" s="19">
        <v>122</v>
      </c>
      <c r="D22" s="19">
        <v>0</v>
      </c>
      <c r="E22" s="19">
        <v>0</v>
      </c>
      <c r="F22" t="s">
        <v>54</v>
      </c>
      <c r="G22" s="19"/>
      <c r="H22" t="s">
        <v>55</v>
      </c>
      <c r="I22" s="20">
        <v>46235</v>
      </c>
    </row>
    <row r="23" spans="1:9">
      <c r="A23" t="s">
        <v>81</v>
      </c>
      <c r="B23" t="s">
        <v>167</v>
      </c>
      <c r="C23" s="19">
        <v>140</v>
      </c>
      <c r="D23" s="19">
        <v>0</v>
      </c>
      <c r="E23" s="19">
        <v>0</v>
      </c>
      <c r="F23" t="s">
        <v>54</v>
      </c>
      <c r="G23" s="19">
        <v>57</v>
      </c>
      <c r="H23" t="s">
        <v>55</v>
      </c>
      <c r="I23" s="20">
        <v>46235</v>
      </c>
    </row>
    <row r="24" spans="1:9">
      <c r="A24" t="s">
        <v>81</v>
      </c>
      <c r="B24" t="s">
        <v>168</v>
      </c>
      <c r="C24" s="19">
        <v>31</v>
      </c>
      <c r="D24" s="19">
        <v>0</v>
      </c>
      <c r="E24" s="19">
        <v>0</v>
      </c>
      <c r="F24" t="s">
        <v>54</v>
      </c>
      <c r="G24" s="19">
        <v>57</v>
      </c>
      <c r="H24" t="s">
        <v>55</v>
      </c>
      <c r="I24" s="20">
        <v>46235</v>
      </c>
    </row>
    <row r="25" spans="1:9">
      <c r="A25" t="s">
        <v>171</v>
      </c>
      <c r="B25" t="s">
        <v>167</v>
      </c>
      <c r="C25" s="19">
        <v>49</v>
      </c>
      <c r="D25" s="19">
        <v>0</v>
      </c>
      <c r="E25" s="19">
        <v>0</v>
      </c>
      <c r="F25" t="s">
        <v>54</v>
      </c>
      <c r="G25" s="19">
        <v>71</v>
      </c>
      <c r="H25" t="s">
        <v>55</v>
      </c>
      <c r="I25" s="20">
        <v>46235</v>
      </c>
    </row>
    <row r="26" spans="1:9">
      <c r="A26" t="s">
        <v>171</v>
      </c>
      <c r="B26" t="s">
        <v>168</v>
      </c>
      <c r="C26" s="19">
        <v>60</v>
      </c>
      <c r="D26" s="19">
        <v>0</v>
      </c>
      <c r="E26" s="19">
        <v>2</v>
      </c>
      <c r="F26" t="s">
        <v>54</v>
      </c>
      <c r="G26" s="19">
        <v>71</v>
      </c>
      <c r="H26" t="s">
        <v>55</v>
      </c>
      <c r="I26" s="20">
        <v>46235</v>
      </c>
    </row>
    <row r="27" spans="1:9">
      <c r="A27" t="s">
        <v>88</v>
      </c>
      <c r="B27" t="s">
        <v>167</v>
      </c>
      <c r="C27" s="19">
        <v>78</v>
      </c>
      <c r="D27" s="19">
        <v>0</v>
      </c>
      <c r="E27" s="19">
        <v>2</v>
      </c>
      <c r="F27" t="s">
        <v>54</v>
      </c>
      <c r="G27" s="19">
        <v>14</v>
      </c>
      <c r="H27" t="s">
        <v>92</v>
      </c>
      <c r="I27" s="20">
        <v>46235</v>
      </c>
    </row>
    <row r="28" spans="1:9">
      <c r="A28" t="s">
        <v>88</v>
      </c>
      <c r="B28" t="s">
        <v>168</v>
      </c>
      <c r="C28" s="19">
        <v>89</v>
      </c>
      <c r="D28" s="19">
        <v>0</v>
      </c>
      <c r="E28" s="19">
        <v>0</v>
      </c>
      <c r="F28" t="s">
        <v>54</v>
      </c>
      <c r="G28" s="19">
        <v>14</v>
      </c>
      <c r="H28" t="s">
        <v>92</v>
      </c>
      <c r="I28" s="20">
        <v>46235</v>
      </c>
    </row>
    <row r="29" spans="1:9">
      <c r="A29" t="s">
        <v>93</v>
      </c>
      <c r="B29" t="s">
        <v>167</v>
      </c>
      <c r="C29" s="19">
        <v>107</v>
      </c>
      <c r="D29" s="19">
        <v>0</v>
      </c>
      <c r="E29" s="19">
        <v>0</v>
      </c>
      <c r="F29" t="s">
        <v>54</v>
      </c>
      <c r="G29" s="19">
        <v>4.2</v>
      </c>
      <c r="H29" t="s">
        <v>92</v>
      </c>
      <c r="I29" s="20">
        <v>46235</v>
      </c>
    </row>
    <row r="30" spans="1:9">
      <c r="A30" t="s">
        <v>93</v>
      </c>
      <c r="B30" t="s">
        <v>168</v>
      </c>
      <c r="C30" s="19">
        <v>118</v>
      </c>
      <c r="D30" s="19">
        <v>0</v>
      </c>
      <c r="E30" s="19">
        <v>0</v>
      </c>
      <c r="F30" t="s">
        <v>54</v>
      </c>
      <c r="G30" s="19">
        <v>4.2</v>
      </c>
      <c r="H30" t="s">
        <v>92</v>
      </c>
      <c r="I30" s="20">
        <v>46235</v>
      </c>
    </row>
    <row r="31" spans="1:9">
      <c r="A31" t="s">
        <v>172</v>
      </c>
      <c r="B31" t="s">
        <v>167</v>
      </c>
      <c r="C31" s="19">
        <v>136</v>
      </c>
      <c r="D31" s="19">
        <v>0</v>
      </c>
      <c r="E31" s="19">
        <v>0</v>
      </c>
      <c r="F31" t="s">
        <v>54</v>
      </c>
      <c r="G31" s="19">
        <v>95</v>
      </c>
      <c r="H31" t="s">
        <v>100</v>
      </c>
      <c r="I31" s="20">
        <v>46235</v>
      </c>
    </row>
    <row r="32" spans="1:9">
      <c r="A32" t="s">
        <v>172</v>
      </c>
      <c r="B32" t="s">
        <v>168</v>
      </c>
      <c r="C32" s="19">
        <v>147</v>
      </c>
      <c r="D32" s="19">
        <v>0</v>
      </c>
      <c r="E32" s="19">
        <v>0</v>
      </c>
      <c r="F32" t="s">
        <v>54</v>
      </c>
      <c r="G32" s="19">
        <v>95</v>
      </c>
      <c r="H32" t="s">
        <v>100</v>
      </c>
      <c r="I32" s="20">
        <v>46235</v>
      </c>
    </row>
    <row r="33" spans="1:9">
      <c r="A33" t="s">
        <v>101</v>
      </c>
      <c r="B33" t="s">
        <v>167</v>
      </c>
      <c r="C33" s="19">
        <v>45</v>
      </c>
      <c r="D33" s="19">
        <v>0</v>
      </c>
      <c r="E33" s="19">
        <v>0</v>
      </c>
      <c r="F33" t="s">
        <v>54</v>
      </c>
      <c r="G33" s="19">
        <v>16500</v>
      </c>
      <c r="H33" t="s">
        <v>104</v>
      </c>
      <c r="I33" s="20">
        <v>46235</v>
      </c>
    </row>
    <row r="34" spans="1:9">
      <c r="A34" t="s">
        <v>101</v>
      </c>
      <c r="B34" t="s">
        <v>168</v>
      </c>
      <c r="C34" s="19">
        <v>56</v>
      </c>
      <c r="D34" s="19">
        <v>5</v>
      </c>
      <c r="E34" s="19">
        <v>0</v>
      </c>
      <c r="F34" t="s">
        <v>54</v>
      </c>
      <c r="G34" s="19">
        <v>16500</v>
      </c>
      <c r="H34" t="s">
        <v>104</v>
      </c>
      <c r="I34" s="20">
        <v>46235</v>
      </c>
    </row>
    <row r="35" spans="1:9">
      <c r="A35" t="s">
        <v>15</v>
      </c>
      <c r="B35" t="s">
        <v>167</v>
      </c>
      <c r="C35" s="19">
        <v>19</v>
      </c>
      <c r="D35" s="19">
        <v>0</v>
      </c>
      <c r="E35" s="19">
        <v>0</v>
      </c>
      <c r="F35" t="s">
        <v>54</v>
      </c>
      <c r="G35" s="19">
        <v>25</v>
      </c>
      <c r="H35" t="s">
        <v>55</v>
      </c>
      <c r="I35" s="20">
        <v>46235</v>
      </c>
    </row>
    <row r="36" spans="1:9">
      <c r="A36" t="s">
        <v>17</v>
      </c>
      <c r="B36" t="s">
        <v>168</v>
      </c>
      <c r="C36" s="19">
        <v>12</v>
      </c>
      <c r="D36" s="19">
        <v>0</v>
      </c>
      <c r="E36" s="19">
        <v>0</v>
      </c>
      <c r="F36" t="s">
        <v>54</v>
      </c>
      <c r="G36" s="19">
        <v>50</v>
      </c>
      <c r="H36" t="s">
        <v>55</v>
      </c>
      <c r="I36" s="20">
        <v>46235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showGridLines="0" workbookViewId="0"/>
  </sheetViews>
  <sheetFormatPr baseColWidth="10" defaultColWidth="8.83203125" defaultRowHeight="14"/>
  <cols>
    <col min="1" max="1" width="17" customWidth="1"/>
    <col min="2" max="2" width="15" customWidth="1"/>
    <col min="3" max="3" width="18" customWidth="1"/>
    <col min="4" max="5" width="12" customWidth="1"/>
    <col min="6" max="6" width="15" customWidth="1"/>
    <col min="7" max="8" width="13" customWidth="1"/>
    <col min="9" max="9" width="16" customWidth="1"/>
    <col min="10" max="11" width="15" customWidth="1"/>
    <col min="12" max="12" width="18" customWidth="1"/>
  </cols>
  <sheetData>
    <row r="1" spans="1:12" ht="30" customHeight="1">
      <c r="A1" s="27" t="s">
        <v>173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6" customHeight="1">
      <c r="A2" s="28" t="s">
        <v>174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1:12" ht="32" customHeight="1">
      <c r="A4" s="18" t="s">
        <v>175</v>
      </c>
      <c r="B4" s="18" t="s">
        <v>176</v>
      </c>
      <c r="C4" s="18" t="s">
        <v>177</v>
      </c>
      <c r="D4" s="18" t="s">
        <v>178</v>
      </c>
      <c r="E4" s="18" t="s">
        <v>179</v>
      </c>
      <c r="F4" s="18" t="s">
        <v>180</v>
      </c>
      <c r="G4" s="18" t="s">
        <v>181</v>
      </c>
      <c r="H4" s="18" t="s">
        <v>182</v>
      </c>
      <c r="I4" s="18" t="s">
        <v>183</v>
      </c>
      <c r="J4" s="18" t="s">
        <v>184</v>
      </c>
      <c r="K4" s="18" t="s">
        <v>185</v>
      </c>
      <c r="L4" s="18" t="s">
        <v>186</v>
      </c>
    </row>
    <row r="5" spans="1:12">
      <c r="A5" t="s">
        <v>187</v>
      </c>
      <c r="B5" t="s">
        <v>188</v>
      </c>
      <c r="C5" t="s">
        <v>189</v>
      </c>
      <c r="D5" s="19">
        <v>2</v>
      </c>
      <c r="E5" s="19">
        <v>1</v>
      </c>
      <c r="F5" s="19">
        <v>1</v>
      </c>
      <c r="G5" s="19">
        <v>0</v>
      </c>
      <c r="H5" t="s">
        <v>190</v>
      </c>
      <c r="I5" s="19">
        <v>310</v>
      </c>
      <c r="J5" t="s">
        <v>55</v>
      </c>
      <c r="K5" s="20">
        <v>46235</v>
      </c>
      <c r="L5" t="s">
        <v>191</v>
      </c>
    </row>
    <row r="6" spans="1:12">
      <c r="A6" t="s">
        <v>187</v>
      </c>
      <c r="B6" t="s">
        <v>192</v>
      </c>
      <c r="C6" t="s">
        <v>189</v>
      </c>
      <c r="D6" s="19">
        <v>3</v>
      </c>
      <c r="E6" s="19">
        <v>0</v>
      </c>
      <c r="F6" s="19">
        <v>0</v>
      </c>
      <c r="G6" s="19">
        <v>0</v>
      </c>
      <c r="H6" t="s">
        <v>123</v>
      </c>
      <c r="I6" s="19">
        <v>310</v>
      </c>
      <c r="J6" t="s">
        <v>55</v>
      </c>
      <c r="K6" s="20">
        <v>46235</v>
      </c>
      <c r="L6" t="s">
        <v>193</v>
      </c>
    </row>
    <row r="7" spans="1:12">
      <c r="A7" t="s">
        <v>194</v>
      </c>
      <c r="B7" t="s">
        <v>188</v>
      </c>
      <c r="C7" t="s">
        <v>189</v>
      </c>
      <c r="D7" s="19">
        <v>3</v>
      </c>
      <c r="E7" s="19">
        <v>0</v>
      </c>
      <c r="F7" s="19">
        <v>0</v>
      </c>
      <c r="G7" s="19">
        <v>0</v>
      </c>
      <c r="H7" t="s">
        <v>123</v>
      </c>
      <c r="I7" s="19">
        <v>420</v>
      </c>
      <c r="J7" t="s">
        <v>55</v>
      </c>
      <c r="K7" s="20">
        <v>46235</v>
      </c>
      <c r="L7" t="s">
        <v>195</v>
      </c>
    </row>
    <row r="8" spans="1:12">
      <c r="A8" t="s">
        <v>194</v>
      </c>
      <c r="B8" t="s">
        <v>192</v>
      </c>
      <c r="C8" t="s">
        <v>189</v>
      </c>
      <c r="D8" s="19">
        <v>4</v>
      </c>
      <c r="E8" s="19">
        <v>0</v>
      </c>
      <c r="F8" s="19">
        <v>0</v>
      </c>
      <c r="G8" s="19">
        <v>0</v>
      </c>
      <c r="H8" t="s">
        <v>190</v>
      </c>
      <c r="I8" s="19">
        <v>420</v>
      </c>
      <c r="J8" t="s">
        <v>55</v>
      </c>
      <c r="K8" s="20">
        <v>46235</v>
      </c>
      <c r="L8" t="s">
        <v>196</v>
      </c>
    </row>
    <row r="9" spans="1:12">
      <c r="A9" t="s">
        <v>197</v>
      </c>
      <c r="B9" t="s">
        <v>188</v>
      </c>
      <c r="C9" t="s">
        <v>189</v>
      </c>
      <c r="D9" s="19">
        <v>4</v>
      </c>
      <c r="E9" s="19">
        <v>0</v>
      </c>
      <c r="F9" s="19">
        <v>0</v>
      </c>
      <c r="G9" s="19">
        <v>0</v>
      </c>
      <c r="H9" t="s">
        <v>190</v>
      </c>
      <c r="I9" s="19">
        <v>735</v>
      </c>
      <c r="J9" t="s">
        <v>55</v>
      </c>
      <c r="K9" s="20">
        <v>46235</v>
      </c>
      <c r="L9" t="s">
        <v>198</v>
      </c>
    </row>
    <row r="10" spans="1:12">
      <c r="A10" t="s">
        <v>197</v>
      </c>
      <c r="B10" t="s">
        <v>192</v>
      </c>
      <c r="C10" t="s">
        <v>189</v>
      </c>
      <c r="D10" s="19">
        <v>5</v>
      </c>
      <c r="E10" s="19">
        <v>0</v>
      </c>
      <c r="F10" s="19">
        <v>0</v>
      </c>
      <c r="G10" s="19">
        <v>0</v>
      </c>
      <c r="H10" t="s">
        <v>123</v>
      </c>
      <c r="I10" s="19">
        <v>735</v>
      </c>
      <c r="J10" t="s">
        <v>55</v>
      </c>
      <c r="K10" s="20">
        <v>46235</v>
      </c>
      <c r="L10" t="s">
        <v>199</v>
      </c>
    </row>
    <row r="11" spans="1:12">
      <c r="A11" t="s">
        <v>200</v>
      </c>
      <c r="B11" t="s">
        <v>188</v>
      </c>
      <c r="C11" t="s">
        <v>189</v>
      </c>
      <c r="D11" s="19">
        <v>5</v>
      </c>
      <c r="E11" s="19">
        <v>0</v>
      </c>
      <c r="F11" s="19">
        <v>0</v>
      </c>
      <c r="G11" s="19">
        <v>0</v>
      </c>
      <c r="H11" t="s">
        <v>123</v>
      </c>
      <c r="I11" s="19">
        <v>310</v>
      </c>
      <c r="J11" t="s">
        <v>55</v>
      </c>
      <c r="K11" s="20">
        <v>46235</v>
      </c>
      <c r="L11" t="s">
        <v>201</v>
      </c>
    </row>
    <row r="12" spans="1:12">
      <c r="A12" t="s">
        <v>200</v>
      </c>
      <c r="B12" t="s">
        <v>192</v>
      </c>
      <c r="C12" t="s">
        <v>189</v>
      </c>
      <c r="D12" s="19">
        <v>6</v>
      </c>
      <c r="E12" s="19">
        <v>0</v>
      </c>
      <c r="F12" s="19">
        <v>0</v>
      </c>
      <c r="G12" s="19">
        <v>0</v>
      </c>
      <c r="H12" t="s">
        <v>190</v>
      </c>
      <c r="I12" s="19">
        <v>310</v>
      </c>
      <c r="J12" t="s">
        <v>55</v>
      </c>
      <c r="K12" s="20">
        <v>46235</v>
      </c>
      <c r="L12" t="s">
        <v>202</v>
      </c>
    </row>
    <row r="13" spans="1:12">
      <c r="A13" t="s">
        <v>203</v>
      </c>
      <c r="B13" t="s">
        <v>188</v>
      </c>
      <c r="C13" t="s">
        <v>189</v>
      </c>
      <c r="D13" s="19">
        <v>6</v>
      </c>
      <c r="E13" s="19">
        <v>0</v>
      </c>
      <c r="F13" s="19">
        <v>0</v>
      </c>
      <c r="G13" s="19">
        <v>0</v>
      </c>
      <c r="H13" t="s">
        <v>190</v>
      </c>
      <c r="I13" s="19"/>
      <c r="J13" t="s">
        <v>55</v>
      </c>
      <c r="K13" s="20">
        <v>46235</v>
      </c>
      <c r="L13" t="s">
        <v>204</v>
      </c>
    </row>
    <row r="14" spans="1:12">
      <c r="A14" t="s">
        <v>203</v>
      </c>
      <c r="B14" t="s">
        <v>192</v>
      </c>
      <c r="C14" t="s">
        <v>189</v>
      </c>
      <c r="D14" s="19">
        <v>7</v>
      </c>
      <c r="E14" s="19">
        <v>0</v>
      </c>
      <c r="F14" s="19">
        <v>0</v>
      </c>
      <c r="G14" s="19">
        <v>0</v>
      </c>
      <c r="H14" t="s">
        <v>123</v>
      </c>
      <c r="I14" s="19">
        <v>86</v>
      </c>
      <c r="J14" t="s">
        <v>55</v>
      </c>
      <c r="K14" s="20">
        <v>46235</v>
      </c>
      <c r="L14" t="s">
        <v>205</v>
      </c>
    </row>
    <row r="15" spans="1:12">
      <c r="A15" t="s">
        <v>206</v>
      </c>
      <c r="B15" t="s">
        <v>188</v>
      </c>
      <c r="C15" t="s">
        <v>189</v>
      </c>
      <c r="D15" s="19">
        <v>7</v>
      </c>
      <c r="E15" s="19">
        <v>0</v>
      </c>
      <c r="F15" s="19">
        <v>0</v>
      </c>
      <c r="G15" s="19">
        <v>0</v>
      </c>
      <c r="H15" t="s">
        <v>123</v>
      </c>
      <c r="I15" s="19">
        <v>44</v>
      </c>
      <c r="J15" t="s">
        <v>55</v>
      </c>
      <c r="K15" s="20">
        <v>46235</v>
      </c>
      <c r="L15" t="s">
        <v>207</v>
      </c>
    </row>
    <row r="16" spans="1:12">
      <c r="A16" t="s">
        <v>206</v>
      </c>
      <c r="B16" t="s">
        <v>192</v>
      </c>
      <c r="C16" t="s">
        <v>189</v>
      </c>
      <c r="D16" s="19">
        <v>8</v>
      </c>
      <c r="E16" s="19">
        <v>0</v>
      </c>
      <c r="F16" s="19">
        <v>0</v>
      </c>
      <c r="G16" s="19">
        <v>0</v>
      </c>
      <c r="H16" t="s">
        <v>190</v>
      </c>
      <c r="I16" s="19">
        <v>44</v>
      </c>
      <c r="J16" t="s">
        <v>55</v>
      </c>
      <c r="K16" s="20">
        <v>46235</v>
      </c>
      <c r="L16" t="s">
        <v>208</v>
      </c>
    </row>
    <row r="17" spans="1:12">
      <c r="A17" t="s">
        <v>209</v>
      </c>
      <c r="B17" t="s">
        <v>188</v>
      </c>
      <c r="C17" t="s">
        <v>189</v>
      </c>
      <c r="D17" s="19">
        <v>8</v>
      </c>
      <c r="E17" s="19">
        <v>0</v>
      </c>
      <c r="F17" s="19">
        <v>0</v>
      </c>
      <c r="G17" s="19">
        <v>0</v>
      </c>
      <c r="H17" t="s">
        <v>190</v>
      </c>
      <c r="I17" s="19">
        <v>63</v>
      </c>
      <c r="J17" t="s">
        <v>55</v>
      </c>
      <c r="K17" s="20">
        <v>46235</v>
      </c>
      <c r="L17" t="s">
        <v>210</v>
      </c>
    </row>
    <row r="18" spans="1:12">
      <c r="A18" t="s">
        <v>209</v>
      </c>
      <c r="B18" t="s">
        <v>192</v>
      </c>
      <c r="C18" t="s">
        <v>189</v>
      </c>
      <c r="D18" s="19">
        <v>9</v>
      </c>
      <c r="E18" s="19">
        <v>0</v>
      </c>
      <c r="F18" s="19">
        <v>0</v>
      </c>
      <c r="G18" s="19">
        <v>0</v>
      </c>
      <c r="H18" t="s">
        <v>123</v>
      </c>
      <c r="I18" s="19">
        <v>63</v>
      </c>
      <c r="J18" t="s">
        <v>55</v>
      </c>
      <c r="K18" s="20">
        <v>46235</v>
      </c>
      <c r="L18" t="s">
        <v>211</v>
      </c>
    </row>
    <row r="19" spans="1:12">
      <c r="A19" t="s">
        <v>212</v>
      </c>
      <c r="B19" t="s">
        <v>188</v>
      </c>
      <c r="C19" t="s">
        <v>189</v>
      </c>
      <c r="D19" s="19">
        <v>9</v>
      </c>
      <c r="E19" s="19">
        <v>0</v>
      </c>
      <c r="F19" s="19">
        <v>0</v>
      </c>
      <c r="G19" s="19">
        <v>0</v>
      </c>
      <c r="H19" t="s">
        <v>123</v>
      </c>
      <c r="I19" s="19">
        <v>31</v>
      </c>
      <c r="J19" t="s">
        <v>55</v>
      </c>
      <c r="K19" s="20">
        <v>46235</v>
      </c>
      <c r="L19" t="s">
        <v>213</v>
      </c>
    </row>
    <row r="20" spans="1:12">
      <c r="A20" t="s">
        <v>212</v>
      </c>
      <c r="B20" t="s">
        <v>192</v>
      </c>
      <c r="C20" t="s">
        <v>189</v>
      </c>
      <c r="D20" s="19">
        <v>2</v>
      </c>
      <c r="E20" s="19">
        <v>1</v>
      </c>
      <c r="F20" s="19">
        <v>0</v>
      </c>
      <c r="G20" s="19">
        <v>0</v>
      </c>
      <c r="H20" t="s">
        <v>190</v>
      </c>
      <c r="I20" s="19">
        <v>31</v>
      </c>
      <c r="J20" t="s">
        <v>55</v>
      </c>
      <c r="K20" s="20">
        <v>46235</v>
      </c>
      <c r="L20" t="s">
        <v>214</v>
      </c>
    </row>
    <row r="21" spans="1:12">
      <c r="A21" t="s">
        <v>215</v>
      </c>
      <c r="B21" t="s">
        <v>188</v>
      </c>
      <c r="C21" t="s">
        <v>189</v>
      </c>
      <c r="D21" s="19">
        <v>2</v>
      </c>
      <c r="E21" s="19">
        <v>1</v>
      </c>
      <c r="F21" s="19">
        <v>0</v>
      </c>
      <c r="G21" s="19">
        <v>0</v>
      </c>
      <c r="H21" t="s">
        <v>190</v>
      </c>
      <c r="I21" s="19">
        <v>57</v>
      </c>
      <c r="J21" t="s">
        <v>55</v>
      </c>
      <c r="K21" s="20">
        <v>46235</v>
      </c>
      <c r="L21" t="s">
        <v>216</v>
      </c>
    </row>
    <row r="22" spans="1:12">
      <c r="A22" t="s">
        <v>215</v>
      </c>
      <c r="B22" t="s">
        <v>192</v>
      </c>
      <c r="C22" t="s">
        <v>189</v>
      </c>
      <c r="D22" s="19">
        <v>3</v>
      </c>
      <c r="E22" s="19">
        <v>0</v>
      </c>
      <c r="F22" s="19">
        <v>1</v>
      </c>
      <c r="G22" s="19">
        <v>0</v>
      </c>
      <c r="H22" t="s">
        <v>123</v>
      </c>
      <c r="I22" s="19">
        <v>57</v>
      </c>
      <c r="J22" t="s">
        <v>55</v>
      </c>
      <c r="K22" s="20">
        <v>46235</v>
      </c>
      <c r="L22" t="s">
        <v>217</v>
      </c>
    </row>
    <row r="23" spans="1:12">
      <c r="A23" t="s">
        <v>218</v>
      </c>
      <c r="B23" t="s">
        <v>188</v>
      </c>
      <c r="C23" t="s">
        <v>189</v>
      </c>
      <c r="D23" s="19">
        <v>3</v>
      </c>
      <c r="E23" s="19">
        <v>0</v>
      </c>
      <c r="F23" s="19">
        <v>1</v>
      </c>
      <c r="G23" s="19">
        <v>0</v>
      </c>
      <c r="H23" t="s">
        <v>123</v>
      </c>
      <c r="I23" s="19">
        <v>71</v>
      </c>
      <c r="J23" t="s">
        <v>55</v>
      </c>
      <c r="K23" s="20">
        <v>46235</v>
      </c>
      <c r="L23" t="s">
        <v>219</v>
      </c>
    </row>
    <row r="24" spans="1:12">
      <c r="A24" t="s">
        <v>218</v>
      </c>
      <c r="B24" t="s">
        <v>192</v>
      </c>
      <c r="C24" t="s">
        <v>189</v>
      </c>
      <c r="D24" s="19">
        <v>4</v>
      </c>
      <c r="E24" s="19">
        <v>0</v>
      </c>
      <c r="F24" s="19">
        <v>0</v>
      </c>
      <c r="G24" s="19">
        <v>0</v>
      </c>
      <c r="H24" t="s">
        <v>190</v>
      </c>
      <c r="I24" s="19">
        <v>71</v>
      </c>
      <c r="J24" t="s">
        <v>55</v>
      </c>
      <c r="K24" s="20">
        <v>46235</v>
      </c>
      <c r="L24" t="s">
        <v>220</v>
      </c>
    </row>
    <row r="25" spans="1:12">
      <c r="A25" t="s">
        <v>221</v>
      </c>
      <c r="B25" t="s">
        <v>188</v>
      </c>
      <c r="C25" t="s">
        <v>189</v>
      </c>
      <c r="D25" s="19">
        <v>4</v>
      </c>
      <c r="E25" s="19">
        <v>0</v>
      </c>
      <c r="F25" s="19">
        <v>0</v>
      </c>
      <c r="G25" s="19">
        <v>0</v>
      </c>
      <c r="H25" t="s">
        <v>190</v>
      </c>
      <c r="I25" s="19">
        <v>14</v>
      </c>
      <c r="J25" t="s">
        <v>92</v>
      </c>
      <c r="K25" s="20">
        <v>46235</v>
      </c>
      <c r="L25" t="s">
        <v>222</v>
      </c>
    </row>
    <row r="26" spans="1:12">
      <c r="A26" t="s">
        <v>221</v>
      </c>
      <c r="B26" t="s">
        <v>192</v>
      </c>
      <c r="C26" t="s">
        <v>189</v>
      </c>
      <c r="D26" s="19">
        <v>5</v>
      </c>
      <c r="E26" s="19">
        <v>0</v>
      </c>
      <c r="F26" s="19">
        <v>0</v>
      </c>
      <c r="G26" s="19">
        <v>0</v>
      </c>
      <c r="H26" t="s">
        <v>123</v>
      </c>
      <c r="I26" s="19">
        <v>14</v>
      </c>
      <c r="J26" t="s">
        <v>92</v>
      </c>
      <c r="K26" s="20">
        <v>46235</v>
      </c>
      <c r="L26" t="s">
        <v>223</v>
      </c>
    </row>
    <row r="27" spans="1:12">
      <c r="A27" t="s">
        <v>224</v>
      </c>
      <c r="B27" t="s">
        <v>188</v>
      </c>
      <c r="C27" t="s">
        <v>189</v>
      </c>
      <c r="D27" s="19">
        <v>5</v>
      </c>
      <c r="E27" s="19">
        <v>0</v>
      </c>
      <c r="F27" s="19">
        <v>0</v>
      </c>
      <c r="G27" s="19">
        <v>0</v>
      </c>
      <c r="H27" t="s">
        <v>123</v>
      </c>
      <c r="I27" s="19">
        <v>4.2</v>
      </c>
      <c r="J27" t="s">
        <v>92</v>
      </c>
      <c r="K27" s="20">
        <v>46235</v>
      </c>
      <c r="L27" t="s">
        <v>225</v>
      </c>
    </row>
    <row r="28" spans="1:12">
      <c r="A28" t="s">
        <v>224</v>
      </c>
      <c r="B28" t="s">
        <v>192</v>
      </c>
      <c r="C28" t="s">
        <v>189</v>
      </c>
      <c r="D28" s="19">
        <v>6</v>
      </c>
      <c r="E28" s="19">
        <v>0</v>
      </c>
      <c r="F28" s="19">
        <v>0</v>
      </c>
      <c r="G28" s="19">
        <v>0</v>
      </c>
      <c r="H28" t="s">
        <v>190</v>
      </c>
      <c r="I28" s="19">
        <v>4.2</v>
      </c>
      <c r="J28" t="s">
        <v>92</v>
      </c>
      <c r="K28" s="20">
        <v>46235</v>
      </c>
      <c r="L28" t="s">
        <v>226</v>
      </c>
    </row>
    <row r="29" spans="1:12">
      <c r="A29" t="s">
        <v>227</v>
      </c>
      <c r="B29" t="s">
        <v>188</v>
      </c>
      <c r="C29" t="s">
        <v>189</v>
      </c>
      <c r="D29" s="19">
        <v>6</v>
      </c>
      <c r="E29" s="19">
        <v>0</v>
      </c>
      <c r="F29" s="19">
        <v>0</v>
      </c>
      <c r="G29" s="19">
        <v>0</v>
      </c>
      <c r="H29" t="s">
        <v>190</v>
      </c>
      <c r="I29" s="19">
        <v>95</v>
      </c>
      <c r="J29" t="s">
        <v>100</v>
      </c>
      <c r="K29" s="20">
        <v>46235</v>
      </c>
      <c r="L29" t="s">
        <v>228</v>
      </c>
    </row>
    <row r="30" spans="1:12">
      <c r="A30" t="s">
        <v>227</v>
      </c>
      <c r="B30" t="s">
        <v>192</v>
      </c>
      <c r="C30" t="s">
        <v>189</v>
      </c>
      <c r="D30" s="19">
        <v>7</v>
      </c>
      <c r="E30" s="19">
        <v>0</v>
      </c>
      <c r="F30" s="19">
        <v>0</v>
      </c>
      <c r="G30" s="19">
        <v>0</v>
      </c>
      <c r="H30" t="s">
        <v>123</v>
      </c>
      <c r="I30" s="19">
        <v>95</v>
      </c>
      <c r="J30" t="s">
        <v>100</v>
      </c>
      <c r="K30" s="20">
        <v>46235</v>
      </c>
      <c r="L30" t="s">
        <v>229</v>
      </c>
    </row>
    <row r="31" spans="1:12">
      <c r="A31" t="s">
        <v>230</v>
      </c>
      <c r="B31" t="s">
        <v>188</v>
      </c>
      <c r="C31" t="s">
        <v>189</v>
      </c>
      <c r="D31" s="19">
        <v>7</v>
      </c>
      <c r="E31" s="19">
        <v>0</v>
      </c>
      <c r="F31" s="19">
        <v>0</v>
      </c>
      <c r="G31" s="19">
        <v>0</v>
      </c>
      <c r="H31" t="s">
        <v>123</v>
      </c>
      <c r="I31" s="19">
        <v>16500</v>
      </c>
      <c r="J31" t="s">
        <v>104</v>
      </c>
      <c r="K31" s="20">
        <v>46235</v>
      </c>
      <c r="L31" t="s">
        <v>231</v>
      </c>
    </row>
    <row r="32" spans="1:12">
      <c r="A32" t="s">
        <v>230</v>
      </c>
      <c r="B32" t="s">
        <v>192</v>
      </c>
      <c r="C32" t="s">
        <v>189</v>
      </c>
      <c r="D32" s="19">
        <v>8</v>
      </c>
      <c r="E32" s="19">
        <v>0</v>
      </c>
      <c r="F32" s="19">
        <v>0</v>
      </c>
      <c r="G32" s="19">
        <v>0</v>
      </c>
      <c r="H32" t="s">
        <v>190</v>
      </c>
      <c r="I32" s="19">
        <v>16500</v>
      </c>
      <c r="J32" t="s">
        <v>104</v>
      </c>
      <c r="K32" s="20">
        <v>46235</v>
      </c>
      <c r="L32" t="s">
        <v>232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"/>
  <sheetViews>
    <sheetView showGridLines="0" workbookViewId="0"/>
  </sheetViews>
  <sheetFormatPr baseColWidth="10" defaultColWidth="8.83203125" defaultRowHeight="14"/>
  <cols>
    <col min="1" max="1" width="15" customWidth="1"/>
    <col min="2" max="2" width="18" customWidth="1"/>
    <col min="3" max="3" width="16" customWidth="1"/>
    <col min="4" max="4" width="14" customWidth="1"/>
    <col min="5" max="5" width="12" customWidth="1"/>
    <col min="6" max="6" width="10" customWidth="1"/>
    <col min="7" max="7" width="12" customWidth="1"/>
    <col min="8" max="8" width="13" customWidth="1"/>
    <col min="9" max="9" width="14" customWidth="1"/>
    <col min="10" max="10" width="12" customWidth="1"/>
    <col min="11" max="11" width="16" customWidth="1"/>
    <col min="12" max="12" width="17" customWidth="1"/>
  </cols>
  <sheetData>
    <row r="1" spans="1:12" ht="30" customHeight="1">
      <c r="A1" s="27" t="s">
        <v>233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6" customHeight="1">
      <c r="A2" s="28" t="s">
        <v>234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7" spans="1:12" ht="32" customHeight="1">
      <c r="A7" s="18" t="s">
        <v>235</v>
      </c>
      <c r="B7" s="18" t="s">
        <v>236</v>
      </c>
      <c r="C7" s="18" t="s">
        <v>237</v>
      </c>
      <c r="D7" s="18" t="s">
        <v>238</v>
      </c>
      <c r="E7" s="18" t="s">
        <v>239</v>
      </c>
      <c r="F7" s="18" t="s">
        <v>113</v>
      </c>
      <c r="G7" s="18" t="s">
        <v>240</v>
      </c>
      <c r="H7" s="18" t="s">
        <v>45</v>
      </c>
      <c r="I7" s="18" t="s">
        <v>241</v>
      </c>
      <c r="J7" s="18" t="s">
        <v>242</v>
      </c>
      <c r="K7" s="18" t="s">
        <v>185</v>
      </c>
      <c r="L7" s="18" t="s">
        <v>243</v>
      </c>
    </row>
    <row r="8" spans="1:12">
      <c r="A8" t="s">
        <v>50</v>
      </c>
      <c r="B8" t="s">
        <v>121</v>
      </c>
      <c r="C8" t="s">
        <v>244</v>
      </c>
      <c r="D8" s="19">
        <v>30</v>
      </c>
      <c r="E8" s="19">
        <v>0</v>
      </c>
      <c r="F8" s="19">
        <v>0</v>
      </c>
      <c r="G8" s="19">
        <v>0</v>
      </c>
      <c r="H8" t="s">
        <v>54</v>
      </c>
      <c r="I8" s="19">
        <v>310</v>
      </c>
      <c r="J8" t="s">
        <v>55</v>
      </c>
      <c r="K8" s="20">
        <v>46234</v>
      </c>
      <c r="L8" t="s">
        <v>245</v>
      </c>
    </row>
    <row r="9" spans="1:12">
      <c r="A9" t="s">
        <v>57</v>
      </c>
      <c r="B9" t="s">
        <v>121</v>
      </c>
      <c r="C9" t="s">
        <v>244</v>
      </c>
      <c r="D9" s="19">
        <v>53</v>
      </c>
      <c r="E9" s="19">
        <v>0</v>
      </c>
      <c r="F9" s="19">
        <v>0</v>
      </c>
      <c r="G9" s="19">
        <v>0</v>
      </c>
      <c r="H9" t="s">
        <v>54</v>
      </c>
      <c r="I9" s="19">
        <v>420</v>
      </c>
      <c r="J9" t="s">
        <v>55</v>
      </c>
      <c r="K9" s="20">
        <v>46234</v>
      </c>
      <c r="L9" t="s">
        <v>246</v>
      </c>
    </row>
    <row r="10" spans="1:12">
      <c r="A10" t="s">
        <v>60</v>
      </c>
      <c r="B10" t="s">
        <v>121</v>
      </c>
      <c r="C10" t="s">
        <v>244</v>
      </c>
      <c r="D10" s="19">
        <v>76</v>
      </c>
      <c r="E10" s="19">
        <v>0</v>
      </c>
      <c r="F10" s="19">
        <v>0</v>
      </c>
      <c r="G10" s="19">
        <v>0</v>
      </c>
      <c r="H10" t="s">
        <v>54</v>
      </c>
      <c r="I10" s="19">
        <v>735</v>
      </c>
      <c r="J10" t="s">
        <v>55</v>
      </c>
      <c r="K10" s="20">
        <v>46234</v>
      </c>
      <c r="L10" t="s">
        <v>247</v>
      </c>
    </row>
    <row r="11" spans="1:12">
      <c r="A11" t="s">
        <v>64</v>
      </c>
      <c r="B11" t="s">
        <v>121</v>
      </c>
      <c r="C11" t="s">
        <v>244</v>
      </c>
      <c r="D11" s="19">
        <v>99</v>
      </c>
      <c r="E11" s="19">
        <v>0</v>
      </c>
      <c r="F11" s="19">
        <v>0</v>
      </c>
      <c r="G11" s="19">
        <v>0</v>
      </c>
      <c r="H11" t="s">
        <v>54</v>
      </c>
      <c r="I11" s="19">
        <v>310</v>
      </c>
      <c r="J11" t="s">
        <v>55</v>
      </c>
      <c r="K11" s="20">
        <v>46234</v>
      </c>
      <c r="L11" t="s">
        <v>248</v>
      </c>
    </row>
    <row r="12" spans="1:12">
      <c r="A12" t="s">
        <v>67</v>
      </c>
      <c r="B12" t="s">
        <v>121</v>
      </c>
      <c r="C12" t="s">
        <v>244</v>
      </c>
      <c r="D12" s="19">
        <v>32</v>
      </c>
      <c r="E12" s="19">
        <v>0</v>
      </c>
      <c r="F12" s="19">
        <v>0</v>
      </c>
      <c r="G12" s="19">
        <v>0</v>
      </c>
      <c r="H12" t="s">
        <v>54</v>
      </c>
      <c r="I12" s="19">
        <v>86</v>
      </c>
      <c r="J12" t="s">
        <v>55</v>
      </c>
      <c r="K12" s="20">
        <v>46234</v>
      </c>
      <c r="L12" t="s">
        <v>249</v>
      </c>
    </row>
    <row r="13" spans="1:12">
      <c r="A13" t="s">
        <v>71</v>
      </c>
      <c r="B13" t="s">
        <v>121</v>
      </c>
      <c r="C13" t="s">
        <v>244</v>
      </c>
      <c r="D13" s="19">
        <v>55</v>
      </c>
      <c r="E13" s="19">
        <v>0</v>
      </c>
      <c r="F13" s="19">
        <v>0</v>
      </c>
      <c r="G13" s="19">
        <v>0</v>
      </c>
      <c r="H13" t="s">
        <v>54</v>
      </c>
      <c r="I13" s="19">
        <v>44</v>
      </c>
      <c r="J13" t="s">
        <v>55</v>
      </c>
      <c r="K13" s="20">
        <v>46234</v>
      </c>
      <c r="L13" t="s">
        <v>250</v>
      </c>
    </row>
    <row r="14" spans="1:12">
      <c r="A14" t="s">
        <v>74</v>
      </c>
      <c r="B14" t="s">
        <v>121</v>
      </c>
      <c r="C14" t="s">
        <v>244</v>
      </c>
      <c r="D14" s="19">
        <v>78</v>
      </c>
      <c r="E14" s="19">
        <v>0</v>
      </c>
      <c r="F14" s="19">
        <v>0</v>
      </c>
      <c r="G14" s="19">
        <v>0</v>
      </c>
      <c r="H14" t="s">
        <v>54</v>
      </c>
      <c r="I14" s="19">
        <v>63</v>
      </c>
      <c r="J14" t="s">
        <v>55</v>
      </c>
      <c r="K14" s="20">
        <v>46234</v>
      </c>
      <c r="L14" t="s">
        <v>251</v>
      </c>
    </row>
    <row r="15" spans="1:12">
      <c r="A15" t="s">
        <v>78</v>
      </c>
      <c r="B15" t="s">
        <v>121</v>
      </c>
      <c r="C15" t="s">
        <v>244</v>
      </c>
      <c r="D15" s="19">
        <v>101</v>
      </c>
      <c r="E15" s="19">
        <v>0</v>
      </c>
      <c r="F15" s="19">
        <v>0</v>
      </c>
      <c r="G15" s="19">
        <v>0</v>
      </c>
      <c r="H15" t="s">
        <v>54</v>
      </c>
      <c r="I15" s="19">
        <v>31</v>
      </c>
      <c r="J15" t="s">
        <v>55</v>
      </c>
      <c r="K15" s="20">
        <v>46234</v>
      </c>
      <c r="L15" t="s">
        <v>252</v>
      </c>
    </row>
    <row r="16" spans="1:12">
      <c r="A16" t="s">
        <v>81</v>
      </c>
      <c r="B16" t="s">
        <v>121</v>
      </c>
      <c r="C16" t="s">
        <v>244</v>
      </c>
      <c r="D16" s="19">
        <v>34</v>
      </c>
      <c r="E16" s="19">
        <v>0</v>
      </c>
      <c r="F16" s="19">
        <v>0</v>
      </c>
      <c r="G16" s="19">
        <v>0</v>
      </c>
      <c r="H16" t="s">
        <v>54</v>
      </c>
      <c r="I16" s="19">
        <v>57</v>
      </c>
      <c r="J16" t="s">
        <v>55</v>
      </c>
      <c r="K16" s="20">
        <v>46234</v>
      </c>
      <c r="L16" t="s">
        <v>253</v>
      </c>
    </row>
    <row r="17" spans="1:12">
      <c r="A17" t="s">
        <v>85</v>
      </c>
      <c r="B17" t="s">
        <v>121</v>
      </c>
      <c r="C17" t="s">
        <v>244</v>
      </c>
      <c r="D17" s="19">
        <v>57</v>
      </c>
      <c r="E17" s="19">
        <v>0</v>
      </c>
      <c r="F17" s="19">
        <v>0</v>
      </c>
      <c r="G17" s="19">
        <v>0</v>
      </c>
      <c r="H17" t="s">
        <v>54</v>
      </c>
      <c r="I17" s="19">
        <v>71</v>
      </c>
      <c r="J17" t="s">
        <v>55</v>
      </c>
      <c r="K17" s="20">
        <v>46234</v>
      </c>
      <c r="L17" t="s">
        <v>254</v>
      </c>
    </row>
    <row r="18" spans="1:12">
      <c r="A18" t="s">
        <v>88</v>
      </c>
      <c r="B18" t="s">
        <v>121</v>
      </c>
      <c r="C18" t="s">
        <v>244</v>
      </c>
      <c r="D18" s="19">
        <v>80</v>
      </c>
      <c r="E18" s="19">
        <v>0</v>
      </c>
      <c r="F18" s="19">
        <v>0</v>
      </c>
      <c r="G18" s="19">
        <v>0</v>
      </c>
      <c r="H18" t="s">
        <v>54</v>
      </c>
      <c r="I18" s="19">
        <v>14</v>
      </c>
      <c r="J18" t="s">
        <v>92</v>
      </c>
      <c r="K18" s="20">
        <v>46234</v>
      </c>
      <c r="L18" t="s">
        <v>255</v>
      </c>
    </row>
    <row r="19" spans="1:12">
      <c r="A19" t="s">
        <v>93</v>
      </c>
      <c r="B19" t="s">
        <v>121</v>
      </c>
      <c r="C19" t="s">
        <v>244</v>
      </c>
      <c r="D19" s="19">
        <v>103</v>
      </c>
      <c r="E19" s="19">
        <v>0</v>
      </c>
      <c r="F19" s="19">
        <v>0</v>
      </c>
      <c r="G19" s="19">
        <v>0</v>
      </c>
      <c r="H19" t="s">
        <v>54</v>
      </c>
      <c r="I19" s="19">
        <v>4.2</v>
      </c>
      <c r="J19" t="s">
        <v>92</v>
      </c>
      <c r="K19" s="20">
        <v>46234</v>
      </c>
      <c r="L19" t="s">
        <v>256</v>
      </c>
    </row>
    <row r="20" spans="1:12">
      <c r="A20" t="s">
        <v>96</v>
      </c>
      <c r="B20" t="s">
        <v>121</v>
      </c>
      <c r="C20" t="s">
        <v>244</v>
      </c>
      <c r="D20" s="19">
        <v>36</v>
      </c>
      <c r="E20" s="19">
        <v>0</v>
      </c>
      <c r="F20" s="19">
        <v>0</v>
      </c>
      <c r="G20" s="19">
        <v>0</v>
      </c>
      <c r="H20" t="s">
        <v>54</v>
      </c>
      <c r="I20" s="19">
        <v>95</v>
      </c>
      <c r="J20" t="s">
        <v>100</v>
      </c>
      <c r="K20" s="20">
        <v>46234</v>
      </c>
      <c r="L20" t="s">
        <v>257</v>
      </c>
    </row>
    <row r="21" spans="1:12">
      <c r="A21" t="s">
        <v>101</v>
      </c>
      <c r="B21" t="s">
        <v>121</v>
      </c>
      <c r="C21" t="s">
        <v>244</v>
      </c>
      <c r="D21" s="19">
        <v>59</v>
      </c>
      <c r="E21" s="19">
        <v>0</v>
      </c>
      <c r="F21" s="19">
        <v>0</v>
      </c>
      <c r="G21" s="19">
        <v>0</v>
      </c>
      <c r="H21" t="s">
        <v>54</v>
      </c>
      <c r="I21" s="19">
        <v>16500</v>
      </c>
      <c r="J21" t="s">
        <v>104</v>
      </c>
      <c r="K21" s="20">
        <v>46234</v>
      </c>
      <c r="L21" t="s">
        <v>258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showGridLines="0" workbookViewId="0"/>
  </sheetViews>
  <sheetFormatPr baseColWidth="10" defaultColWidth="8.83203125" defaultRowHeight="14"/>
  <cols>
    <col min="1" max="1" width="14" customWidth="1"/>
    <col min="2" max="2" width="16" customWidth="1"/>
    <col min="3" max="3" width="19" customWidth="1"/>
    <col min="4" max="4" width="12" customWidth="1"/>
    <col min="5" max="5" width="14" customWidth="1"/>
    <col min="6" max="6" width="10" customWidth="1"/>
    <col min="7" max="7" width="17" customWidth="1"/>
    <col min="8" max="8" width="11" customWidth="1"/>
    <col min="9" max="9" width="16" customWidth="1"/>
    <col min="10" max="11" width="15" customWidth="1"/>
    <col min="12" max="12" width="16" customWidth="1"/>
  </cols>
  <sheetData>
    <row r="1" spans="1:12" ht="30" customHeight="1">
      <c r="A1" s="27" t="s">
        <v>259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6" customHeight="1">
      <c r="A2" s="28" t="s">
        <v>260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5" spans="1:12" ht="32" customHeight="1">
      <c r="A5" s="18" t="s">
        <v>261</v>
      </c>
      <c r="B5" s="18" t="s">
        <v>262</v>
      </c>
      <c r="C5" s="18" t="s">
        <v>177</v>
      </c>
      <c r="D5" s="18" t="s">
        <v>263</v>
      </c>
      <c r="E5" s="18" t="s">
        <v>264</v>
      </c>
      <c r="F5" s="18" t="s">
        <v>265</v>
      </c>
      <c r="G5" s="18" t="s">
        <v>266</v>
      </c>
      <c r="H5" s="18" t="s">
        <v>267</v>
      </c>
      <c r="I5" s="18" t="s">
        <v>268</v>
      </c>
      <c r="J5" s="18" t="s">
        <v>48</v>
      </c>
      <c r="K5" s="18" t="s">
        <v>269</v>
      </c>
      <c r="L5" s="18" t="s">
        <v>119</v>
      </c>
    </row>
    <row r="6" spans="1:12">
      <c r="A6" t="s">
        <v>50</v>
      </c>
      <c r="B6" t="s">
        <v>192</v>
      </c>
      <c r="C6" t="s">
        <v>270</v>
      </c>
      <c r="D6" s="19">
        <v>7</v>
      </c>
      <c r="E6" s="19">
        <v>2</v>
      </c>
      <c r="F6" s="19">
        <v>0</v>
      </c>
      <c r="G6" s="19">
        <v>0</v>
      </c>
      <c r="H6" t="s">
        <v>54</v>
      </c>
      <c r="I6" s="19">
        <v>310</v>
      </c>
      <c r="J6" t="s">
        <v>55</v>
      </c>
      <c r="K6" s="20">
        <v>46235</v>
      </c>
      <c r="L6" t="s">
        <v>271</v>
      </c>
    </row>
    <row r="7" spans="1:12">
      <c r="A7" t="s">
        <v>57</v>
      </c>
      <c r="B7" t="s">
        <v>192</v>
      </c>
      <c r="C7" t="s">
        <v>270</v>
      </c>
      <c r="D7" s="19">
        <v>20</v>
      </c>
      <c r="E7" s="19">
        <v>0</v>
      </c>
      <c r="F7" s="19">
        <v>0</v>
      </c>
      <c r="G7" s="19">
        <v>0</v>
      </c>
      <c r="H7" t="s">
        <v>54</v>
      </c>
      <c r="I7" s="19">
        <v>420</v>
      </c>
      <c r="J7" t="s">
        <v>55</v>
      </c>
      <c r="K7" s="20">
        <v>46235</v>
      </c>
      <c r="L7" t="s">
        <v>272</v>
      </c>
    </row>
    <row r="8" spans="1:12">
      <c r="A8" t="s">
        <v>60</v>
      </c>
      <c r="B8" t="s">
        <v>192</v>
      </c>
      <c r="C8" t="s">
        <v>270</v>
      </c>
      <c r="D8" s="19">
        <v>33</v>
      </c>
      <c r="E8" s="19">
        <v>0</v>
      </c>
      <c r="F8" s="19">
        <v>0</v>
      </c>
      <c r="G8" s="19">
        <v>0</v>
      </c>
      <c r="H8" t="s">
        <v>54</v>
      </c>
      <c r="I8" s="19">
        <v>735</v>
      </c>
      <c r="J8" t="s">
        <v>55</v>
      </c>
      <c r="K8" s="20">
        <v>46235</v>
      </c>
      <c r="L8" t="s">
        <v>273</v>
      </c>
    </row>
    <row r="9" spans="1:12">
      <c r="A9" t="s">
        <v>64</v>
      </c>
      <c r="B9" t="s">
        <v>192</v>
      </c>
      <c r="C9" t="s">
        <v>270</v>
      </c>
      <c r="D9" s="19">
        <v>46</v>
      </c>
      <c r="E9" s="19">
        <v>0</v>
      </c>
      <c r="F9" s="19">
        <v>0</v>
      </c>
      <c r="G9" s="19">
        <v>0</v>
      </c>
      <c r="H9" t="s">
        <v>54</v>
      </c>
      <c r="I9" s="19">
        <v>310</v>
      </c>
      <c r="J9" t="s">
        <v>55</v>
      </c>
      <c r="K9" s="20">
        <v>46235</v>
      </c>
      <c r="L9" t="s">
        <v>274</v>
      </c>
    </row>
    <row r="10" spans="1:12">
      <c r="A10" t="s">
        <v>67</v>
      </c>
      <c r="B10" t="s">
        <v>192</v>
      </c>
      <c r="C10" t="s">
        <v>270</v>
      </c>
      <c r="D10" s="19">
        <v>15</v>
      </c>
      <c r="E10" s="19">
        <v>0</v>
      </c>
      <c r="F10" s="19">
        <v>0</v>
      </c>
      <c r="G10" s="19">
        <v>0</v>
      </c>
      <c r="H10" t="s">
        <v>54</v>
      </c>
      <c r="I10" s="19">
        <v>86</v>
      </c>
      <c r="J10" t="s">
        <v>55</v>
      </c>
      <c r="K10" s="20">
        <v>46235</v>
      </c>
      <c r="L10" t="s">
        <v>275</v>
      </c>
    </row>
    <row r="11" spans="1:12">
      <c r="A11" t="s">
        <v>71</v>
      </c>
      <c r="B11" t="s">
        <v>192</v>
      </c>
      <c r="C11" t="s">
        <v>270</v>
      </c>
      <c r="D11" s="19">
        <v>28</v>
      </c>
      <c r="E11" s="19">
        <v>0</v>
      </c>
      <c r="F11" s="19">
        <v>0</v>
      </c>
      <c r="G11" s="19">
        <v>0</v>
      </c>
      <c r="H11" t="s">
        <v>54</v>
      </c>
      <c r="I11" s="19">
        <v>44</v>
      </c>
      <c r="J11" t="s">
        <v>55</v>
      </c>
      <c r="K11" s="20">
        <v>46235</v>
      </c>
      <c r="L11" t="s">
        <v>276</v>
      </c>
    </row>
    <row r="12" spans="1:12">
      <c r="A12" t="s">
        <v>74</v>
      </c>
      <c r="B12" t="s">
        <v>192</v>
      </c>
      <c r="C12" t="s">
        <v>270</v>
      </c>
      <c r="D12" s="19">
        <v>41</v>
      </c>
      <c r="E12" s="19">
        <v>2</v>
      </c>
      <c r="F12" s="19">
        <v>0</v>
      </c>
      <c r="G12" s="19">
        <v>0</v>
      </c>
      <c r="H12" t="s">
        <v>54</v>
      </c>
      <c r="I12" s="19">
        <v>63</v>
      </c>
      <c r="J12" t="s">
        <v>55</v>
      </c>
      <c r="K12" s="20">
        <v>46235</v>
      </c>
      <c r="L12" t="s">
        <v>277</v>
      </c>
    </row>
    <row r="13" spans="1:12">
      <c r="A13" t="s">
        <v>78</v>
      </c>
      <c r="B13" t="s">
        <v>192</v>
      </c>
      <c r="C13" t="s">
        <v>270</v>
      </c>
      <c r="D13" s="19">
        <v>10</v>
      </c>
      <c r="E13" s="19">
        <v>0</v>
      </c>
      <c r="F13" s="19">
        <v>0</v>
      </c>
      <c r="G13" s="19">
        <v>0</v>
      </c>
      <c r="H13" t="s">
        <v>54</v>
      </c>
      <c r="I13" s="19">
        <v>31</v>
      </c>
      <c r="J13" t="s">
        <v>55</v>
      </c>
      <c r="K13" s="20">
        <v>46235</v>
      </c>
      <c r="L13" t="s">
        <v>278</v>
      </c>
    </row>
    <row r="14" spans="1:12">
      <c r="A14" t="s">
        <v>81</v>
      </c>
      <c r="B14" t="s">
        <v>192</v>
      </c>
      <c r="C14" t="s">
        <v>270</v>
      </c>
      <c r="D14" s="19">
        <v>23</v>
      </c>
      <c r="E14" s="19">
        <v>0</v>
      </c>
      <c r="F14" s="19">
        <v>0</v>
      </c>
      <c r="G14" s="19">
        <v>0</v>
      </c>
      <c r="H14" t="s">
        <v>54</v>
      </c>
      <c r="I14" s="19">
        <v>57</v>
      </c>
      <c r="J14" t="s">
        <v>55</v>
      </c>
      <c r="K14" s="20">
        <v>46235</v>
      </c>
      <c r="L14" t="s">
        <v>279</v>
      </c>
    </row>
    <row r="15" spans="1:12">
      <c r="A15" t="s">
        <v>85</v>
      </c>
      <c r="B15" t="s">
        <v>192</v>
      </c>
      <c r="C15" t="s">
        <v>270</v>
      </c>
      <c r="D15" s="19">
        <v>36</v>
      </c>
      <c r="E15" s="19">
        <v>0</v>
      </c>
      <c r="F15" s="19">
        <v>0</v>
      </c>
      <c r="G15" s="19">
        <v>0</v>
      </c>
      <c r="H15" t="s">
        <v>54</v>
      </c>
      <c r="I15" s="19">
        <v>71</v>
      </c>
      <c r="J15" t="s">
        <v>55</v>
      </c>
      <c r="K15" s="20">
        <v>46235</v>
      </c>
      <c r="L15" t="s">
        <v>280</v>
      </c>
    </row>
    <row r="16" spans="1:12">
      <c r="A16" t="s">
        <v>88</v>
      </c>
      <c r="B16" t="s">
        <v>192</v>
      </c>
      <c r="C16" t="s">
        <v>270</v>
      </c>
      <c r="D16" s="19">
        <v>49</v>
      </c>
      <c r="E16" s="19">
        <v>0</v>
      </c>
      <c r="F16" s="19">
        <v>0</v>
      </c>
      <c r="G16" s="19">
        <v>0</v>
      </c>
      <c r="H16" t="s">
        <v>54</v>
      </c>
      <c r="I16" s="19">
        <v>14</v>
      </c>
      <c r="J16" t="s">
        <v>92</v>
      </c>
      <c r="K16" s="20">
        <v>46235</v>
      </c>
      <c r="L16" t="s">
        <v>281</v>
      </c>
    </row>
    <row r="17" spans="1:12">
      <c r="A17" t="s">
        <v>93</v>
      </c>
      <c r="B17" t="s">
        <v>192</v>
      </c>
      <c r="C17" t="s">
        <v>270</v>
      </c>
      <c r="D17" s="19">
        <v>18</v>
      </c>
      <c r="E17" s="19">
        <v>0</v>
      </c>
      <c r="F17" s="19">
        <v>0</v>
      </c>
      <c r="G17" s="19">
        <v>0</v>
      </c>
      <c r="H17" t="s">
        <v>54</v>
      </c>
      <c r="I17" s="19">
        <v>4.2</v>
      </c>
      <c r="J17" t="s">
        <v>92</v>
      </c>
      <c r="K17" s="20">
        <v>46235</v>
      </c>
      <c r="L17" t="s">
        <v>282</v>
      </c>
    </row>
    <row r="18" spans="1:12">
      <c r="A18" t="s">
        <v>96</v>
      </c>
      <c r="B18" t="s">
        <v>192</v>
      </c>
      <c r="C18" t="s">
        <v>270</v>
      </c>
      <c r="D18" s="19">
        <v>31</v>
      </c>
      <c r="E18" s="19">
        <v>2</v>
      </c>
      <c r="F18" s="19">
        <v>0</v>
      </c>
      <c r="G18" s="19">
        <v>0</v>
      </c>
      <c r="H18" t="s">
        <v>54</v>
      </c>
      <c r="I18" s="19">
        <v>95</v>
      </c>
      <c r="J18" t="s">
        <v>100</v>
      </c>
      <c r="K18" s="20">
        <v>46235</v>
      </c>
      <c r="L18" t="s">
        <v>283</v>
      </c>
    </row>
    <row r="19" spans="1:12">
      <c r="A19" t="s">
        <v>101</v>
      </c>
      <c r="B19" t="s">
        <v>192</v>
      </c>
      <c r="C19" t="s">
        <v>270</v>
      </c>
      <c r="D19" s="19">
        <v>44</v>
      </c>
      <c r="E19" s="19">
        <v>0</v>
      </c>
      <c r="F19" s="19">
        <v>0</v>
      </c>
      <c r="G19" s="19">
        <v>0</v>
      </c>
      <c r="H19" t="s">
        <v>54</v>
      </c>
      <c r="I19" s="19">
        <v>16500</v>
      </c>
      <c r="J19" t="s">
        <v>104</v>
      </c>
      <c r="K19" s="20">
        <v>46235</v>
      </c>
      <c r="L19" t="s">
        <v>284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6"/>
  <sheetViews>
    <sheetView showGridLines="0" workbookViewId="0"/>
  </sheetViews>
  <sheetFormatPr baseColWidth="10" defaultColWidth="8.83203125" defaultRowHeight="14"/>
  <cols>
    <col min="1" max="2" width="17" customWidth="1"/>
    <col min="3" max="3" width="16" customWidth="1"/>
    <col min="4" max="5" width="15" customWidth="1"/>
    <col min="6" max="6" width="19" customWidth="1"/>
    <col min="7" max="7" width="23" customWidth="1"/>
  </cols>
  <sheetData>
    <row r="1" spans="1:7" ht="30" customHeight="1">
      <c r="A1" s="27" t="s">
        <v>285</v>
      </c>
      <c r="B1" s="27"/>
      <c r="C1" s="27"/>
      <c r="D1" s="27"/>
      <c r="E1" s="27"/>
      <c r="F1" s="27"/>
      <c r="G1" s="27"/>
    </row>
    <row r="2" spans="1:7" ht="26" customHeight="1">
      <c r="A2" s="28" t="s">
        <v>286</v>
      </c>
      <c r="B2" s="28"/>
      <c r="C2" s="28"/>
      <c r="D2" s="28"/>
      <c r="E2" s="28"/>
      <c r="F2" s="28"/>
      <c r="G2" s="28"/>
    </row>
    <row r="4" spans="1:7" ht="32" customHeight="1">
      <c r="A4" s="18" t="s">
        <v>287</v>
      </c>
      <c r="B4" s="18" t="s">
        <v>288</v>
      </c>
      <c r="C4" s="18" t="s">
        <v>289</v>
      </c>
      <c r="D4" s="18" t="s">
        <v>290</v>
      </c>
      <c r="E4" s="18" t="s">
        <v>291</v>
      </c>
      <c r="F4" s="18" t="s">
        <v>292</v>
      </c>
      <c r="G4" s="18" t="s">
        <v>293</v>
      </c>
    </row>
    <row r="5" spans="1:7">
      <c r="A5" s="20">
        <v>45716</v>
      </c>
      <c r="B5" t="s">
        <v>120</v>
      </c>
      <c r="C5" t="s">
        <v>294</v>
      </c>
      <c r="D5" s="22">
        <v>38</v>
      </c>
      <c r="E5" s="22">
        <v>0</v>
      </c>
      <c r="F5" s="21">
        <v>18</v>
      </c>
      <c r="G5" s="22">
        <f t="shared" ref="G5:G68" si="0">D5-E5</f>
        <v>38</v>
      </c>
    </row>
    <row r="6" spans="1:7">
      <c r="A6" s="20">
        <v>45716</v>
      </c>
      <c r="B6" t="s">
        <v>57</v>
      </c>
      <c r="C6" t="s">
        <v>295</v>
      </c>
      <c r="D6" s="22">
        <v>57</v>
      </c>
      <c r="E6" s="22">
        <v>1</v>
      </c>
      <c r="F6" s="21">
        <v>25.5</v>
      </c>
      <c r="G6" s="22">
        <f t="shared" si="0"/>
        <v>56</v>
      </c>
    </row>
    <row r="7" spans="1:7">
      <c r="A7" s="20">
        <v>45716</v>
      </c>
      <c r="B7" t="s">
        <v>60</v>
      </c>
      <c r="C7" t="s">
        <v>296</v>
      </c>
      <c r="D7" s="22">
        <v>76</v>
      </c>
      <c r="E7" s="22">
        <v>2</v>
      </c>
      <c r="F7" s="21">
        <v>33</v>
      </c>
      <c r="G7" s="22">
        <f t="shared" si="0"/>
        <v>74</v>
      </c>
    </row>
    <row r="8" spans="1:7">
      <c r="A8" s="20">
        <v>45716</v>
      </c>
      <c r="B8" t="s">
        <v>64</v>
      </c>
      <c r="C8" t="s">
        <v>294</v>
      </c>
      <c r="D8" s="22">
        <v>95</v>
      </c>
      <c r="E8" s="22">
        <v>3</v>
      </c>
      <c r="F8" s="21">
        <v>40.5</v>
      </c>
      <c r="G8" s="22">
        <f t="shared" si="0"/>
        <v>92</v>
      </c>
    </row>
    <row r="9" spans="1:7">
      <c r="A9" s="20">
        <v>45716</v>
      </c>
      <c r="B9" t="s">
        <v>297</v>
      </c>
      <c r="C9" t="s">
        <v>295</v>
      </c>
      <c r="D9" s="22">
        <v>114</v>
      </c>
      <c r="E9" s="22">
        <v>4</v>
      </c>
      <c r="F9" s="21">
        <v>48</v>
      </c>
      <c r="G9" s="22">
        <f t="shared" si="0"/>
        <v>110</v>
      </c>
    </row>
    <row r="10" spans="1:7">
      <c r="A10" s="20">
        <v>45716</v>
      </c>
      <c r="B10" t="s">
        <v>71</v>
      </c>
      <c r="C10" t="s">
        <v>296</v>
      </c>
      <c r="D10" s="22">
        <v>133</v>
      </c>
      <c r="E10" s="22">
        <v>5</v>
      </c>
      <c r="F10" s="21">
        <v>55.5</v>
      </c>
      <c r="G10" s="22">
        <f t="shared" si="0"/>
        <v>128</v>
      </c>
    </row>
    <row r="11" spans="1:7">
      <c r="A11" s="20">
        <v>45716</v>
      </c>
      <c r="B11" t="s">
        <v>74</v>
      </c>
      <c r="C11" t="s">
        <v>294</v>
      </c>
      <c r="D11" s="22">
        <v>152</v>
      </c>
      <c r="E11" s="22">
        <v>6</v>
      </c>
      <c r="F11" s="21">
        <v>63</v>
      </c>
      <c r="G11" s="22">
        <f t="shared" si="0"/>
        <v>146</v>
      </c>
    </row>
    <row r="12" spans="1:7">
      <c r="A12" s="20">
        <v>45716</v>
      </c>
      <c r="B12" t="s">
        <v>78</v>
      </c>
      <c r="C12" t="s">
        <v>295</v>
      </c>
      <c r="D12" s="22">
        <v>171</v>
      </c>
      <c r="E12" s="22">
        <v>7</v>
      </c>
      <c r="F12" s="21">
        <v>70.5</v>
      </c>
      <c r="G12" s="22">
        <f t="shared" si="0"/>
        <v>164</v>
      </c>
    </row>
    <row r="13" spans="1:7">
      <c r="A13" s="20">
        <v>45716</v>
      </c>
      <c r="B13" t="s">
        <v>298</v>
      </c>
      <c r="C13" t="s">
        <v>296</v>
      </c>
      <c r="D13" s="22">
        <v>190</v>
      </c>
      <c r="E13" s="22">
        <v>8</v>
      </c>
      <c r="F13" s="21">
        <v>78</v>
      </c>
      <c r="G13" s="22">
        <f t="shared" si="0"/>
        <v>182</v>
      </c>
    </row>
    <row r="14" spans="1:7">
      <c r="A14" s="20">
        <v>45716</v>
      </c>
      <c r="B14" t="s">
        <v>85</v>
      </c>
      <c r="C14" t="s">
        <v>294</v>
      </c>
      <c r="D14" s="22">
        <v>39</v>
      </c>
      <c r="E14" s="22">
        <v>0</v>
      </c>
      <c r="F14" s="21">
        <v>85.5</v>
      </c>
      <c r="G14" s="22">
        <f t="shared" si="0"/>
        <v>39</v>
      </c>
    </row>
    <row r="15" spans="1:7">
      <c r="A15" s="20">
        <v>45716</v>
      </c>
      <c r="B15" t="s">
        <v>88</v>
      </c>
      <c r="C15" t="s">
        <v>295</v>
      </c>
      <c r="D15" s="22">
        <v>58</v>
      </c>
      <c r="E15" s="22">
        <v>1</v>
      </c>
      <c r="F15" s="21">
        <v>93</v>
      </c>
      <c r="G15" s="22">
        <f t="shared" si="0"/>
        <v>57</v>
      </c>
    </row>
    <row r="16" spans="1:7">
      <c r="A16" s="20">
        <v>45716</v>
      </c>
      <c r="B16" t="s">
        <v>93</v>
      </c>
      <c r="C16" t="s">
        <v>296</v>
      </c>
      <c r="D16" s="22">
        <v>77</v>
      </c>
      <c r="E16" s="22">
        <v>2</v>
      </c>
      <c r="F16" s="21">
        <v>100.5</v>
      </c>
      <c r="G16" s="22">
        <f t="shared" si="0"/>
        <v>75</v>
      </c>
    </row>
    <row r="17" spans="1:7">
      <c r="A17" s="20">
        <v>45716</v>
      </c>
      <c r="B17" t="s">
        <v>172</v>
      </c>
      <c r="C17" t="s">
        <v>294</v>
      </c>
      <c r="D17" s="22">
        <v>96</v>
      </c>
      <c r="E17" s="22">
        <v>3</v>
      </c>
      <c r="F17" s="21">
        <v>108</v>
      </c>
      <c r="G17" s="22">
        <f t="shared" si="0"/>
        <v>93</v>
      </c>
    </row>
    <row r="18" spans="1:7">
      <c r="A18" s="20">
        <v>45716</v>
      </c>
      <c r="B18" t="s">
        <v>101</v>
      </c>
      <c r="C18" t="s">
        <v>295</v>
      </c>
      <c r="D18" s="22">
        <v>115</v>
      </c>
      <c r="E18" s="22">
        <v>4</v>
      </c>
      <c r="F18" s="21">
        <v>115.5</v>
      </c>
      <c r="G18" s="22">
        <f t="shared" si="0"/>
        <v>111</v>
      </c>
    </row>
    <row r="19" spans="1:7">
      <c r="A19" s="20">
        <v>45747</v>
      </c>
      <c r="B19" t="s">
        <v>120</v>
      </c>
      <c r="C19" t="s">
        <v>294</v>
      </c>
      <c r="D19" s="22">
        <v>49</v>
      </c>
      <c r="E19" s="22">
        <v>1</v>
      </c>
      <c r="F19" s="21">
        <v>18</v>
      </c>
      <c r="G19" s="22">
        <f t="shared" si="0"/>
        <v>48</v>
      </c>
    </row>
    <row r="20" spans="1:7">
      <c r="A20" s="20">
        <v>45747</v>
      </c>
      <c r="B20" t="s">
        <v>57</v>
      </c>
      <c r="C20" t="s">
        <v>295</v>
      </c>
      <c r="D20" s="22">
        <v>68</v>
      </c>
      <c r="E20" s="22">
        <v>2</v>
      </c>
      <c r="F20" s="21">
        <v>25.5</v>
      </c>
      <c r="G20" s="22">
        <f t="shared" si="0"/>
        <v>66</v>
      </c>
    </row>
    <row r="21" spans="1:7">
      <c r="A21" s="20">
        <v>45747</v>
      </c>
      <c r="B21" t="s">
        <v>60</v>
      </c>
      <c r="C21" t="s">
        <v>296</v>
      </c>
      <c r="D21" s="22">
        <v>87</v>
      </c>
      <c r="E21" s="22">
        <v>3</v>
      </c>
      <c r="F21" s="21">
        <v>33</v>
      </c>
      <c r="G21" s="22">
        <f t="shared" si="0"/>
        <v>84</v>
      </c>
    </row>
    <row r="22" spans="1:7">
      <c r="A22" s="20">
        <v>45747</v>
      </c>
      <c r="B22" t="s">
        <v>64</v>
      </c>
      <c r="C22" t="s">
        <v>294</v>
      </c>
      <c r="D22" s="22">
        <v>106</v>
      </c>
      <c r="E22" s="22">
        <v>4</v>
      </c>
      <c r="F22" s="21">
        <v>40.5</v>
      </c>
      <c r="G22" s="22">
        <f t="shared" si="0"/>
        <v>102</v>
      </c>
    </row>
    <row r="23" spans="1:7">
      <c r="A23" s="20">
        <v>45747</v>
      </c>
      <c r="B23" t="s">
        <v>297</v>
      </c>
      <c r="C23" t="s">
        <v>295</v>
      </c>
      <c r="D23" s="22">
        <v>125</v>
      </c>
      <c r="E23" s="22">
        <v>5</v>
      </c>
      <c r="F23" s="21">
        <v>48</v>
      </c>
      <c r="G23" s="22">
        <f t="shared" si="0"/>
        <v>120</v>
      </c>
    </row>
    <row r="24" spans="1:7">
      <c r="A24" s="20">
        <v>45747</v>
      </c>
      <c r="B24" t="s">
        <v>71</v>
      </c>
      <c r="C24" t="s">
        <v>296</v>
      </c>
      <c r="D24" s="22">
        <v>144</v>
      </c>
      <c r="E24" s="22">
        <v>6</v>
      </c>
      <c r="F24" s="21">
        <v>55.5</v>
      </c>
      <c r="G24" s="22">
        <f t="shared" si="0"/>
        <v>138</v>
      </c>
    </row>
    <row r="25" spans="1:7">
      <c r="A25" s="20">
        <v>45747</v>
      </c>
      <c r="B25" t="s">
        <v>74</v>
      </c>
      <c r="C25" t="s">
        <v>294</v>
      </c>
      <c r="D25" s="22">
        <v>163</v>
      </c>
      <c r="E25" s="22">
        <v>7</v>
      </c>
      <c r="F25" s="21">
        <v>63</v>
      </c>
      <c r="G25" s="22">
        <f t="shared" si="0"/>
        <v>156</v>
      </c>
    </row>
    <row r="26" spans="1:7">
      <c r="A26" s="20">
        <v>45747</v>
      </c>
      <c r="B26" t="s">
        <v>78</v>
      </c>
      <c r="C26" t="s">
        <v>295</v>
      </c>
      <c r="D26" s="22">
        <v>182</v>
      </c>
      <c r="E26" s="22">
        <v>8</v>
      </c>
      <c r="F26" s="21">
        <v>70.5</v>
      </c>
      <c r="G26" s="22">
        <f t="shared" si="0"/>
        <v>174</v>
      </c>
    </row>
    <row r="27" spans="1:7">
      <c r="A27" s="20">
        <v>45747</v>
      </c>
      <c r="B27" t="s">
        <v>298</v>
      </c>
      <c r="C27" t="s">
        <v>296</v>
      </c>
      <c r="D27" s="22">
        <v>201</v>
      </c>
      <c r="E27" s="22">
        <v>0</v>
      </c>
      <c r="F27" s="21">
        <v>78</v>
      </c>
      <c r="G27" s="22">
        <f t="shared" si="0"/>
        <v>201</v>
      </c>
    </row>
    <row r="28" spans="1:7">
      <c r="A28" s="20">
        <v>45747</v>
      </c>
      <c r="B28" t="s">
        <v>85</v>
      </c>
      <c r="C28" t="s">
        <v>294</v>
      </c>
      <c r="D28" s="22">
        <v>50</v>
      </c>
      <c r="E28" s="22">
        <v>1</v>
      </c>
      <c r="F28" s="21">
        <v>85.5</v>
      </c>
      <c r="G28" s="22">
        <f t="shared" si="0"/>
        <v>49</v>
      </c>
    </row>
    <row r="29" spans="1:7">
      <c r="A29" s="20">
        <v>45747</v>
      </c>
      <c r="B29" t="s">
        <v>88</v>
      </c>
      <c r="C29" t="s">
        <v>295</v>
      </c>
      <c r="D29" s="22">
        <v>69</v>
      </c>
      <c r="E29" s="22">
        <v>2</v>
      </c>
      <c r="F29" s="21">
        <v>93</v>
      </c>
      <c r="G29" s="22">
        <f t="shared" si="0"/>
        <v>67</v>
      </c>
    </row>
    <row r="30" spans="1:7">
      <c r="A30" s="20">
        <v>45747</v>
      </c>
      <c r="B30" t="s">
        <v>93</v>
      </c>
      <c r="C30" t="s">
        <v>296</v>
      </c>
      <c r="D30" s="22">
        <v>88</v>
      </c>
      <c r="E30" s="22">
        <v>3</v>
      </c>
      <c r="F30" s="21">
        <v>100.5</v>
      </c>
      <c r="G30" s="22">
        <f t="shared" si="0"/>
        <v>85</v>
      </c>
    </row>
    <row r="31" spans="1:7">
      <c r="A31" s="20">
        <v>45747</v>
      </c>
      <c r="B31" t="s">
        <v>172</v>
      </c>
      <c r="C31" t="s">
        <v>294</v>
      </c>
      <c r="D31" s="22">
        <v>107</v>
      </c>
      <c r="E31" s="22">
        <v>4</v>
      </c>
      <c r="F31" s="21">
        <v>108</v>
      </c>
      <c r="G31" s="22">
        <f t="shared" si="0"/>
        <v>103</v>
      </c>
    </row>
    <row r="32" spans="1:7">
      <c r="A32" s="20">
        <v>45747</v>
      </c>
      <c r="B32" t="s">
        <v>101</v>
      </c>
      <c r="C32" t="s">
        <v>295</v>
      </c>
      <c r="D32" s="22">
        <v>126</v>
      </c>
      <c r="E32" s="22">
        <v>5</v>
      </c>
      <c r="F32" s="21">
        <v>115.5</v>
      </c>
      <c r="G32" s="22">
        <f t="shared" si="0"/>
        <v>121</v>
      </c>
    </row>
    <row r="33" spans="1:7">
      <c r="A33" s="20">
        <v>45777</v>
      </c>
      <c r="B33" t="s">
        <v>120</v>
      </c>
      <c r="C33" t="s">
        <v>294</v>
      </c>
      <c r="D33" s="22">
        <v>60</v>
      </c>
      <c r="E33" s="22">
        <v>2</v>
      </c>
      <c r="F33" s="21">
        <v>18</v>
      </c>
      <c r="G33" s="22">
        <f t="shared" si="0"/>
        <v>58</v>
      </c>
    </row>
    <row r="34" spans="1:7">
      <c r="A34" s="20">
        <v>45777</v>
      </c>
      <c r="B34" t="s">
        <v>57</v>
      </c>
      <c r="C34" t="s">
        <v>295</v>
      </c>
      <c r="D34" s="22">
        <v>79</v>
      </c>
      <c r="E34" s="22">
        <v>3</v>
      </c>
      <c r="F34" s="21">
        <v>25.5</v>
      </c>
      <c r="G34" s="22">
        <f t="shared" si="0"/>
        <v>76</v>
      </c>
    </row>
    <row r="35" spans="1:7">
      <c r="A35" s="20">
        <v>45777</v>
      </c>
      <c r="B35" t="s">
        <v>60</v>
      </c>
      <c r="C35" t="s">
        <v>296</v>
      </c>
      <c r="D35" s="22">
        <v>98</v>
      </c>
      <c r="E35" s="22">
        <v>4</v>
      </c>
      <c r="F35" s="21">
        <v>33</v>
      </c>
      <c r="G35" s="22">
        <f t="shared" si="0"/>
        <v>94</v>
      </c>
    </row>
    <row r="36" spans="1:7">
      <c r="A36" s="20">
        <v>45777</v>
      </c>
      <c r="B36" t="s">
        <v>64</v>
      </c>
      <c r="C36" t="s">
        <v>294</v>
      </c>
      <c r="D36" s="22">
        <v>117</v>
      </c>
      <c r="E36" s="22">
        <v>5</v>
      </c>
      <c r="F36" s="21">
        <v>40.5</v>
      </c>
      <c r="G36" s="22">
        <f t="shared" si="0"/>
        <v>112</v>
      </c>
    </row>
    <row r="37" spans="1:7">
      <c r="A37" s="20">
        <v>45777</v>
      </c>
      <c r="B37" t="s">
        <v>297</v>
      </c>
      <c r="C37" t="s">
        <v>295</v>
      </c>
      <c r="D37" s="22">
        <v>136</v>
      </c>
      <c r="E37" s="22">
        <v>6</v>
      </c>
      <c r="F37" s="21">
        <v>48</v>
      </c>
      <c r="G37" s="22">
        <f t="shared" si="0"/>
        <v>130</v>
      </c>
    </row>
    <row r="38" spans="1:7">
      <c r="A38" s="20">
        <v>45777</v>
      </c>
      <c r="B38" t="s">
        <v>71</v>
      </c>
      <c r="C38" t="s">
        <v>296</v>
      </c>
      <c r="D38" s="22">
        <v>155</v>
      </c>
      <c r="E38" s="22">
        <v>7</v>
      </c>
      <c r="F38" s="21">
        <v>55.5</v>
      </c>
      <c r="G38" s="22">
        <f t="shared" si="0"/>
        <v>148</v>
      </c>
    </row>
    <row r="39" spans="1:7">
      <c r="A39" s="20">
        <v>45777</v>
      </c>
      <c r="B39" t="s">
        <v>74</v>
      </c>
      <c r="C39" t="s">
        <v>294</v>
      </c>
      <c r="D39" s="22">
        <v>174</v>
      </c>
      <c r="E39" s="22">
        <v>8</v>
      </c>
      <c r="F39" s="21">
        <v>63</v>
      </c>
      <c r="G39" s="22">
        <f t="shared" si="0"/>
        <v>166</v>
      </c>
    </row>
    <row r="40" spans="1:7">
      <c r="A40" s="20">
        <v>45777</v>
      </c>
      <c r="B40" t="s">
        <v>78</v>
      </c>
      <c r="C40" t="s">
        <v>295</v>
      </c>
      <c r="D40" s="22">
        <v>193</v>
      </c>
      <c r="E40" s="22">
        <v>0</v>
      </c>
      <c r="F40" s="21">
        <v>70.5</v>
      </c>
      <c r="G40" s="22">
        <f t="shared" si="0"/>
        <v>193</v>
      </c>
    </row>
    <row r="41" spans="1:7">
      <c r="A41" s="20">
        <v>45777</v>
      </c>
      <c r="B41" t="s">
        <v>298</v>
      </c>
      <c r="C41" t="s">
        <v>296</v>
      </c>
      <c r="D41" s="22">
        <v>42</v>
      </c>
      <c r="E41" s="22">
        <v>1</v>
      </c>
      <c r="F41" s="21">
        <v>78</v>
      </c>
      <c r="G41" s="22">
        <f t="shared" si="0"/>
        <v>41</v>
      </c>
    </row>
    <row r="42" spans="1:7">
      <c r="A42" s="20">
        <v>45777</v>
      </c>
      <c r="B42" t="s">
        <v>85</v>
      </c>
      <c r="C42" t="s">
        <v>294</v>
      </c>
      <c r="D42" s="22">
        <v>61</v>
      </c>
      <c r="E42" s="22">
        <v>2</v>
      </c>
      <c r="F42" s="21">
        <v>85.5</v>
      </c>
      <c r="G42" s="22">
        <f t="shared" si="0"/>
        <v>59</v>
      </c>
    </row>
    <row r="43" spans="1:7">
      <c r="A43" s="20">
        <v>45777</v>
      </c>
      <c r="B43" t="s">
        <v>88</v>
      </c>
      <c r="C43" t="s">
        <v>295</v>
      </c>
      <c r="D43" s="22">
        <v>80</v>
      </c>
      <c r="E43" s="22">
        <v>3</v>
      </c>
      <c r="F43" s="21">
        <v>93</v>
      </c>
      <c r="G43" s="22">
        <f t="shared" si="0"/>
        <v>77</v>
      </c>
    </row>
    <row r="44" spans="1:7">
      <c r="A44" s="20">
        <v>45777</v>
      </c>
      <c r="B44" t="s">
        <v>93</v>
      </c>
      <c r="C44" t="s">
        <v>296</v>
      </c>
      <c r="D44" s="22">
        <v>99</v>
      </c>
      <c r="E44" s="22">
        <v>4</v>
      </c>
      <c r="F44" s="21">
        <v>100.5</v>
      </c>
      <c r="G44" s="22">
        <f t="shared" si="0"/>
        <v>95</v>
      </c>
    </row>
    <row r="45" spans="1:7">
      <c r="A45" s="20">
        <v>45777</v>
      </c>
      <c r="B45" t="s">
        <v>172</v>
      </c>
      <c r="C45" t="s">
        <v>294</v>
      </c>
      <c r="D45" s="22">
        <v>118</v>
      </c>
      <c r="E45" s="22">
        <v>5</v>
      </c>
      <c r="F45" s="21">
        <v>108</v>
      </c>
      <c r="G45" s="22">
        <f t="shared" si="0"/>
        <v>113</v>
      </c>
    </row>
    <row r="46" spans="1:7">
      <c r="A46" s="20">
        <v>45777</v>
      </c>
      <c r="B46" t="s">
        <v>101</v>
      </c>
      <c r="C46" t="s">
        <v>295</v>
      </c>
      <c r="D46" s="22">
        <v>137</v>
      </c>
      <c r="E46" s="22">
        <v>6</v>
      </c>
      <c r="F46" s="21">
        <v>115.5</v>
      </c>
      <c r="G46" s="22">
        <f t="shared" si="0"/>
        <v>131</v>
      </c>
    </row>
    <row r="47" spans="1:7">
      <c r="A47" s="20">
        <v>45808</v>
      </c>
      <c r="B47" t="s">
        <v>120</v>
      </c>
      <c r="C47" t="s">
        <v>294</v>
      </c>
      <c r="D47" s="22">
        <v>71</v>
      </c>
      <c r="E47" s="22">
        <v>3</v>
      </c>
      <c r="F47" s="21">
        <v>18</v>
      </c>
      <c r="G47" s="22">
        <f t="shared" si="0"/>
        <v>68</v>
      </c>
    </row>
    <row r="48" spans="1:7">
      <c r="A48" s="20">
        <v>45808</v>
      </c>
      <c r="B48" t="s">
        <v>57</v>
      </c>
      <c r="C48" t="s">
        <v>295</v>
      </c>
      <c r="D48" s="22">
        <v>90</v>
      </c>
      <c r="E48" s="22">
        <v>4</v>
      </c>
      <c r="F48" s="21">
        <v>25.5</v>
      </c>
      <c r="G48" s="22">
        <f t="shared" si="0"/>
        <v>86</v>
      </c>
    </row>
    <row r="49" spans="1:7">
      <c r="A49" s="20">
        <v>45808</v>
      </c>
      <c r="B49" t="s">
        <v>60</v>
      </c>
      <c r="C49" t="s">
        <v>296</v>
      </c>
      <c r="D49" s="22">
        <v>109</v>
      </c>
      <c r="E49" s="22">
        <v>5</v>
      </c>
      <c r="F49" s="21">
        <v>33</v>
      </c>
      <c r="G49" s="22">
        <f t="shared" si="0"/>
        <v>104</v>
      </c>
    </row>
    <row r="50" spans="1:7">
      <c r="A50" s="20">
        <v>45808</v>
      </c>
      <c r="B50" t="s">
        <v>64</v>
      </c>
      <c r="C50" t="s">
        <v>294</v>
      </c>
      <c r="D50" s="22">
        <v>128</v>
      </c>
      <c r="E50" s="22">
        <v>6</v>
      </c>
      <c r="F50" s="21">
        <v>40.5</v>
      </c>
      <c r="G50" s="22">
        <f t="shared" si="0"/>
        <v>122</v>
      </c>
    </row>
    <row r="51" spans="1:7">
      <c r="A51" s="20">
        <v>45808</v>
      </c>
      <c r="B51" t="s">
        <v>297</v>
      </c>
      <c r="C51" t="s">
        <v>295</v>
      </c>
      <c r="D51" s="22">
        <v>147</v>
      </c>
      <c r="E51" s="22">
        <v>7</v>
      </c>
      <c r="F51" s="21">
        <v>48</v>
      </c>
      <c r="G51" s="22">
        <f t="shared" si="0"/>
        <v>140</v>
      </c>
    </row>
    <row r="52" spans="1:7">
      <c r="A52" s="20">
        <v>45808</v>
      </c>
      <c r="B52" t="s">
        <v>71</v>
      </c>
      <c r="C52" t="s">
        <v>296</v>
      </c>
      <c r="D52" s="22">
        <v>166</v>
      </c>
      <c r="E52" s="22">
        <v>8</v>
      </c>
      <c r="F52" s="21">
        <v>55.5</v>
      </c>
      <c r="G52" s="22">
        <f t="shared" si="0"/>
        <v>158</v>
      </c>
    </row>
    <row r="53" spans="1:7">
      <c r="A53" s="20">
        <v>45808</v>
      </c>
      <c r="B53" t="s">
        <v>74</v>
      </c>
      <c r="C53" t="s">
        <v>294</v>
      </c>
      <c r="D53" s="22">
        <v>185</v>
      </c>
      <c r="E53" s="22">
        <v>0</v>
      </c>
      <c r="F53" s="21">
        <v>63</v>
      </c>
      <c r="G53" s="22">
        <f t="shared" si="0"/>
        <v>185</v>
      </c>
    </row>
    <row r="54" spans="1:7">
      <c r="A54" s="20">
        <v>45808</v>
      </c>
      <c r="B54" t="s">
        <v>78</v>
      </c>
      <c r="C54" t="s">
        <v>295</v>
      </c>
      <c r="D54" s="22">
        <v>204</v>
      </c>
      <c r="E54" s="22">
        <v>1</v>
      </c>
      <c r="F54" s="21">
        <v>70.5</v>
      </c>
      <c r="G54" s="22">
        <f t="shared" si="0"/>
        <v>203</v>
      </c>
    </row>
    <row r="55" spans="1:7">
      <c r="A55" s="20">
        <v>45808</v>
      </c>
      <c r="B55" t="s">
        <v>298</v>
      </c>
      <c r="C55" t="s">
        <v>296</v>
      </c>
      <c r="D55" s="22">
        <v>53</v>
      </c>
      <c r="E55" s="22">
        <v>2</v>
      </c>
      <c r="F55" s="21">
        <v>78</v>
      </c>
      <c r="G55" s="22">
        <f t="shared" si="0"/>
        <v>51</v>
      </c>
    </row>
    <row r="56" spans="1:7">
      <c r="A56" s="20">
        <v>45808</v>
      </c>
      <c r="B56" t="s">
        <v>85</v>
      </c>
      <c r="C56" t="s">
        <v>294</v>
      </c>
      <c r="D56" s="22">
        <v>72</v>
      </c>
      <c r="E56" s="22">
        <v>3</v>
      </c>
      <c r="F56" s="21">
        <v>85.5</v>
      </c>
      <c r="G56" s="22">
        <f t="shared" si="0"/>
        <v>69</v>
      </c>
    </row>
    <row r="57" spans="1:7">
      <c r="A57" s="20">
        <v>45808</v>
      </c>
      <c r="B57" t="s">
        <v>88</v>
      </c>
      <c r="C57" t="s">
        <v>295</v>
      </c>
      <c r="D57" s="22">
        <v>91</v>
      </c>
      <c r="E57" s="22">
        <v>4</v>
      </c>
      <c r="F57" s="21">
        <v>93</v>
      </c>
      <c r="G57" s="22">
        <f t="shared" si="0"/>
        <v>87</v>
      </c>
    </row>
    <row r="58" spans="1:7">
      <c r="A58" s="20">
        <v>45808</v>
      </c>
      <c r="B58" t="s">
        <v>93</v>
      </c>
      <c r="C58" t="s">
        <v>296</v>
      </c>
      <c r="D58" s="22">
        <v>110</v>
      </c>
      <c r="E58" s="22">
        <v>5</v>
      </c>
      <c r="F58" s="21">
        <v>100.5</v>
      </c>
      <c r="G58" s="22">
        <f t="shared" si="0"/>
        <v>105</v>
      </c>
    </row>
    <row r="59" spans="1:7">
      <c r="A59" s="20">
        <v>45808</v>
      </c>
      <c r="B59" t="s">
        <v>172</v>
      </c>
      <c r="C59" t="s">
        <v>294</v>
      </c>
      <c r="D59" s="22">
        <v>129</v>
      </c>
      <c r="E59" s="22">
        <v>6</v>
      </c>
      <c r="F59" s="21">
        <v>108</v>
      </c>
      <c r="G59" s="22">
        <f t="shared" si="0"/>
        <v>123</v>
      </c>
    </row>
    <row r="60" spans="1:7">
      <c r="A60" s="20">
        <v>45808</v>
      </c>
      <c r="B60" t="s">
        <v>101</v>
      </c>
      <c r="C60" t="s">
        <v>295</v>
      </c>
      <c r="D60" s="22">
        <v>148</v>
      </c>
      <c r="E60" s="22">
        <v>7</v>
      </c>
      <c r="F60" s="21">
        <v>115.5</v>
      </c>
      <c r="G60" s="22">
        <f t="shared" si="0"/>
        <v>141</v>
      </c>
    </row>
    <row r="61" spans="1:7">
      <c r="A61" s="20">
        <v>45838</v>
      </c>
      <c r="B61" t="s">
        <v>120</v>
      </c>
      <c r="C61" t="s">
        <v>294</v>
      </c>
      <c r="D61" s="22">
        <v>82</v>
      </c>
      <c r="E61" s="22">
        <v>4</v>
      </c>
      <c r="F61" s="21">
        <v>18</v>
      </c>
      <c r="G61" s="22">
        <f t="shared" si="0"/>
        <v>78</v>
      </c>
    </row>
    <row r="62" spans="1:7">
      <c r="A62" s="20">
        <v>45838</v>
      </c>
      <c r="B62" t="s">
        <v>57</v>
      </c>
      <c r="C62" t="s">
        <v>295</v>
      </c>
      <c r="D62" s="22">
        <v>101</v>
      </c>
      <c r="E62" s="22">
        <v>5</v>
      </c>
      <c r="F62" s="21">
        <v>25.5</v>
      </c>
      <c r="G62" s="22">
        <f t="shared" si="0"/>
        <v>96</v>
      </c>
    </row>
    <row r="63" spans="1:7">
      <c r="A63" s="20">
        <v>45838</v>
      </c>
      <c r="B63" t="s">
        <v>60</v>
      </c>
      <c r="C63" t="s">
        <v>296</v>
      </c>
      <c r="D63" s="22">
        <v>120</v>
      </c>
      <c r="E63" s="22">
        <v>6</v>
      </c>
      <c r="F63" s="21">
        <v>33</v>
      </c>
      <c r="G63" s="22">
        <f t="shared" si="0"/>
        <v>114</v>
      </c>
    </row>
    <row r="64" spans="1:7">
      <c r="A64" s="20">
        <v>45838</v>
      </c>
      <c r="B64" t="s">
        <v>64</v>
      </c>
      <c r="C64" t="s">
        <v>294</v>
      </c>
      <c r="D64" s="22">
        <v>139</v>
      </c>
      <c r="E64" s="22">
        <v>7</v>
      </c>
      <c r="F64" s="21">
        <v>40.5</v>
      </c>
      <c r="G64" s="22">
        <f t="shared" si="0"/>
        <v>132</v>
      </c>
    </row>
    <row r="65" spans="1:7">
      <c r="A65" s="20">
        <v>45838</v>
      </c>
      <c r="B65" t="s">
        <v>297</v>
      </c>
      <c r="C65" t="s">
        <v>295</v>
      </c>
      <c r="D65" s="22">
        <v>158</v>
      </c>
      <c r="E65" s="22">
        <v>8</v>
      </c>
      <c r="F65" s="21">
        <v>48</v>
      </c>
      <c r="G65" s="22">
        <f t="shared" si="0"/>
        <v>150</v>
      </c>
    </row>
    <row r="66" spans="1:7">
      <c r="A66" s="20">
        <v>45838</v>
      </c>
      <c r="B66" t="s">
        <v>71</v>
      </c>
      <c r="C66" t="s">
        <v>296</v>
      </c>
      <c r="D66" s="22">
        <v>177</v>
      </c>
      <c r="E66" s="22">
        <v>0</v>
      </c>
      <c r="F66" s="21">
        <v>55.5</v>
      </c>
      <c r="G66" s="22">
        <f t="shared" si="0"/>
        <v>177</v>
      </c>
    </row>
    <row r="67" spans="1:7">
      <c r="A67" s="20">
        <v>45838</v>
      </c>
      <c r="B67" t="s">
        <v>74</v>
      </c>
      <c r="C67" t="s">
        <v>294</v>
      </c>
      <c r="D67" s="22">
        <v>196</v>
      </c>
      <c r="E67" s="22">
        <v>1</v>
      </c>
      <c r="F67" s="21">
        <v>63</v>
      </c>
      <c r="G67" s="22">
        <f t="shared" si="0"/>
        <v>195</v>
      </c>
    </row>
    <row r="68" spans="1:7">
      <c r="A68" s="20">
        <v>45838</v>
      </c>
      <c r="B68" t="s">
        <v>78</v>
      </c>
      <c r="C68" t="s">
        <v>295</v>
      </c>
      <c r="D68" s="22">
        <v>45</v>
      </c>
      <c r="E68" s="22">
        <v>2</v>
      </c>
      <c r="F68" s="21">
        <v>70.5</v>
      </c>
      <c r="G68" s="22">
        <f t="shared" si="0"/>
        <v>43</v>
      </c>
    </row>
    <row r="69" spans="1:7">
      <c r="A69" s="20">
        <v>45838</v>
      </c>
      <c r="B69" t="s">
        <v>298</v>
      </c>
      <c r="C69" t="s">
        <v>296</v>
      </c>
      <c r="D69" s="22">
        <v>64</v>
      </c>
      <c r="E69" s="22">
        <v>3</v>
      </c>
      <c r="F69" s="21">
        <v>78</v>
      </c>
      <c r="G69" s="22">
        <f t="shared" ref="G69:G132" si="1">D69-E69</f>
        <v>61</v>
      </c>
    </row>
    <row r="70" spans="1:7">
      <c r="A70" s="20">
        <v>45838</v>
      </c>
      <c r="B70" t="s">
        <v>85</v>
      </c>
      <c r="C70" t="s">
        <v>294</v>
      </c>
      <c r="D70" s="22">
        <v>83</v>
      </c>
      <c r="E70" s="22">
        <v>4</v>
      </c>
      <c r="F70" s="21">
        <v>85.5</v>
      </c>
      <c r="G70" s="22">
        <f t="shared" si="1"/>
        <v>79</v>
      </c>
    </row>
    <row r="71" spans="1:7">
      <c r="A71" s="20">
        <v>45838</v>
      </c>
      <c r="B71" t="s">
        <v>88</v>
      </c>
      <c r="C71" t="s">
        <v>295</v>
      </c>
      <c r="D71" s="22">
        <v>102</v>
      </c>
      <c r="E71" s="22">
        <v>5</v>
      </c>
      <c r="F71" s="21">
        <v>93</v>
      </c>
      <c r="G71" s="22">
        <f t="shared" si="1"/>
        <v>97</v>
      </c>
    </row>
    <row r="72" spans="1:7">
      <c r="A72" s="20">
        <v>45838</v>
      </c>
      <c r="B72" t="s">
        <v>93</v>
      </c>
      <c r="C72" t="s">
        <v>296</v>
      </c>
      <c r="D72" s="22">
        <v>121</v>
      </c>
      <c r="E72" s="22">
        <v>6</v>
      </c>
      <c r="F72" s="21">
        <v>100.5</v>
      </c>
      <c r="G72" s="22">
        <f t="shared" si="1"/>
        <v>115</v>
      </c>
    </row>
    <row r="73" spans="1:7">
      <c r="A73" s="20">
        <v>45838</v>
      </c>
      <c r="B73" t="s">
        <v>172</v>
      </c>
      <c r="C73" t="s">
        <v>294</v>
      </c>
      <c r="D73" s="22">
        <v>140</v>
      </c>
      <c r="E73" s="22">
        <v>7</v>
      </c>
      <c r="F73" s="21">
        <v>108</v>
      </c>
      <c r="G73" s="22">
        <f t="shared" si="1"/>
        <v>133</v>
      </c>
    </row>
    <row r="74" spans="1:7">
      <c r="A74" s="20">
        <v>45838</v>
      </c>
      <c r="B74" t="s">
        <v>101</v>
      </c>
      <c r="C74" t="s">
        <v>295</v>
      </c>
      <c r="D74" s="22">
        <v>159</v>
      </c>
      <c r="E74" s="22">
        <v>8</v>
      </c>
      <c r="F74" s="21">
        <v>115.5</v>
      </c>
      <c r="G74" s="22">
        <f t="shared" si="1"/>
        <v>151</v>
      </c>
    </row>
    <row r="75" spans="1:7">
      <c r="A75" s="20">
        <v>45869</v>
      </c>
      <c r="B75" t="s">
        <v>120</v>
      </c>
      <c r="C75" t="s">
        <v>294</v>
      </c>
      <c r="D75" s="22">
        <v>93</v>
      </c>
      <c r="E75" s="22">
        <v>5</v>
      </c>
      <c r="F75" s="21">
        <v>18</v>
      </c>
      <c r="G75" s="22">
        <f t="shared" si="1"/>
        <v>88</v>
      </c>
    </row>
    <row r="76" spans="1:7">
      <c r="A76" s="20">
        <v>45869</v>
      </c>
      <c r="B76" t="s">
        <v>57</v>
      </c>
      <c r="C76" t="s">
        <v>295</v>
      </c>
      <c r="D76" s="22">
        <v>112</v>
      </c>
      <c r="E76" s="22">
        <v>6</v>
      </c>
      <c r="F76" s="21">
        <v>25.5</v>
      </c>
      <c r="G76" s="22">
        <f t="shared" si="1"/>
        <v>106</v>
      </c>
    </row>
    <row r="77" spans="1:7">
      <c r="A77" s="20">
        <v>45869</v>
      </c>
      <c r="B77" t="s">
        <v>60</v>
      </c>
      <c r="C77" t="s">
        <v>296</v>
      </c>
      <c r="D77" s="22">
        <v>131</v>
      </c>
      <c r="E77" s="22">
        <v>7</v>
      </c>
      <c r="F77" s="21">
        <v>33</v>
      </c>
      <c r="G77" s="22">
        <f t="shared" si="1"/>
        <v>124</v>
      </c>
    </row>
    <row r="78" spans="1:7">
      <c r="A78" s="20">
        <v>45869</v>
      </c>
      <c r="B78" t="s">
        <v>64</v>
      </c>
      <c r="C78" t="s">
        <v>294</v>
      </c>
      <c r="D78" s="22">
        <v>150</v>
      </c>
      <c r="E78" s="22">
        <v>8</v>
      </c>
      <c r="F78" s="21">
        <v>40.5</v>
      </c>
      <c r="G78" s="22">
        <f t="shared" si="1"/>
        <v>142</v>
      </c>
    </row>
    <row r="79" spans="1:7">
      <c r="A79" s="20">
        <v>45869</v>
      </c>
      <c r="B79" t="s">
        <v>297</v>
      </c>
      <c r="C79" t="s">
        <v>295</v>
      </c>
      <c r="D79" s="22">
        <v>169</v>
      </c>
      <c r="E79" s="22">
        <v>0</v>
      </c>
      <c r="F79" s="21">
        <v>48</v>
      </c>
      <c r="G79" s="22">
        <f t="shared" si="1"/>
        <v>169</v>
      </c>
    </row>
    <row r="80" spans="1:7">
      <c r="A80" s="20">
        <v>45869</v>
      </c>
      <c r="B80" t="s">
        <v>71</v>
      </c>
      <c r="C80" t="s">
        <v>296</v>
      </c>
      <c r="D80" s="22">
        <v>188</v>
      </c>
      <c r="E80" s="22">
        <v>1</v>
      </c>
      <c r="F80" s="21">
        <v>55.5</v>
      </c>
      <c r="G80" s="22">
        <f t="shared" si="1"/>
        <v>187</v>
      </c>
    </row>
    <row r="81" spans="1:7">
      <c r="A81" s="20">
        <v>45869</v>
      </c>
      <c r="B81" t="s">
        <v>74</v>
      </c>
      <c r="C81" t="s">
        <v>294</v>
      </c>
      <c r="D81" s="22">
        <v>207</v>
      </c>
      <c r="E81" s="22">
        <v>2</v>
      </c>
      <c r="F81" s="21">
        <v>63</v>
      </c>
      <c r="G81" s="22">
        <f t="shared" si="1"/>
        <v>205</v>
      </c>
    </row>
    <row r="82" spans="1:7">
      <c r="A82" s="20">
        <v>45869</v>
      </c>
      <c r="B82" t="s">
        <v>78</v>
      </c>
      <c r="C82" t="s">
        <v>295</v>
      </c>
      <c r="D82" s="22">
        <v>56</v>
      </c>
      <c r="E82" s="22">
        <v>3</v>
      </c>
      <c r="F82" s="21">
        <v>70.5</v>
      </c>
      <c r="G82" s="22">
        <f t="shared" si="1"/>
        <v>53</v>
      </c>
    </row>
    <row r="83" spans="1:7">
      <c r="A83" s="20">
        <v>45869</v>
      </c>
      <c r="B83" t="s">
        <v>298</v>
      </c>
      <c r="C83" t="s">
        <v>296</v>
      </c>
      <c r="D83" s="22">
        <v>75</v>
      </c>
      <c r="E83" s="22">
        <v>4</v>
      </c>
      <c r="F83" s="21">
        <v>78</v>
      </c>
      <c r="G83" s="22">
        <f t="shared" si="1"/>
        <v>71</v>
      </c>
    </row>
    <row r="84" spans="1:7">
      <c r="A84" s="20">
        <v>45869</v>
      </c>
      <c r="B84" t="s">
        <v>85</v>
      </c>
      <c r="C84" t="s">
        <v>294</v>
      </c>
      <c r="D84" s="22">
        <v>94</v>
      </c>
      <c r="E84" s="22">
        <v>5</v>
      </c>
      <c r="F84" s="21">
        <v>85.5</v>
      </c>
      <c r="G84" s="22">
        <f t="shared" si="1"/>
        <v>89</v>
      </c>
    </row>
    <row r="85" spans="1:7">
      <c r="A85" s="20">
        <v>45869</v>
      </c>
      <c r="B85" t="s">
        <v>88</v>
      </c>
      <c r="C85" t="s">
        <v>295</v>
      </c>
      <c r="D85" s="22">
        <v>113</v>
      </c>
      <c r="E85" s="22">
        <v>6</v>
      </c>
      <c r="F85" s="21">
        <v>93</v>
      </c>
      <c r="G85" s="22">
        <f t="shared" si="1"/>
        <v>107</v>
      </c>
    </row>
    <row r="86" spans="1:7">
      <c r="A86" s="20">
        <v>45869</v>
      </c>
      <c r="B86" t="s">
        <v>93</v>
      </c>
      <c r="C86" t="s">
        <v>296</v>
      </c>
      <c r="D86" s="22">
        <v>132</v>
      </c>
      <c r="E86" s="22">
        <v>7</v>
      </c>
      <c r="F86" s="21">
        <v>100.5</v>
      </c>
      <c r="G86" s="22">
        <f t="shared" si="1"/>
        <v>125</v>
      </c>
    </row>
    <row r="87" spans="1:7">
      <c r="A87" s="20">
        <v>45869</v>
      </c>
      <c r="B87" t="s">
        <v>172</v>
      </c>
      <c r="C87" t="s">
        <v>294</v>
      </c>
      <c r="D87" s="22">
        <v>151</v>
      </c>
      <c r="E87" s="22">
        <v>8</v>
      </c>
      <c r="F87" s="21">
        <v>108</v>
      </c>
      <c r="G87" s="22">
        <f t="shared" si="1"/>
        <v>143</v>
      </c>
    </row>
    <row r="88" spans="1:7">
      <c r="A88" s="20">
        <v>45869</v>
      </c>
      <c r="B88" t="s">
        <v>101</v>
      </c>
      <c r="C88" t="s">
        <v>295</v>
      </c>
      <c r="D88" s="22">
        <v>170</v>
      </c>
      <c r="E88" s="22">
        <v>0</v>
      </c>
      <c r="F88" s="21">
        <v>115.5</v>
      </c>
      <c r="G88" s="22">
        <f t="shared" si="1"/>
        <v>170</v>
      </c>
    </row>
    <row r="89" spans="1:7">
      <c r="A89" s="20">
        <v>45900</v>
      </c>
      <c r="B89" t="s">
        <v>120</v>
      </c>
      <c r="C89" t="s">
        <v>294</v>
      </c>
      <c r="D89" s="22">
        <v>104</v>
      </c>
      <c r="E89" s="22">
        <v>6</v>
      </c>
      <c r="F89" s="21">
        <v>18</v>
      </c>
      <c r="G89" s="22">
        <f t="shared" si="1"/>
        <v>98</v>
      </c>
    </row>
    <row r="90" spans="1:7">
      <c r="A90" s="20">
        <v>45900</v>
      </c>
      <c r="B90" t="s">
        <v>57</v>
      </c>
      <c r="C90" t="s">
        <v>295</v>
      </c>
      <c r="D90" s="22">
        <v>123</v>
      </c>
      <c r="E90" s="22">
        <v>7</v>
      </c>
      <c r="F90" s="21">
        <v>25.5</v>
      </c>
      <c r="G90" s="22">
        <f t="shared" si="1"/>
        <v>116</v>
      </c>
    </row>
    <row r="91" spans="1:7">
      <c r="A91" s="20">
        <v>45900</v>
      </c>
      <c r="B91" t="s">
        <v>60</v>
      </c>
      <c r="C91" t="s">
        <v>296</v>
      </c>
      <c r="D91" s="22">
        <v>142</v>
      </c>
      <c r="E91" s="22">
        <v>8</v>
      </c>
      <c r="F91" s="21">
        <v>33</v>
      </c>
      <c r="G91" s="22">
        <f t="shared" si="1"/>
        <v>134</v>
      </c>
    </row>
    <row r="92" spans="1:7">
      <c r="A92" s="20">
        <v>45900</v>
      </c>
      <c r="B92" t="s">
        <v>64</v>
      </c>
      <c r="C92" t="s">
        <v>294</v>
      </c>
      <c r="D92" s="22">
        <v>161</v>
      </c>
      <c r="E92" s="22">
        <v>0</v>
      </c>
      <c r="F92" s="21">
        <v>40.5</v>
      </c>
      <c r="G92" s="22">
        <f t="shared" si="1"/>
        <v>161</v>
      </c>
    </row>
    <row r="93" spans="1:7">
      <c r="A93" s="20">
        <v>45900</v>
      </c>
      <c r="B93" t="s">
        <v>297</v>
      </c>
      <c r="C93" t="s">
        <v>295</v>
      </c>
      <c r="D93" s="22">
        <v>180</v>
      </c>
      <c r="E93" s="22">
        <v>1</v>
      </c>
      <c r="F93" s="21">
        <v>48</v>
      </c>
      <c r="G93" s="22">
        <f t="shared" si="1"/>
        <v>179</v>
      </c>
    </row>
    <row r="94" spans="1:7">
      <c r="A94" s="20">
        <v>45900</v>
      </c>
      <c r="B94" t="s">
        <v>71</v>
      </c>
      <c r="C94" t="s">
        <v>296</v>
      </c>
      <c r="D94" s="22">
        <v>199</v>
      </c>
      <c r="E94" s="22">
        <v>2</v>
      </c>
      <c r="F94" s="21">
        <v>55.5</v>
      </c>
      <c r="G94" s="22">
        <f t="shared" si="1"/>
        <v>197</v>
      </c>
    </row>
    <row r="95" spans="1:7">
      <c r="A95" s="20">
        <v>45900</v>
      </c>
      <c r="B95" t="s">
        <v>74</v>
      </c>
      <c r="C95" t="s">
        <v>294</v>
      </c>
      <c r="D95" s="22">
        <v>48</v>
      </c>
      <c r="E95" s="22">
        <v>3</v>
      </c>
      <c r="F95" s="21">
        <v>63</v>
      </c>
      <c r="G95" s="22">
        <f t="shared" si="1"/>
        <v>45</v>
      </c>
    </row>
    <row r="96" spans="1:7">
      <c r="A96" s="20">
        <v>45900</v>
      </c>
      <c r="B96" t="s">
        <v>78</v>
      </c>
      <c r="C96" t="s">
        <v>295</v>
      </c>
      <c r="D96" s="22">
        <v>67</v>
      </c>
      <c r="E96" s="22">
        <v>4</v>
      </c>
      <c r="F96" s="21">
        <v>70.5</v>
      </c>
      <c r="G96" s="22">
        <f t="shared" si="1"/>
        <v>63</v>
      </c>
    </row>
    <row r="97" spans="1:7">
      <c r="A97" s="20">
        <v>45900</v>
      </c>
      <c r="B97" t="s">
        <v>298</v>
      </c>
      <c r="C97" t="s">
        <v>296</v>
      </c>
      <c r="D97" s="22">
        <v>86</v>
      </c>
      <c r="E97" s="22">
        <v>5</v>
      </c>
      <c r="F97" s="21">
        <v>78</v>
      </c>
      <c r="G97" s="22">
        <f t="shared" si="1"/>
        <v>81</v>
      </c>
    </row>
    <row r="98" spans="1:7">
      <c r="A98" s="20">
        <v>45900</v>
      </c>
      <c r="B98" t="s">
        <v>85</v>
      </c>
      <c r="C98" t="s">
        <v>294</v>
      </c>
      <c r="D98" s="22">
        <v>105</v>
      </c>
      <c r="E98" s="22">
        <v>6</v>
      </c>
      <c r="F98" s="21">
        <v>85.5</v>
      </c>
      <c r="G98" s="22">
        <f t="shared" si="1"/>
        <v>99</v>
      </c>
    </row>
    <row r="99" spans="1:7">
      <c r="A99" s="20">
        <v>45900</v>
      </c>
      <c r="B99" t="s">
        <v>88</v>
      </c>
      <c r="C99" t="s">
        <v>295</v>
      </c>
      <c r="D99" s="22">
        <v>124</v>
      </c>
      <c r="E99" s="22">
        <v>7</v>
      </c>
      <c r="F99" s="21">
        <v>93</v>
      </c>
      <c r="G99" s="22">
        <f t="shared" si="1"/>
        <v>117</v>
      </c>
    </row>
    <row r="100" spans="1:7">
      <c r="A100" s="20">
        <v>45900</v>
      </c>
      <c r="B100" t="s">
        <v>93</v>
      </c>
      <c r="C100" t="s">
        <v>296</v>
      </c>
      <c r="D100" s="22">
        <v>143</v>
      </c>
      <c r="E100" s="22">
        <v>8</v>
      </c>
      <c r="F100" s="21">
        <v>100.5</v>
      </c>
      <c r="G100" s="22">
        <f t="shared" si="1"/>
        <v>135</v>
      </c>
    </row>
    <row r="101" spans="1:7">
      <c r="A101" s="20">
        <v>45900</v>
      </c>
      <c r="B101" t="s">
        <v>172</v>
      </c>
      <c r="C101" t="s">
        <v>294</v>
      </c>
      <c r="D101" s="22">
        <v>162</v>
      </c>
      <c r="E101" s="22">
        <v>0</v>
      </c>
      <c r="F101" s="21">
        <v>108</v>
      </c>
      <c r="G101" s="22">
        <f t="shared" si="1"/>
        <v>162</v>
      </c>
    </row>
    <row r="102" spans="1:7">
      <c r="A102" s="20">
        <v>45900</v>
      </c>
      <c r="B102" t="s">
        <v>101</v>
      </c>
      <c r="C102" t="s">
        <v>295</v>
      </c>
      <c r="D102" s="22">
        <v>181</v>
      </c>
      <c r="E102" s="22">
        <v>1</v>
      </c>
      <c r="F102" s="21">
        <v>115.5</v>
      </c>
      <c r="G102" s="22">
        <f t="shared" si="1"/>
        <v>180</v>
      </c>
    </row>
    <row r="103" spans="1:7">
      <c r="A103" s="20">
        <v>45930</v>
      </c>
      <c r="B103" t="s">
        <v>120</v>
      </c>
      <c r="C103" t="s">
        <v>294</v>
      </c>
      <c r="D103" s="22">
        <v>115</v>
      </c>
      <c r="E103" s="22">
        <v>7</v>
      </c>
      <c r="F103" s="21">
        <v>18</v>
      </c>
      <c r="G103" s="22">
        <f t="shared" si="1"/>
        <v>108</v>
      </c>
    </row>
    <row r="104" spans="1:7">
      <c r="A104" s="20">
        <v>45930</v>
      </c>
      <c r="B104" t="s">
        <v>57</v>
      </c>
      <c r="C104" t="s">
        <v>295</v>
      </c>
      <c r="D104" s="22">
        <v>134</v>
      </c>
      <c r="E104" s="22">
        <v>8</v>
      </c>
      <c r="F104" s="21">
        <v>25.5</v>
      </c>
      <c r="G104" s="22">
        <f t="shared" si="1"/>
        <v>126</v>
      </c>
    </row>
    <row r="105" spans="1:7">
      <c r="A105" s="20">
        <v>45930</v>
      </c>
      <c r="B105" t="s">
        <v>60</v>
      </c>
      <c r="C105" t="s">
        <v>296</v>
      </c>
      <c r="D105" s="22">
        <v>153</v>
      </c>
      <c r="E105" s="22">
        <v>0</v>
      </c>
      <c r="F105" s="21">
        <v>33</v>
      </c>
      <c r="G105" s="22">
        <f t="shared" si="1"/>
        <v>153</v>
      </c>
    </row>
    <row r="106" spans="1:7">
      <c r="A106" s="20">
        <v>45930</v>
      </c>
      <c r="B106" t="s">
        <v>64</v>
      </c>
      <c r="C106" t="s">
        <v>294</v>
      </c>
      <c r="D106" s="22">
        <v>172</v>
      </c>
      <c r="E106" s="22">
        <v>1</v>
      </c>
      <c r="F106" s="21">
        <v>40.5</v>
      </c>
      <c r="G106" s="22">
        <f t="shared" si="1"/>
        <v>171</v>
      </c>
    </row>
    <row r="107" spans="1:7">
      <c r="A107" s="20">
        <v>45930</v>
      </c>
      <c r="B107" t="s">
        <v>297</v>
      </c>
      <c r="C107" t="s">
        <v>295</v>
      </c>
      <c r="D107" s="22">
        <v>191</v>
      </c>
      <c r="E107" s="22">
        <v>2</v>
      </c>
      <c r="F107" s="21">
        <v>48</v>
      </c>
      <c r="G107" s="22">
        <f t="shared" si="1"/>
        <v>189</v>
      </c>
    </row>
    <row r="108" spans="1:7">
      <c r="A108" s="20">
        <v>45930</v>
      </c>
      <c r="B108" t="s">
        <v>71</v>
      </c>
      <c r="C108" t="s">
        <v>296</v>
      </c>
      <c r="D108" s="22">
        <v>40</v>
      </c>
      <c r="E108" s="22">
        <v>-3</v>
      </c>
      <c r="F108" s="21">
        <v>55.5</v>
      </c>
      <c r="G108" s="22">
        <f t="shared" si="1"/>
        <v>43</v>
      </c>
    </row>
    <row r="109" spans="1:7">
      <c r="A109" s="20">
        <v>45930</v>
      </c>
      <c r="B109" t="s">
        <v>74</v>
      </c>
      <c r="C109" t="s">
        <v>294</v>
      </c>
      <c r="D109" s="22">
        <v>59</v>
      </c>
      <c r="E109" s="22">
        <v>4</v>
      </c>
      <c r="F109" s="21">
        <v>63</v>
      </c>
      <c r="G109" s="22">
        <f t="shared" si="1"/>
        <v>55</v>
      </c>
    </row>
    <row r="110" spans="1:7">
      <c r="A110" s="20">
        <v>45930</v>
      </c>
      <c r="B110" t="s">
        <v>78</v>
      </c>
      <c r="C110" t="s">
        <v>295</v>
      </c>
      <c r="D110" s="22">
        <v>78</v>
      </c>
      <c r="E110" s="22">
        <v>5</v>
      </c>
      <c r="F110" s="21">
        <v>70.5</v>
      </c>
      <c r="G110" s="22">
        <f t="shared" si="1"/>
        <v>73</v>
      </c>
    </row>
    <row r="111" spans="1:7">
      <c r="A111" s="20">
        <v>45930</v>
      </c>
      <c r="B111" t="s">
        <v>298</v>
      </c>
      <c r="C111" t="s">
        <v>296</v>
      </c>
      <c r="D111" s="22">
        <v>97</v>
      </c>
      <c r="E111" s="22">
        <v>6</v>
      </c>
      <c r="F111" s="21">
        <v>78</v>
      </c>
      <c r="G111" s="22">
        <f t="shared" si="1"/>
        <v>91</v>
      </c>
    </row>
    <row r="112" spans="1:7">
      <c r="A112" s="20">
        <v>45930</v>
      </c>
      <c r="B112" t="s">
        <v>85</v>
      </c>
      <c r="C112" t="s">
        <v>294</v>
      </c>
      <c r="D112" s="22">
        <v>116</v>
      </c>
      <c r="E112" s="22">
        <v>7</v>
      </c>
      <c r="F112" s="21">
        <v>85.5</v>
      </c>
      <c r="G112" s="22">
        <f t="shared" si="1"/>
        <v>109</v>
      </c>
    </row>
    <row r="113" spans="1:7">
      <c r="A113" s="20">
        <v>45930</v>
      </c>
      <c r="B113" t="s">
        <v>88</v>
      </c>
      <c r="C113" t="s">
        <v>295</v>
      </c>
      <c r="D113" s="22">
        <v>135</v>
      </c>
      <c r="E113" s="22">
        <v>8</v>
      </c>
      <c r="F113" s="21">
        <v>93</v>
      </c>
      <c r="G113" s="22">
        <f t="shared" si="1"/>
        <v>127</v>
      </c>
    </row>
    <row r="114" spans="1:7">
      <c r="A114" s="20">
        <v>45930</v>
      </c>
      <c r="B114" t="s">
        <v>93</v>
      </c>
      <c r="C114" t="s">
        <v>296</v>
      </c>
      <c r="D114" s="22">
        <v>154</v>
      </c>
      <c r="E114" s="22">
        <v>0</v>
      </c>
      <c r="F114" s="21">
        <v>100.5</v>
      </c>
      <c r="G114" s="22">
        <f t="shared" si="1"/>
        <v>154</v>
      </c>
    </row>
    <row r="115" spans="1:7">
      <c r="A115" s="20">
        <v>45930</v>
      </c>
      <c r="B115" t="s">
        <v>172</v>
      </c>
      <c r="C115" t="s">
        <v>294</v>
      </c>
      <c r="D115" s="22">
        <v>173</v>
      </c>
      <c r="E115" s="22">
        <v>1</v>
      </c>
      <c r="F115" s="21">
        <v>108</v>
      </c>
      <c r="G115" s="22">
        <f t="shared" si="1"/>
        <v>172</v>
      </c>
    </row>
    <row r="116" spans="1:7">
      <c r="A116" s="20">
        <v>45930</v>
      </c>
      <c r="B116" t="s">
        <v>101</v>
      </c>
      <c r="C116" t="s">
        <v>295</v>
      </c>
      <c r="D116" s="22">
        <v>192</v>
      </c>
      <c r="E116" s="22">
        <v>2</v>
      </c>
      <c r="F116" s="21">
        <v>115.5</v>
      </c>
      <c r="G116" s="22">
        <f t="shared" si="1"/>
        <v>190</v>
      </c>
    </row>
    <row r="117" spans="1:7">
      <c r="A117" s="20">
        <v>45961</v>
      </c>
      <c r="B117" t="s">
        <v>120</v>
      </c>
      <c r="C117" t="s">
        <v>294</v>
      </c>
      <c r="D117" s="22">
        <v>126</v>
      </c>
      <c r="E117" s="22">
        <v>8</v>
      </c>
      <c r="F117" s="21">
        <v>18</v>
      </c>
      <c r="G117" s="22">
        <f t="shared" si="1"/>
        <v>118</v>
      </c>
    </row>
    <row r="118" spans="1:7">
      <c r="A118" s="20">
        <v>45961</v>
      </c>
      <c r="B118" t="s">
        <v>57</v>
      </c>
      <c r="C118" t="s">
        <v>295</v>
      </c>
      <c r="D118" s="22">
        <v>145</v>
      </c>
      <c r="E118" s="22">
        <v>0</v>
      </c>
      <c r="F118" s="21">
        <v>25.5</v>
      </c>
      <c r="G118" s="22">
        <f t="shared" si="1"/>
        <v>145</v>
      </c>
    </row>
    <row r="119" spans="1:7">
      <c r="A119" s="20">
        <v>45961</v>
      </c>
      <c r="B119" t="s">
        <v>60</v>
      </c>
      <c r="C119" t="s">
        <v>296</v>
      </c>
      <c r="D119" s="22">
        <v>164</v>
      </c>
      <c r="E119" s="22">
        <v>1</v>
      </c>
      <c r="F119" s="21">
        <v>33</v>
      </c>
      <c r="G119" s="22">
        <f t="shared" si="1"/>
        <v>163</v>
      </c>
    </row>
    <row r="120" spans="1:7">
      <c r="A120" s="20">
        <v>45961</v>
      </c>
      <c r="B120" t="s">
        <v>64</v>
      </c>
      <c r="C120" t="s">
        <v>294</v>
      </c>
      <c r="D120" s="22">
        <v>183</v>
      </c>
      <c r="E120" s="22">
        <v>2</v>
      </c>
      <c r="F120" s="21">
        <v>40.5</v>
      </c>
      <c r="G120" s="22">
        <f t="shared" si="1"/>
        <v>181</v>
      </c>
    </row>
    <row r="121" spans="1:7">
      <c r="A121" s="20">
        <v>45961</v>
      </c>
      <c r="B121" t="s">
        <v>297</v>
      </c>
      <c r="C121" t="s">
        <v>295</v>
      </c>
      <c r="D121" s="22">
        <v>202</v>
      </c>
      <c r="E121" s="22">
        <v>3</v>
      </c>
      <c r="F121" s="21">
        <v>48</v>
      </c>
      <c r="G121" s="22">
        <f t="shared" si="1"/>
        <v>199</v>
      </c>
    </row>
    <row r="122" spans="1:7">
      <c r="A122" s="20">
        <v>45961</v>
      </c>
      <c r="B122" t="s">
        <v>71</v>
      </c>
      <c r="C122" t="s">
        <v>296</v>
      </c>
      <c r="D122" s="22">
        <v>51</v>
      </c>
      <c r="E122" s="22">
        <v>4</v>
      </c>
      <c r="F122" s="21">
        <v>55.5</v>
      </c>
      <c r="G122" s="22">
        <f t="shared" si="1"/>
        <v>47</v>
      </c>
    </row>
    <row r="123" spans="1:7">
      <c r="A123" s="20">
        <v>45961</v>
      </c>
      <c r="B123" t="s">
        <v>74</v>
      </c>
      <c r="C123" t="s">
        <v>294</v>
      </c>
      <c r="D123" s="22">
        <v>70</v>
      </c>
      <c r="E123" s="22">
        <v>5</v>
      </c>
      <c r="F123" s="21">
        <v>63</v>
      </c>
      <c r="G123" s="22">
        <f t="shared" si="1"/>
        <v>65</v>
      </c>
    </row>
    <row r="124" spans="1:7">
      <c r="A124" s="20">
        <v>45961</v>
      </c>
      <c r="B124" t="s">
        <v>78</v>
      </c>
      <c r="C124" t="s">
        <v>295</v>
      </c>
      <c r="D124" s="22">
        <v>89</v>
      </c>
      <c r="E124" s="22">
        <v>6</v>
      </c>
      <c r="F124" s="21">
        <v>70.5</v>
      </c>
      <c r="G124" s="22">
        <f t="shared" si="1"/>
        <v>83</v>
      </c>
    </row>
    <row r="125" spans="1:7">
      <c r="A125" s="20">
        <v>45961</v>
      </c>
      <c r="B125" t="s">
        <v>298</v>
      </c>
      <c r="C125" t="s">
        <v>296</v>
      </c>
      <c r="D125" s="22">
        <v>108</v>
      </c>
      <c r="E125" s="22">
        <v>7</v>
      </c>
      <c r="F125" s="21">
        <v>78</v>
      </c>
      <c r="G125" s="22">
        <f t="shared" si="1"/>
        <v>101</v>
      </c>
    </row>
    <row r="126" spans="1:7">
      <c r="A126" s="20">
        <v>45961</v>
      </c>
      <c r="B126" t="s">
        <v>85</v>
      </c>
      <c r="C126" t="s">
        <v>294</v>
      </c>
      <c r="D126" s="22">
        <v>127</v>
      </c>
      <c r="E126" s="22">
        <v>8</v>
      </c>
      <c r="F126" s="21">
        <v>85.5</v>
      </c>
      <c r="G126" s="22">
        <f t="shared" si="1"/>
        <v>119</v>
      </c>
    </row>
    <row r="127" spans="1:7">
      <c r="A127" s="20">
        <v>45961</v>
      </c>
      <c r="B127" t="s">
        <v>88</v>
      </c>
      <c r="C127" t="s">
        <v>295</v>
      </c>
      <c r="D127" s="22">
        <v>146</v>
      </c>
      <c r="E127" s="22">
        <v>0</v>
      </c>
      <c r="F127" s="21">
        <v>93</v>
      </c>
      <c r="G127" s="22">
        <f t="shared" si="1"/>
        <v>146</v>
      </c>
    </row>
    <row r="128" spans="1:7">
      <c r="A128" s="20">
        <v>45961</v>
      </c>
      <c r="B128" t="s">
        <v>93</v>
      </c>
      <c r="C128" t="s">
        <v>296</v>
      </c>
      <c r="D128" s="22">
        <v>165</v>
      </c>
      <c r="E128" s="22">
        <v>1</v>
      </c>
      <c r="F128" s="21">
        <v>100.5</v>
      </c>
      <c r="G128" s="22">
        <f t="shared" si="1"/>
        <v>164</v>
      </c>
    </row>
    <row r="129" spans="1:7">
      <c r="A129" s="20">
        <v>45961</v>
      </c>
      <c r="B129" t="s">
        <v>172</v>
      </c>
      <c r="C129" t="s">
        <v>294</v>
      </c>
      <c r="D129" s="22">
        <v>184</v>
      </c>
      <c r="E129" s="22">
        <v>2</v>
      </c>
      <c r="F129" s="21">
        <v>108</v>
      </c>
      <c r="G129" s="22">
        <f t="shared" si="1"/>
        <v>182</v>
      </c>
    </row>
    <row r="130" spans="1:7">
      <c r="A130" s="20">
        <v>45961</v>
      </c>
      <c r="B130" t="s">
        <v>101</v>
      </c>
      <c r="C130" t="s">
        <v>295</v>
      </c>
      <c r="D130" s="22">
        <v>203</v>
      </c>
      <c r="E130" s="22">
        <v>3</v>
      </c>
      <c r="F130" s="21">
        <v>115.5</v>
      </c>
      <c r="G130" s="22">
        <f t="shared" si="1"/>
        <v>200</v>
      </c>
    </row>
    <row r="131" spans="1:7">
      <c r="A131" s="20">
        <v>45991</v>
      </c>
      <c r="B131" t="s">
        <v>120</v>
      </c>
      <c r="C131" t="s">
        <v>294</v>
      </c>
      <c r="D131" s="22">
        <v>137</v>
      </c>
      <c r="E131" s="22">
        <v>0</v>
      </c>
      <c r="F131" s="21">
        <v>18</v>
      </c>
      <c r="G131" s="22">
        <f t="shared" si="1"/>
        <v>137</v>
      </c>
    </row>
    <row r="132" spans="1:7">
      <c r="A132" s="20">
        <v>45991</v>
      </c>
      <c r="B132" t="s">
        <v>57</v>
      </c>
      <c r="C132" t="s">
        <v>295</v>
      </c>
      <c r="D132" s="22">
        <v>156</v>
      </c>
      <c r="E132" s="22">
        <v>1</v>
      </c>
      <c r="F132" s="21">
        <v>25.5</v>
      </c>
      <c r="G132" s="22">
        <f t="shared" si="1"/>
        <v>155</v>
      </c>
    </row>
    <row r="133" spans="1:7">
      <c r="A133" s="20">
        <v>45991</v>
      </c>
      <c r="B133" t="s">
        <v>60</v>
      </c>
      <c r="C133" t="s">
        <v>296</v>
      </c>
      <c r="D133" s="22">
        <v>175</v>
      </c>
      <c r="E133" s="22">
        <v>2</v>
      </c>
      <c r="F133" s="21">
        <v>33</v>
      </c>
      <c r="G133" s="22">
        <f t="shared" ref="G133:G196" si="2">D133-E133</f>
        <v>173</v>
      </c>
    </row>
    <row r="134" spans="1:7">
      <c r="A134" s="20">
        <v>45991</v>
      </c>
      <c r="B134" t="s">
        <v>64</v>
      </c>
      <c r="C134" t="s">
        <v>294</v>
      </c>
      <c r="D134" s="22">
        <v>194</v>
      </c>
      <c r="E134" s="22">
        <v>3</v>
      </c>
      <c r="F134" s="21">
        <v>40.5</v>
      </c>
      <c r="G134" s="22">
        <f t="shared" si="2"/>
        <v>191</v>
      </c>
    </row>
    <row r="135" spans="1:7">
      <c r="A135" s="20">
        <v>45991</v>
      </c>
      <c r="B135" t="s">
        <v>297</v>
      </c>
      <c r="C135" t="s">
        <v>295</v>
      </c>
      <c r="D135" s="22">
        <v>43</v>
      </c>
      <c r="E135" s="22">
        <v>4</v>
      </c>
      <c r="F135" s="21">
        <v>48</v>
      </c>
      <c r="G135" s="22">
        <f t="shared" si="2"/>
        <v>39</v>
      </c>
    </row>
    <row r="136" spans="1:7">
      <c r="A136" s="20">
        <v>45991</v>
      </c>
      <c r="B136" t="s">
        <v>71</v>
      </c>
      <c r="C136" t="s">
        <v>296</v>
      </c>
      <c r="D136" s="22">
        <v>62</v>
      </c>
      <c r="E136" s="22">
        <v>5</v>
      </c>
      <c r="F136" s="21">
        <v>55.5</v>
      </c>
      <c r="G136" s="22">
        <f t="shared" si="2"/>
        <v>57</v>
      </c>
    </row>
    <row r="137" spans="1:7">
      <c r="A137" s="20">
        <v>45991</v>
      </c>
      <c r="B137" t="s">
        <v>74</v>
      </c>
      <c r="C137" t="s">
        <v>294</v>
      </c>
      <c r="D137" s="22">
        <v>81</v>
      </c>
      <c r="E137" s="22">
        <v>6</v>
      </c>
      <c r="F137" s="21">
        <v>63</v>
      </c>
      <c r="G137" s="22">
        <f t="shared" si="2"/>
        <v>75</v>
      </c>
    </row>
    <row r="138" spans="1:7">
      <c r="A138" s="20">
        <v>45991</v>
      </c>
      <c r="B138" t="s">
        <v>78</v>
      </c>
      <c r="C138" t="s">
        <v>295</v>
      </c>
      <c r="D138" s="22">
        <v>100</v>
      </c>
      <c r="E138" s="22">
        <v>7</v>
      </c>
      <c r="F138" s="21">
        <v>70.5</v>
      </c>
      <c r="G138" s="22">
        <f t="shared" si="2"/>
        <v>93</v>
      </c>
    </row>
    <row r="139" spans="1:7">
      <c r="A139" s="20">
        <v>45991</v>
      </c>
      <c r="B139" t="s">
        <v>298</v>
      </c>
      <c r="C139" t="s">
        <v>296</v>
      </c>
      <c r="D139" s="22">
        <v>119</v>
      </c>
      <c r="E139" s="22">
        <v>8</v>
      </c>
      <c r="F139" s="21">
        <v>78</v>
      </c>
      <c r="G139" s="22">
        <f t="shared" si="2"/>
        <v>111</v>
      </c>
    </row>
    <row r="140" spans="1:7">
      <c r="A140" s="20">
        <v>45991</v>
      </c>
      <c r="B140" t="s">
        <v>85</v>
      </c>
      <c r="C140" t="s">
        <v>294</v>
      </c>
      <c r="D140" s="22">
        <v>138</v>
      </c>
      <c r="E140" s="22">
        <v>0</v>
      </c>
      <c r="F140" s="21">
        <v>85.5</v>
      </c>
      <c r="G140" s="22">
        <f t="shared" si="2"/>
        <v>138</v>
      </c>
    </row>
    <row r="141" spans="1:7">
      <c r="A141" s="20">
        <v>45991</v>
      </c>
      <c r="B141" t="s">
        <v>88</v>
      </c>
      <c r="C141" t="s">
        <v>295</v>
      </c>
      <c r="D141" s="22">
        <v>157</v>
      </c>
      <c r="E141" s="22">
        <v>1</v>
      </c>
      <c r="F141" s="21">
        <v>93</v>
      </c>
      <c r="G141" s="22">
        <f t="shared" si="2"/>
        <v>156</v>
      </c>
    </row>
    <row r="142" spans="1:7">
      <c r="A142" s="20">
        <v>45991</v>
      </c>
      <c r="B142" t="s">
        <v>93</v>
      </c>
      <c r="C142" t="s">
        <v>296</v>
      </c>
      <c r="D142" s="22">
        <v>176</v>
      </c>
      <c r="E142" s="22">
        <v>2</v>
      </c>
      <c r="F142" s="21">
        <v>100.5</v>
      </c>
      <c r="G142" s="22">
        <f t="shared" si="2"/>
        <v>174</v>
      </c>
    </row>
    <row r="143" spans="1:7">
      <c r="A143" s="20">
        <v>45991</v>
      </c>
      <c r="B143" t="s">
        <v>172</v>
      </c>
      <c r="C143" t="s">
        <v>294</v>
      </c>
      <c r="D143" s="22">
        <v>195</v>
      </c>
      <c r="E143" s="22">
        <v>3</v>
      </c>
      <c r="F143" s="21">
        <v>108</v>
      </c>
      <c r="G143" s="22">
        <f t="shared" si="2"/>
        <v>192</v>
      </c>
    </row>
    <row r="144" spans="1:7">
      <c r="A144" s="20">
        <v>45991</v>
      </c>
      <c r="B144" t="s">
        <v>101</v>
      </c>
      <c r="C144" t="s">
        <v>295</v>
      </c>
      <c r="D144" s="22">
        <v>44</v>
      </c>
      <c r="E144" s="22">
        <v>4</v>
      </c>
      <c r="F144" s="21">
        <v>115.5</v>
      </c>
      <c r="G144" s="22">
        <f t="shared" si="2"/>
        <v>40</v>
      </c>
    </row>
    <row r="145" spans="1:7">
      <c r="A145" s="20">
        <v>46022</v>
      </c>
      <c r="B145" t="s">
        <v>120</v>
      </c>
      <c r="C145" t="s">
        <v>294</v>
      </c>
      <c r="D145" s="22">
        <v>183</v>
      </c>
      <c r="E145" s="22">
        <v>1</v>
      </c>
      <c r="F145" s="21">
        <v>18</v>
      </c>
      <c r="G145" s="22">
        <f t="shared" si="2"/>
        <v>182</v>
      </c>
    </row>
    <row r="146" spans="1:7">
      <c r="A146" s="20">
        <v>46022</v>
      </c>
      <c r="B146" t="s">
        <v>57</v>
      </c>
      <c r="C146" t="s">
        <v>295</v>
      </c>
      <c r="D146" s="22">
        <v>202</v>
      </c>
      <c r="E146" s="22">
        <v>2</v>
      </c>
      <c r="F146" s="21">
        <v>25.5</v>
      </c>
      <c r="G146" s="22">
        <f t="shared" si="2"/>
        <v>200</v>
      </c>
    </row>
    <row r="147" spans="1:7">
      <c r="A147" s="20">
        <v>46022</v>
      </c>
      <c r="B147" t="s">
        <v>60</v>
      </c>
      <c r="C147" t="s">
        <v>296</v>
      </c>
      <c r="D147" s="22">
        <v>221</v>
      </c>
      <c r="E147" s="22">
        <v>3</v>
      </c>
      <c r="F147" s="21">
        <v>33</v>
      </c>
      <c r="G147" s="22">
        <f t="shared" si="2"/>
        <v>218</v>
      </c>
    </row>
    <row r="148" spans="1:7">
      <c r="A148" s="20">
        <v>46022</v>
      </c>
      <c r="B148" t="s">
        <v>64</v>
      </c>
      <c r="C148" t="s">
        <v>294</v>
      </c>
      <c r="D148" s="22">
        <v>240</v>
      </c>
      <c r="E148" s="22">
        <v>4</v>
      </c>
      <c r="F148" s="21">
        <v>40.5</v>
      </c>
      <c r="G148" s="22">
        <f t="shared" si="2"/>
        <v>236</v>
      </c>
    </row>
    <row r="149" spans="1:7">
      <c r="A149" s="20">
        <v>46022</v>
      </c>
      <c r="B149" t="s">
        <v>297</v>
      </c>
      <c r="C149" t="s">
        <v>295</v>
      </c>
      <c r="D149" s="22">
        <v>89</v>
      </c>
      <c r="E149" s="22">
        <v>5</v>
      </c>
      <c r="F149" s="21">
        <v>48</v>
      </c>
      <c r="G149" s="22">
        <f t="shared" si="2"/>
        <v>84</v>
      </c>
    </row>
    <row r="150" spans="1:7">
      <c r="A150" s="20">
        <v>46022</v>
      </c>
      <c r="B150" t="s">
        <v>71</v>
      </c>
      <c r="C150" t="s">
        <v>296</v>
      </c>
      <c r="D150" s="22">
        <v>108</v>
      </c>
      <c r="E150" s="22">
        <v>6</v>
      </c>
      <c r="F150" s="21">
        <v>55.5</v>
      </c>
      <c r="G150" s="22">
        <f t="shared" si="2"/>
        <v>102</v>
      </c>
    </row>
    <row r="151" spans="1:7">
      <c r="A151" s="20">
        <v>46022</v>
      </c>
      <c r="B151" t="s">
        <v>74</v>
      </c>
      <c r="C151" t="s">
        <v>294</v>
      </c>
      <c r="D151" s="22">
        <v>127</v>
      </c>
      <c r="E151" s="22">
        <v>7</v>
      </c>
      <c r="F151" s="21">
        <v>63</v>
      </c>
      <c r="G151" s="22">
        <f t="shared" si="2"/>
        <v>120</v>
      </c>
    </row>
    <row r="152" spans="1:7">
      <c r="A152" s="20">
        <v>46022</v>
      </c>
      <c r="B152" t="s">
        <v>78</v>
      </c>
      <c r="C152" t="s">
        <v>295</v>
      </c>
      <c r="D152" s="22">
        <v>146</v>
      </c>
      <c r="E152" s="22">
        <v>8</v>
      </c>
      <c r="F152" s="21">
        <v>70.5</v>
      </c>
      <c r="G152" s="22">
        <f t="shared" si="2"/>
        <v>138</v>
      </c>
    </row>
    <row r="153" spans="1:7">
      <c r="A153" s="20">
        <v>46022</v>
      </c>
      <c r="B153" t="s">
        <v>298</v>
      </c>
      <c r="C153" t="s">
        <v>296</v>
      </c>
      <c r="D153" s="22">
        <v>165</v>
      </c>
      <c r="E153" s="22">
        <v>0</v>
      </c>
      <c r="F153" s="21">
        <v>78</v>
      </c>
      <c r="G153" s="22">
        <f t="shared" si="2"/>
        <v>165</v>
      </c>
    </row>
    <row r="154" spans="1:7">
      <c r="A154" s="20">
        <v>46022</v>
      </c>
      <c r="B154" t="s">
        <v>85</v>
      </c>
      <c r="C154" t="s">
        <v>294</v>
      </c>
      <c r="D154" s="22">
        <v>184</v>
      </c>
      <c r="E154" s="22">
        <v>1</v>
      </c>
      <c r="F154" s="21">
        <v>85.5</v>
      </c>
      <c r="G154" s="22">
        <f t="shared" si="2"/>
        <v>183</v>
      </c>
    </row>
    <row r="155" spans="1:7">
      <c r="A155" s="20">
        <v>46022</v>
      </c>
      <c r="B155" t="s">
        <v>88</v>
      </c>
      <c r="C155" t="s">
        <v>295</v>
      </c>
      <c r="D155" s="22">
        <v>203</v>
      </c>
      <c r="E155" s="22">
        <v>2</v>
      </c>
      <c r="F155" s="21">
        <v>93</v>
      </c>
      <c r="G155" s="22">
        <f t="shared" si="2"/>
        <v>201</v>
      </c>
    </row>
    <row r="156" spans="1:7">
      <c r="A156" s="20">
        <v>46022</v>
      </c>
      <c r="B156" t="s">
        <v>93</v>
      </c>
      <c r="C156" t="s">
        <v>296</v>
      </c>
      <c r="D156" s="22">
        <v>222</v>
      </c>
      <c r="E156" s="22">
        <v>3</v>
      </c>
      <c r="F156" s="21">
        <v>100.5</v>
      </c>
      <c r="G156" s="22">
        <f t="shared" si="2"/>
        <v>219</v>
      </c>
    </row>
    <row r="157" spans="1:7">
      <c r="A157" s="20">
        <v>46022</v>
      </c>
      <c r="B157" t="s">
        <v>172</v>
      </c>
      <c r="C157" t="s">
        <v>294</v>
      </c>
      <c r="D157" s="22">
        <v>241</v>
      </c>
      <c r="E157" s="22">
        <v>4</v>
      </c>
      <c r="F157" s="21">
        <v>108</v>
      </c>
      <c r="G157" s="22">
        <f t="shared" si="2"/>
        <v>237</v>
      </c>
    </row>
    <row r="158" spans="1:7">
      <c r="A158" s="20">
        <v>46022</v>
      </c>
      <c r="B158" t="s">
        <v>101</v>
      </c>
      <c r="C158" t="s">
        <v>295</v>
      </c>
      <c r="D158" s="22">
        <v>90</v>
      </c>
      <c r="E158" s="22">
        <v>5</v>
      </c>
      <c r="F158" s="21">
        <v>115.5</v>
      </c>
      <c r="G158" s="22">
        <f t="shared" si="2"/>
        <v>85</v>
      </c>
    </row>
    <row r="159" spans="1:7">
      <c r="A159" s="20">
        <v>46053</v>
      </c>
      <c r="B159" t="s">
        <v>120</v>
      </c>
      <c r="C159" t="s">
        <v>294</v>
      </c>
      <c r="D159" s="22">
        <v>159</v>
      </c>
      <c r="E159" s="22">
        <v>2</v>
      </c>
      <c r="F159" s="21">
        <v>18</v>
      </c>
      <c r="G159" s="22">
        <f t="shared" si="2"/>
        <v>157</v>
      </c>
    </row>
    <row r="160" spans="1:7">
      <c r="A160" s="20">
        <v>46053</v>
      </c>
      <c r="B160" t="s">
        <v>57</v>
      </c>
      <c r="C160" t="s">
        <v>295</v>
      </c>
      <c r="D160" s="22">
        <v>178</v>
      </c>
      <c r="E160" s="22">
        <v>3</v>
      </c>
      <c r="F160" s="21">
        <v>25.5</v>
      </c>
      <c r="G160" s="22">
        <f t="shared" si="2"/>
        <v>175</v>
      </c>
    </row>
    <row r="161" spans="1:7">
      <c r="A161" s="20">
        <v>46053</v>
      </c>
      <c r="B161" t="s">
        <v>60</v>
      </c>
      <c r="C161" t="s">
        <v>296</v>
      </c>
      <c r="D161" s="22">
        <v>197</v>
      </c>
      <c r="E161" s="22">
        <v>4</v>
      </c>
      <c r="F161" s="21">
        <v>33</v>
      </c>
      <c r="G161" s="22">
        <f t="shared" si="2"/>
        <v>193</v>
      </c>
    </row>
    <row r="162" spans="1:7">
      <c r="A162" s="20">
        <v>46053</v>
      </c>
      <c r="B162" t="s">
        <v>64</v>
      </c>
      <c r="C162" t="s">
        <v>294</v>
      </c>
      <c r="D162" s="22">
        <v>46</v>
      </c>
      <c r="E162" s="22">
        <v>5</v>
      </c>
      <c r="F162" s="21">
        <v>40.5</v>
      </c>
      <c r="G162" s="22">
        <f t="shared" si="2"/>
        <v>41</v>
      </c>
    </row>
    <row r="163" spans="1:7">
      <c r="A163" s="20">
        <v>46053</v>
      </c>
      <c r="B163" t="s">
        <v>297</v>
      </c>
      <c r="C163" t="s">
        <v>295</v>
      </c>
      <c r="D163" s="22">
        <v>65</v>
      </c>
      <c r="E163" s="22">
        <v>6</v>
      </c>
      <c r="F163" s="21">
        <v>48</v>
      </c>
      <c r="G163" s="22">
        <f t="shared" si="2"/>
        <v>59</v>
      </c>
    </row>
    <row r="164" spans="1:7">
      <c r="A164" s="20">
        <v>46053</v>
      </c>
      <c r="B164" t="s">
        <v>71</v>
      </c>
      <c r="C164" t="s">
        <v>296</v>
      </c>
      <c r="D164" s="22">
        <v>84</v>
      </c>
      <c r="E164" s="22">
        <v>7</v>
      </c>
      <c r="F164" s="21">
        <v>55.5</v>
      </c>
      <c r="G164" s="22">
        <f t="shared" si="2"/>
        <v>77</v>
      </c>
    </row>
    <row r="165" spans="1:7">
      <c r="A165" s="20">
        <v>46053</v>
      </c>
      <c r="B165" t="s">
        <v>74</v>
      </c>
      <c r="C165" t="s">
        <v>294</v>
      </c>
      <c r="D165" s="22">
        <v>103</v>
      </c>
      <c r="E165" s="22">
        <v>8</v>
      </c>
      <c r="F165" s="21">
        <v>63</v>
      </c>
      <c r="G165" s="22">
        <f t="shared" si="2"/>
        <v>95</v>
      </c>
    </row>
    <row r="166" spans="1:7">
      <c r="A166" s="20">
        <v>46053</v>
      </c>
      <c r="B166" t="s">
        <v>78</v>
      </c>
      <c r="C166" t="s">
        <v>295</v>
      </c>
      <c r="D166" s="22">
        <v>122</v>
      </c>
      <c r="E166" s="22">
        <v>0</v>
      </c>
      <c r="F166" s="21">
        <v>70.5</v>
      </c>
      <c r="G166" s="22">
        <f t="shared" si="2"/>
        <v>122</v>
      </c>
    </row>
    <row r="167" spans="1:7">
      <c r="A167" s="20">
        <v>46053</v>
      </c>
      <c r="B167" t="s">
        <v>298</v>
      </c>
      <c r="C167" t="s">
        <v>296</v>
      </c>
      <c r="D167" s="22">
        <v>141</v>
      </c>
      <c r="E167" s="22">
        <v>1</v>
      </c>
      <c r="F167" s="21">
        <v>78</v>
      </c>
      <c r="G167" s="22">
        <f t="shared" si="2"/>
        <v>140</v>
      </c>
    </row>
    <row r="168" spans="1:7">
      <c r="A168" s="20">
        <v>46053</v>
      </c>
      <c r="B168" t="s">
        <v>85</v>
      </c>
      <c r="C168" t="s">
        <v>294</v>
      </c>
      <c r="D168" s="22">
        <v>160</v>
      </c>
      <c r="E168" s="22">
        <v>2</v>
      </c>
      <c r="F168" s="21">
        <v>85.5</v>
      </c>
      <c r="G168" s="22">
        <f t="shared" si="2"/>
        <v>158</v>
      </c>
    </row>
    <row r="169" spans="1:7">
      <c r="A169" s="20">
        <v>46053</v>
      </c>
      <c r="B169" t="s">
        <v>88</v>
      </c>
      <c r="C169" t="s">
        <v>295</v>
      </c>
      <c r="D169" s="22">
        <v>179</v>
      </c>
      <c r="E169" s="22">
        <v>3</v>
      </c>
      <c r="F169" s="21">
        <v>93</v>
      </c>
      <c r="G169" s="22">
        <f t="shared" si="2"/>
        <v>176</v>
      </c>
    </row>
    <row r="170" spans="1:7">
      <c r="A170" s="20">
        <v>46053</v>
      </c>
      <c r="B170" t="s">
        <v>93</v>
      </c>
      <c r="C170" t="s">
        <v>296</v>
      </c>
      <c r="D170" s="22">
        <v>198</v>
      </c>
      <c r="E170" s="22">
        <v>4</v>
      </c>
      <c r="F170" s="21">
        <v>100.5</v>
      </c>
      <c r="G170" s="22">
        <f t="shared" si="2"/>
        <v>194</v>
      </c>
    </row>
    <row r="171" spans="1:7">
      <c r="A171" s="20">
        <v>46053</v>
      </c>
      <c r="B171" t="s">
        <v>172</v>
      </c>
      <c r="C171" t="s">
        <v>294</v>
      </c>
      <c r="D171" s="22">
        <v>47</v>
      </c>
      <c r="E171" s="22">
        <v>5</v>
      </c>
      <c r="F171" s="21">
        <v>108</v>
      </c>
      <c r="G171" s="22">
        <f t="shared" si="2"/>
        <v>42</v>
      </c>
    </row>
    <row r="172" spans="1:7">
      <c r="A172" s="20">
        <v>46053</v>
      </c>
      <c r="B172" t="s">
        <v>101</v>
      </c>
      <c r="C172" t="s">
        <v>295</v>
      </c>
      <c r="D172" s="22">
        <v>66</v>
      </c>
      <c r="E172" s="22">
        <v>6</v>
      </c>
      <c r="F172" s="21">
        <v>115.5</v>
      </c>
      <c r="G172" s="22">
        <f t="shared" si="2"/>
        <v>60</v>
      </c>
    </row>
    <row r="173" spans="1:7">
      <c r="A173" s="20">
        <v>46081</v>
      </c>
      <c r="B173" t="s">
        <v>120</v>
      </c>
      <c r="C173" t="s">
        <v>294</v>
      </c>
      <c r="D173" s="22">
        <v>170</v>
      </c>
      <c r="E173" s="22">
        <v>3</v>
      </c>
      <c r="F173" s="21">
        <v>18</v>
      </c>
      <c r="G173" s="22">
        <f t="shared" si="2"/>
        <v>167</v>
      </c>
    </row>
    <row r="174" spans="1:7">
      <c r="A174" s="20">
        <v>46081</v>
      </c>
      <c r="B174" t="s">
        <v>57</v>
      </c>
      <c r="C174" t="s">
        <v>295</v>
      </c>
      <c r="D174" s="22">
        <v>189</v>
      </c>
      <c r="E174" s="22">
        <v>4</v>
      </c>
      <c r="F174" s="21">
        <v>25.5</v>
      </c>
      <c r="G174" s="22">
        <f t="shared" si="2"/>
        <v>185</v>
      </c>
    </row>
    <row r="175" spans="1:7">
      <c r="A175" s="20">
        <v>46081</v>
      </c>
      <c r="B175" t="s">
        <v>60</v>
      </c>
      <c r="C175" t="s">
        <v>296</v>
      </c>
      <c r="D175" s="22">
        <v>38</v>
      </c>
      <c r="E175" s="22">
        <v>5</v>
      </c>
      <c r="F175" s="21">
        <v>33</v>
      </c>
      <c r="G175" s="22">
        <f t="shared" si="2"/>
        <v>33</v>
      </c>
    </row>
    <row r="176" spans="1:7">
      <c r="A176" s="20">
        <v>46081</v>
      </c>
      <c r="B176" t="s">
        <v>64</v>
      </c>
      <c r="C176" t="s">
        <v>294</v>
      </c>
      <c r="D176" s="22">
        <v>57</v>
      </c>
      <c r="E176" s="22">
        <v>6</v>
      </c>
      <c r="F176" s="21">
        <v>40.5</v>
      </c>
      <c r="G176" s="22">
        <f t="shared" si="2"/>
        <v>51</v>
      </c>
    </row>
    <row r="177" spans="1:7">
      <c r="A177" s="20">
        <v>46081</v>
      </c>
      <c r="B177" t="s">
        <v>297</v>
      </c>
      <c r="C177" t="s">
        <v>295</v>
      </c>
      <c r="D177" s="22">
        <v>76</v>
      </c>
      <c r="E177" s="22">
        <v>7</v>
      </c>
      <c r="F177" s="21">
        <v>48</v>
      </c>
      <c r="G177" s="22">
        <f t="shared" si="2"/>
        <v>69</v>
      </c>
    </row>
    <row r="178" spans="1:7">
      <c r="A178" s="20">
        <v>46081</v>
      </c>
      <c r="B178" t="s">
        <v>71</v>
      </c>
      <c r="C178" t="s">
        <v>296</v>
      </c>
      <c r="D178" s="22">
        <v>95</v>
      </c>
      <c r="E178" s="22">
        <v>8</v>
      </c>
      <c r="F178" s="21">
        <v>55.5</v>
      </c>
      <c r="G178" s="22">
        <f t="shared" si="2"/>
        <v>87</v>
      </c>
    </row>
    <row r="179" spans="1:7">
      <c r="A179" s="20">
        <v>46081</v>
      </c>
      <c r="B179" t="s">
        <v>74</v>
      </c>
      <c r="C179" t="s">
        <v>294</v>
      </c>
      <c r="D179" s="22">
        <v>114</v>
      </c>
      <c r="E179" s="22">
        <v>0</v>
      </c>
      <c r="F179" s="21">
        <v>63</v>
      </c>
      <c r="G179" s="22">
        <f t="shared" si="2"/>
        <v>114</v>
      </c>
    </row>
    <row r="180" spans="1:7">
      <c r="A180" s="20">
        <v>46081</v>
      </c>
      <c r="B180" t="s">
        <v>78</v>
      </c>
      <c r="C180" t="s">
        <v>295</v>
      </c>
      <c r="D180" s="22">
        <v>133</v>
      </c>
      <c r="E180" s="22">
        <v>1</v>
      </c>
      <c r="F180" s="21">
        <v>70.5</v>
      </c>
      <c r="G180" s="22">
        <f t="shared" si="2"/>
        <v>132</v>
      </c>
    </row>
    <row r="181" spans="1:7">
      <c r="A181" s="20">
        <v>46081</v>
      </c>
      <c r="B181" t="s">
        <v>298</v>
      </c>
      <c r="C181" t="s">
        <v>296</v>
      </c>
      <c r="D181" s="22">
        <v>152</v>
      </c>
      <c r="E181" s="22">
        <v>2</v>
      </c>
      <c r="F181" s="21">
        <v>78</v>
      </c>
      <c r="G181" s="22">
        <f t="shared" si="2"/>
        <v>150</v>
      </c>
    </row>
    <row r="182" spans="1:7">
      <c r="A182" s="20">
        <v>46081</v>
      </c>
      <c r="B182" t="s">
        <v>85</v>
      </c>
      <c r="C182" t="s">
        <v>294</v>
      </c>
      <c r="D182" s="22">
        <v>171</v>
      </c>
      <c r="E182" s="22">
        <v>3</v>
      </c>
      <c r="F182" s="21">
        <v>85.5</v>
      </c>
      <c r="G182" s="22">
        <f t="shared" si="2"/>
        <v>168</v>
      </c>
    </row>
    <row r="183" spans="1:7">
      <c r="A183" s="20">
        <v>46081</v>
      </c>
      <c r="B183" t="s">
        <v>88</v>
      </c>
      <c r="C183" t="s">
        <v>295</v>
      </c>
      <c r="D183" s="22">
        <v>190</v>
      </c>
      <c r="E183" s="22">
        <v>4</v>
      </c>
      <c r="F183" s="21">
        <v>93</v>
      </c>
      <c r="G183" s="22">
        <f t="shared" si="2"/>
        <v>186</v>
      </c>
    </row>
    <row r="184" spans="1:7">
      <c r="A184" s="20">
        <v>46081</v>
      </c>
      <c r="B184" t="s">
        <v>93</v>
      </c>
      <c r="C184" t="s">
        <v>296</v>
      </c>
      <c r="D184" s="22">
        <v>39</v>
      </c>
      <c r="E184" s="22">
        <v>5</v>
      </c>
      <c r="F184" s="21">
        <v>100.5</v>
      </c>
      <c r="G184" s="22">
        <f t="shared" si="2"/>
        <v>34</v>
      </c>
    </row>
    <row r="185" spans="1:7">
      <c r="A185" s="20">
        <v>46081</v>
      </c>
      <c r="B185" t="s">
        <v>172</v>
      </c>
      <c r="C185" t="s">
        <v>294</v>
      </c>
      <c r="D185" s="22">
        <v>58</v>
      </c>
      <c r="E185" s="22">
        <v>6</v>
      </c>
      <c r="F185" s="21">
        <v>108</v>
      </c>
      <c r="G185" s="22">
        <f t="shared" si="2"/>
        <v>52</v>
      </c>
    </row>
    <row r="186" spans="1:7">
      <c r="A186" s="20">
        <v>46081</v>
      </c>
      <c r="B186" t="s">
        <v>101</v>
      </c>
      <c r="C186" t="s">
        <v>295</v>
      </c>
      <c r="D186" s="22">
        <v>77</v>
      </c>
      <c r="E186" s="22">
        <v>7</v>
      </c>
      <c r="F186" s="21">
        <v>115.5</v>
      </c>
      <c r="G186" s="22">
        <f t="shared" si="2"/>
        <v>70</v>
      </c>
    </row>
    <row r="187" spans="1:7">
      <c r="A187" s="20">
        <v>46112</v>
      </c>
      <c r="B187" t="s">
        <v>120</v>
      </c>
      <c r="C187" t="s">
        <v>294</v>
      </c>
      <c r="D187" s="22">
        <v>181</v>
      </c>
      <c r="E187" s="22">
        <v>4</v>
      </c>
      <c r="F187" s="21">
        <v>18</v>
      </c>
      <c r="G187" s="22">
        <f t="shared" si="2"/>
        <v>177</v>
      </c>
    </row>
    <row r="188" spans="1:7">
      <c r="A188" s="20">
        <v>46112</v>
      </c>
      <c r="B188" t="s">
        <v>57</v>
      </c>
      <c r="C188" t="s">
        <v>295</v>
      </c>
      <c r="D188" s="22">
        <v>200</v>
      </c>
      <c r="E188" s="22">
        <v>5</v>
      </c>
      <c r="F188" s="21">
        <v>25.5</v>
      </c>
      <c r="G188" s="22">
        <f t="shared" si="2"/>
        <v>195</v>
      </c>
    </row>
    <row r="189" spans="1:7">
      <c r="A189" s="20">
        <v>46112</v>
      </c>
      <c r="B189" t="s">
        <v>60</v>
      </c>
      <c r="C189" t="s">
        <v>296</v>
      </c>
      <c r="D189" s="22">
        <v>49</v>
      </c>
      <c r="E189" s="22">
        <v>6</v>
      </c>
      <c r="F189" s="21">
        <v>33</v>
      </c>
      <c r="G189" s="22">
        <f t="shared" si="2"/>
        <v>43</v>
      </c>
    </row>
    <row r="190" spans="1:7">
      <c r="A190" s="20">
        <v>46112</v>
      </c>
      <c r="B190" t="s">
        <v>64</v>
      </c>
      <c r="C190" t="s">
        <v>294</v>
      </c>
      <c r="D190" s="22">
        <v>68</v>
      </c>
      <c r="E190" s="22">
        <v>7</v>
      </c>
      <c r="F190" s="21">
        <v>40.5</v>
      </c>
      <c r="G190" s="22">
        <f t="shared" si="2"/>
        <v>61</v>
      </c>
    </row>
    <row r="191" spans="1:7">
      <c r="A191" s="20">
        <v>46112</v>
      </c>
      <c r="B191" t="s">
        <v>297</v>
      </c>
      <c r="C191" t="s">
        <v>295</v>
      </c>
      <c r="D191" s="22">
        <v>87</v>
      </c>
      <c r="E191" s="22">
        <v>8</v>
      </c>
      <c r="F191" s="21">
        <v>48</v>
      </c>
      <c r="G191" s="22">
        <f t="shared" si="2"/>
        <v>79</v>
      </c>
    </row>
    <row r="192" spans="1:7">
      <c r="A192" s="20">
        <v>46112</v>
      </c>
      <c r="B192" t="s">
        <v>71</v>
      </c>
      <c r="C192" t="s">
        <v>296</v>
      </c>
      <c r="D192" s="22">
        <v>106</v>
      </c>
      <c r="E192" s="22">
        <v>0</v>
      </c>
      <c r="F192" s="21">
        <v>55.5</v>
      </c>
      <c r="G192" s="22">
        <f t="shared" si="2"/>
        <v>106</v>
      </c>
    </row>
    <row r="193" spans="1:7">
      <c r="A193" s="20">
        <v>46112</v>
      </c>
      <c r="B193" t="s">
        <v>74</v>
      </c>
      <c r="C193" t="s">
        <v>294</v>
      </c>
      <c r="D193" s="22">
        <v>125</v>
      </c>
      <c r="E193" s="22">
        <v>1</v>
      </c>
      <c r="F193" s="21">
        <v>63</v>
      </c>
      <c r="G193" s="22">
        <f t="shared" si="2"/>
        <v>124</v>
      </c>
    </row>
    <row r="194" spans="1:7">
      <c r="A194" s="20">
        <v>46112</v>
      </c>
      <c r="B194" t="s">
        <v>78</v>
      </c>
      <c r="C194" t="s">
        <v>295</v>
      </c>
      <c r="D194" s="22">
        <v>144</v>
      </c>
      <c r="E194" s="22">
        <v>2</v>
      </c>
      <c r="F194" s="21">
        <v>70.5</v>
      </c>
      <c r="G194" s="22">
        <f t="shared" si="2"/>
        <v>142</v>
      </c>
    </row>
    <row r="195" spans="1:7">
      <c r="A195" s="20">
        <v>46112</v>
      </c>
      <c r="B195" t="s">
        <v>298</v>
      </c>
      <c r="C195" t="s">
        <v>296</v>
      </c>
      <c r="D195" s="22">
        <v>163</v>
      </c>
      <c r="E195" s="22">
        <v>3</v>
      </c>
      <c r="F195" s="21">
        <v>78</v>
      </c>
      <c r="G195" s="22">
        <f t="shared" si="2"/>
        <v>160</v>
      </c>
    </row>
    <row r="196" spans="1:7">
      <c r="A196" s="20">
        <v>46112</v>
      </c>
      <c r="B196" t="s">
        <v>85</v>
      </c>
      <c r="C196" t="s">
        <v>294</v>
      </c>
      <c r="D196" s="22">
        <v>182</v>
      </c>
      <c r="E196" s="22">
        <v>4</v>
      </c>
      <c r="F196" s="21">
        <v>85.5</v>
      </c>
      <c r="G196" s="22">
        <f t="shared" si="2"/>
        <v>178</v>
      </c>
    </row>
    <row r="197" spans="1:7">
      <c r="A197" s="20">
        <v>46112</v>
      </c>
      <c r="B197" t="s">
        <v>88</v>
      </c>
      <c r="C197" t="s">
        <v>295</v>
      </c>
      <c r="D197" s="22">
        <v>201</v>
      </c>
      <c r="E197" s="22">
        <v>5</v>
      </c>
      <c r="F197" s="21">
        <v>93</v>
      </c>
      <c r="G197" s="22">
        <f t="shared" ref="G197:G256" si="3">D197-E197</f>
        <v>196</v>
      </c>
    </row>
    <row r="198" spans="1:7">
      <c r="A198" s="20">
        <v>46112</v>
      </c>
      <c r="B198" t="s">
        <v>93</v>
      </c>
      <c r="C198" t="s">
        <v>296</v>
      </c>
      <c r="D198" s="22">
        <v>50</v>
      </c>
      <c r="E198" s="22">
        <v>6</v>
      </c>
      <c r="F198" s="21">
        <v>100.5</v>
      </c>
      <c r="G198" s="22">
        <f t="shared" si="3"/>
        <v>44</v>
      </c>
    </row>
    <row r="199" spans="1:7">
      <c r="A199" s="20">
        <v>46112</v>
      </c>
      <c r="B199" t="s">
        <v>172</v>
      </c>
      <c r="C199" t="s">
        <v>294</v>
      </c>
      <c r="D199" s="22">
        <v>69</v>
      </c>
      <c r="E199" s="22">
        <v>7</v>
      </c>
      <c r="F199" s="21">
        <v>108</v>
      </c>
      <c r="G199" s="22">
        <f t="shared" si="3"/>
        <v>62</v>
      </c>
    </row>
    <row r="200" spans="1:7">
      <c r="A200" s="20">
        <v>46112</v>
      </c>
      <c r="B200" t="s">
        <v>101</v>
      </c>
      <c r="C200" t="s">
        <v>295</v>
      </c>
      <c r="D200" s="22">
        <v>88</v>
      </c>
      <c r="E200" s="22">
        <v>8</v>
      </c>
      <c r="F200" s="21">
        <v>115.5</v>
      </c>
      <c r="G200" s="22">
        <f t="shared" si="3"/>
        <v>80</v>
      </c>
    </row>
    <row r="201" spans="1:7">
      <c r="A201" s="20">
        <v>46142</v>
      </c>
      <c r="B201" t="s">
        <v>120</v>
      </c>
      <c r="C201" t="s">
        <v>294</v>
      </c>
      <c r="D201" s="22">
        <v>192</v>
      </c>
      <c r="E201" s="22">
        <v>5</v>
      </c>
      <c r="F201" s="21">
        <v>18</v>
      </c>
      <c r="G201" s="22">
        <f t="shared" si="3"/>
        <v>187</v>
      </c>
    </row>
    <row r="202" spans="1:7">
      <c r="A202" s="20">
        <v>46142</v>
      </c>
      <c r="B202" t="s">
        <v>57</v>
      </c>
      <c r="C202" t="s">
        <v>295</v>
      </c>
      <c r="D202" s="22">
        <v>41</v>
      </c>
      <c r="E202" s="22">
        <v>6</v>
      </c>
      <c r="F202" s="21">
        <v>25.5</v>
      </c>
      <c r="G202" s="22">
        <f t="shared" si="3"/>
        <v>35</v>
      </c>
    </row>
    <row r="203" spans="1:7">
      <c r="A203" s="20">
        <v>46142</v>
      </c>
      <c r="B203" t="s">
        <v>60</v>
      </c>
      <c r="C203" t="s">
        <v>296</v>
      </c>
      <c r="D203" s="22">
        <v>60</v>
      </c>
      <c r="E203" s="22">
        <v>7</v>
      </c>
      <c r="F203" s="21">
        <v>33</v>
      </c>
      <c r="G203" s="22">
        <f t="shared" si="3"/>
        <v>53</v>
      </c>
    </row>
    <row r="204" spans="1:7">
      <c r="A204" s="20">
        <v>46142</v>
      </c>
      <c r="B204" t="s">
        <v>64</v>
      </c>
      <c r="C204" t="s">
        <v>294</v>
      </c>
      <c r="D204" s="22">
        <v>79</v>
      </c>
      <c r="E204" s="22">
        <v>8</v>
      </c>
      <c r="F204" s="21">
        <v>40.5</v>
      </c>
      <c r="G204" s="22">
        <f t="shared" si="3"/>
        <v>71</v>
      </c>
    </row>
    <row r="205" spans="1:7">
      <c r="A205" s="20">
        <v>46142</v>
      </c>
      <c r="B205" t="s">
        <v>297</v>
      </c>
      <c r="C205" t="s">
        <v>295</v>
      </c>
      <c r="D205" s="22">
        <v>98</v>
      </c>
      <c r="E205" s="22">
        <v>0</v>
      </c>
      <c r="F205" s="21">
        <v>48</v>
      </c>
      <c r="G205" s="22">
        <f t="shared" si="3"/>
        <v>98</v>
      </c>
    </row>
    <row r="206" spans="1:7">
      <c r="A206" s="20">
        <v>46142</v>
      </c>
      <c r="B206" t="s">
        <v>71</v>
      </c>
      <c r="C206" t="s">
        <v>296</v>
      </c>
      <c r="D206" s="22">
        <v>117</v>
      </c>
      <c r="E206" s="22">
        <v>1</v>
      </c>
      <c r="F206" s="21">
        <v>55.5</v>
      </c>
      <c r="G206" s="22">
        <f t="shared" si="3"/>
        <v>116</v>
      </c>
    </row>
    <row r="207" spans="1:7">
      <c r="A207" s="20">
        <v>46142</v>
      </c>
      <c r="B207" t="s">
        <v>74</v>
      </c>
      <c r="C207" t="s">
        <v>294</v>
      </c>
      <c r="D207" s="22">
        <v>136</v>
      </c>
      <c r="E207" s="22">
        <v>2</v>
      </c>
      <c r="F207" s="21">
        <v>63</v>
      </c>
      <c r="G207" s="22">
        <f t="shared" si="3"/>
        <v>134</v>
      </c>
    </row>
    <row r="208" spans="1:7">
      <c r="A208" s="20">
        <v>46142</v>
      </c>
      <c r="B208" t="s">
        <v>78</v>
      </c>
      <c r="C208" t="s">
        <v>295</v>
      </c>
      <c r="D208" s="22">
        <v>155</v>
      </c>
      <c r="E208" s="22">
        <v>3</v>
      </c>
      <c r="F208" s="21">
        <v>70.5</v>
      </c>
      <c r="G208" s="22">
        <f t="shared" si="3"/>
        <v>152</v>
      </c>
    </row>
    <row r="209" spans="1:7">
      <c r="A209" s="20">
        <v>46142</v>
      </c>
      <c r="B209" t="s">
        <v>298</v>
      </c>
      <c r="C209" t="s">
        <v>296</v>
      </c>
      <c r="D209" s="22">
        <v>174</v>
      </c>
      <c r="E209" s="22">
        <v>4</v>
      </c>
      <c r="F209" s="21">
        <v>78</v>
      </c>
      <c r="G209" s="22">
        <f t="shared" si="3"/>
        <v>170</v>
      </c>
    </row>
    <row r="210" spans="1:7">
      <c r="A210" s="20">
        <v>46142</v>
      </c>
      <c r="B210" t="s">
        <v>85</v>
      </c>
      <c r="C210" t="s">
        <v>294</v>
      </c>
      <c r="D210" s="22">
        <v>193</v>
      </c>
      <c r="E210" s="22">
        <v>5</v>
      </c>
      <c r="F210" s="21">
        <v>85.5</v>
      </c>
      <c r="G210" s="22">
        <f t="shared" si="3"/>
        <v>188</v>
      </c>
    </row>
    <row r="211" spans="1:7">
      <c r="A211" s="20">
        <v>46142</v>
      </c>
      <c r="B211" t="s">
        <v>88</v>
      </c>
      <c r="C211" t="s">
        <v>295</v>
      </c>
      <c r="D211" s="22">
        <v>42</v>
      </c>
      <c r="E211" s="22">
        <v>6</v>
      </c>
      <c r="F211" s="21">
        <v>93</v>
      </c>
      <c r="G211" s="22">
        <f t="shared" si="3"/>
        <v>36</v>
      </c>
    </row>
    <row r="212" spans="1:7">
      <c r="A212" s="20">
        <v>46142</v>
      </c>
      <c r="B212" t="s">
        <v>93</v>
      </c>
      <c r="C212" t="s">
        <v>296</v>
      </c>
      <c r="D212" s="22">
        <v>61</v>
      </c>
      <c r="E212" s="22">
        <v>7</v>
      </c>
      <c r="F212" s="21">
        <v>100.5</v>
      </c>
      <c r="G212" s="22">
        <f t="shared" si="3"/>
        <v>54</v>
      </c>
    </row>
    <row r="213" spans="1:7">
      <c r="A213" s="20">
        <v>46142</v>
      </c>
      <c r="B213" t="s">
        <v>172</v>
      </c>
      <c r="C213" t="s">
        <v>294</v>
      </c>
      <c r="D213" s="22">
        <v>80</v>
      </c>
      <c r="E213" s="22">
        <v>8</v>
      </c>
      <c r="F213" s="21">
        <v>108</v>
      </c>
      <c r="G213" s="22">
        <f t="shared" si="3"/>
        <v>72</v>
      </c>
    </row>
    <row r="214" spans="1:7">
      <c r="A214" s="20">
        <v>46142</v>
      </c>
      <c r="B214" t="s">
        <v>101</v>
      </c>
      <c r="C214" t="s">
        <v>295</v>
      </c>
      <c r="D214" s="22">
        <v>99</v>
      </c>
      <c r="E214" s="22">
        <v>0</v>
      </c>
      <c r="F214" s="21">
        <v>115.5</v>
      </c>
      <c r="G214" s="22">
        <f t="shared" si="3"/>
        <v>99</v>
      </c>
    </row>
    <row r="215" spans="1:7">
      <c r="A215" s="20">
        <v>46173</v>
      </c>
      <c r="B215" t="s">
        <v>120</v>
      </c>
      <c r="C215" t="s">
        <v>294</v>
      </c>
      <c r="D215" s="22">
        <v>203</v>
      </c>
      <c r="E215" s="22">
        <v>6</v>
      </c>
      <c r="F215" s="21">
        <v>18</v>
      </c>
      <c r="G215" s="22">
        <f t="shared" si="3"/>
        <v>197</v>
      </c>
    </row>
    <row r="216" spans="1:7">
      <c r="A216" s="20">
        <v>46173</v>
      </c>
      <c r="B216" t="s">
        <v>57</v>
      </c>
      <c r="C216" t="s">
        <v>295</v>
      </c>
      <c r="D216" s="22">
        <v>52</v>
      </c>
      <c r="E216" s="22">
        <v>7</v>
      </c>
      <c r="F216" s="21">
        <v>25.5</v>
      </c>
      <c r="G216" s="22">
        <f t="shared" si="3"/>
        <v>45</v>
      </c>
    </row>
    <row r="217" spans="1:7">
      <c r="A217" s="20">
        <v>46173</v>
      </c>
      <c r="B217" t="s">
        <v>60</v>
      </c>
      <c r="C217" t="s">
        <v>296</v>
      </c>
      <c r="D217" s="22">
        <v>71</v>
      </c>
      <c r="E217" s="22">
        <v>8</v>
      </c>
      <c r="F217" s="21">
        <v>33</v>
      </c>
      <c r="G217" s="22">
        <f t="shared" si="3"/>
        <v>63</v>
      </c>
    </row>
    <row r="218" spans="1:7">
      <c r="A218" s="20">
        <v>46173</v>
      </c>
      <c r="B218" t="s">
        <v>64</v>
      </c>
      <c r="C218" t="s">
        <v>294</v>
      </c>
      <c r="D218" s="22">
        <v>90</v>
      </c>
      <c r="E218" s="22">
        <v>0</v>
      </c>
      <c r="F218" s="21">
        <v>40.5</v>
      </c>
      <c r="G218" s="22">
        <f t="shared" si="3"/>
        <v>90</v>
      </c>
    </row>
    <row r="219" spans="1:7">
      <c r="A219" s="20">
        <v>46173</v>
      </c>
      <c r="B219" t="s">
        <v>297</v>
      </c>
      <c r="C219" t="s">
        <v>295</v>
      </c>
      <c r="D219" s="22">
        <v>109</v>
      </c>
      <c r="E219" s="22">
        <v>1</v>
      </c>
      <c r="F219" s="21">
        <v>48</v>
      </c>
      <c r="G219" s="22">
        <f t="shared" si="3"/>
        <v>108</v>
      </c>
    </row>
    <row r="220" spans="1:7">
      <c r="A220" s="20">
        <v>46173</v>
      </c>
      <c r="B220" t="s">
        <v>71</v>
      </c>
      <c r="C220" t="s">
        <v>296</v>
      </c>
      <c r="D220" s="22">
        <v>128</v>
      </c>
      <c r="E220" s="22">
        <v>2</v>
      </c>
      <c r="F220" s="21">
        <v>55.5</v>
      </c>
      <c r="G220" s="22">
        <f t="shared" si="3"/>
        <v>126</v>
      </c>
    </row>
    <row r="221" spans="1:7">
      <c r="A221" s="20">
        <v>46173</v>
      </c>
      <c r="B221" t="s">
        <v>74</v>
      </c>
      <c r="C221" t="s">
        <v>294</v>
      </c>
      <c r="D221" s="22">
        <v>147</v>
      </c>
      <c r="E221" s="22">
        <v>3</v>
      </c>
      <c r="F221" s="21">
        <v>63</v>
      </c>
      <c r="G221" s="22">
        <f t="shared" si="3"/>
        <v>144</v>
      </c>
    </row>
    <row r="222" spans="1:7">
      <c r="A222" s="20">
        <v>46173</v>
      </c>
      <c r="B222" t="s">
        <v>78</v>
      </c>
      <c r="C222" t="s">
        <v>295</v>
      </c>
      <c r="D222" s="22">
        <v>166</v>
      </c>
      <c r="E222" s="22">
        <v>4</v>
      </c>
      <c r="F222" s="21">
        <v>70.5</v>
      </c>
      <c r="G222" s="22">
        <f t="shared" si="3"/>
        <v>162</v>
      </c>
    </row>
    <row r="223" spans="1:7">
      <c r="A223" s="20">
        <v>46173</v>
      </c>
      <c r="B223" t="s">
        <v>298</v>
      </c>
      <c r="C223" t="s">
        <v>296</v>
      </c>
      <c r="D223" s="22">
        <v>185</v>
      </c>
      <c r="E223" s="22">
        <v>5</v>
      </c>
      <c r="F223" s="21">
        <v>78</v>
      </c>
      <c r="G223" s="22">
        <f t="shared" si="3"/>
        <v>180</v>
      </c>
    </row>
    <row r="224" spans="1:7">
      <c r="A224" s="20">
        <v>46173</v>
      </c>
      <c r="B224" t="s">
        <v>85</v>
      </c>
      <c r="C224" t="s">
        <v>294</v>
      </c>
      <c r="D224" s="22">
        <v>204</v>
      </c>
      <c r="E224" s="22">
        <v>6</v>
      </c>
      <c r="F224" s="21">
        <v>85.5</v>
      </c>
      <c r="G224" s="22">
        <f t="shared" si="3"/>
        <v>198</v>
      </c>
    </row>
    <row r="225" spans="1:7">
      <c r="A225" s="20">
        <v>46173</v>
      </c>
      <c r="B225" t="s">
        <v>88</v>
      </c>
      <c r="C225" t="s">
        <v>295</v>
      </c>
      <c r="D225" s="22">
        <v>53</v>
      </c>
      <c r="E225" s="22">
        <v>7</v>
      </c>
      <c r="F225" s="21">
        <v>93</v>
      </c>
      <c r="G225" s="22">
        <f t="shared" si="3"/>
        <v>46</v>
      </c>
    </row>
    <row r="226" spans="1:7">
      <c r="A226" s="20">
        <v>46173</v>
      </c>
      <c r="B226" t="s">
        <v>93</v>
      </c>
      <c r="C226" t="s">
        <v>296</v>
      </c>
      <c r="D226" s="22">
        <v>72</v>
      </c>
      <c r="E226" s="22">
        <v>8</v>
      </c>
      <c r="F226" s="21">
        <v>100.5</v>
      </c>
      <c r="G226" s="22">
        <f t="shared" si="3"/>
        <v>64</v>
      </c>
    </row>
    <row r="227" spans="1:7">
      <c r="A227" s="20">
        <v>46173</v>
      </c>
      <c r="B227" t="s">
        <v>172</v>
      </c>
      <c r="C227" t="s">
        <v>294</v>
      </c>
      <c r="D227" s="22">
        <v>91</v>
      </c>
      <c r="E227" s="22">
        <v>0</v>
      </c>
      <c r="F227" s="21">
        <v>108</v>
      </c>
      <c r="G227" s="22">
        <f t="shared" si="3"/>
        <v>91</v>
      </c>
    </row>
    <row r="228" spans="1:7">
      <c r="A228" s="20">
        <v>46173</v>
      </c>
      <c r="B228" t="s">
        <v>101</v>
      </c>
      <c r="C228" t="s">
        <v>295</v>
      </c>
      <c r="D228" s="22">
        <v>110</v>
      </c>
      <c r="E228" s="22">
        <v>1</v>
      </c>
      <c r="F228" s="21">
        <v>115.5</v>
      </c>
      <c r="G228" s="22">
        <f t="shared" si="3"/>
        <v>109</v>
      </c>
    </row>
    <row r="229" spans="1:7">
      <c r="A229" s="20">
        <v>46203</v>
      </c>
      <c r="B229" t="s">
        <v>120</v>
      </c>
      <c r="C229" t="s">
        <v>294</v>
      </c>
      <c r="D229" s="22">
        <v>44</v>
      </c>
      <c r="E229" s="22">
        <v>7</v>
      </c>
      <c r="F229" s="21">
        <v>18</v>
      </c>
      <c r="G229" s="22">
        <f t="shared" si="3"/>
        <v>37</v>
      </c>
    </row>
    <row r="230" spans="1:7">
      <c r="A230" s="20">
        <v>46203</v>
      </c>
      <c r="B230" t="s">
        <v>57</v>
      </c>
      <c r="C230" t="s">
        <v>295</v>
      </c>
      <c r="D230" s="22">
        <v>63</v>
      </c>
      <c r="E230" s="22">
        <v>8</v>
      </c>
      <c r="F230" s="21">
        <v>25.5</v>
      </c>
      <c r="G230" s="22">
        <f t="shared" si="3"/>
        <v>55</v>
      </c>
    </row>
    <row r="231" spans="1:7">
      <c r="A231" s="20">
        <v>46203</v>
      </c>
      <c r="B231" t="s">
        <v>60</v>
      </c>
      <c r="C231" t="s">
        <v>296</v>
      </c>
      <c r="D231" s="22">
        <v>82</v>
      </c>
      <c r="E231" s="22">
        <v>0</v>
      </c>
      <c r="F231" s="21">
        <v>33</v>
      </c>
      <c r="G231" s="22">
        <f t="shared" si="3"/>
        <v>82</v>
      </c>
    </row>
    <row r="232" spans="1:7">
      <c r="A232" s="20">
        <v>46203</v>
      </c>
      <c r="B232" t="s">
        <v>64</v>
      </c>
      <c r="C232" t="s">
        <v>294</v>
      </c>
      <c r="D232" s="22">
        <v>101</v>
      </c>
      <c r="E232" s="22">
        <v>1</v>
      </c>
      <c r="F232" s="21">
        <v>40.5</v>
      </c>
      <c r="G232" s="22">
        <f t="shared" si="3"/>
        <v>100</v>
      </c>
    </row>
    <row r="233" spans="1:7">
      <c r="A233" s="20">
        <v>46203</v>
      </c>
      <c r="B233" t="s">
        <v>297</v>
      </c>
      <c r="C233" t="s">
        <v>295</v>
      </c>
      <c r="D233" s="22">
        <v>120</v>
      </c>
      <c r="E233" s="22">
        <v>2</v>
      </c>
      <c r="F233" s="21">
        <v>48</v>
      </c>
      <c r="G233" s="22">
        <f t="shared" si="3"/>
        <v>118</v>
      </c>
    </row>
    <row r="234" spans="1:7">
      <c r="A234" s="20">
        <v>46203</v>
      </c>
      <c r="B234" t="s">
        <v>71</v>
      </c>
      <c r="C234" t="s">
        <v>296</v>
      </c>
      <c r="D234" s="22">
        <v>139</v>
      </c>
      <c r="E234" s="22">
        <v>3</v>
      </c>
      <c r="F234" s="21">
        <v>55.5</v>
      </c>
      <c r="G234" s="22">
        <f t="shared" si="3"/>
        <v>136</v>
      </c>
    </row>
    <row r="235" spans="1:7">
      <c r="A235" s="20">
        <v>46203</v>
      </c>
      <c r="B235" t="s">
        <v>74</v>
      </c>
      <c r="C235" t="s">
        <v>294</v>
      </c>
      <c r="D235" s="22">
        <v>158</v>
      </c>
      <c r="E235" s="22">
        <v>4</v>
      </c>
      <c r="F235" s="21">
        <v>63</v>
      </c>
      <c r="G235" s="22">
        <f t="shared" si="3"/>
        <v>154</v>
      </c>
    </row>
    <row r="236" spans="1:7">
      <c r="A236" s="20">
        <v>46203</v>
      </c>
      <c r="B236" t="s">
        <v>78</v>
      </c>
      <c r="C236" t="s">
        <v>295</v>
      </c>
      <c r="D236" s="22">
        <v>177</v>
      </c>
      <c r="E236" s="22">
        <v>5</v>
      </c>
      <c r="F236" s="21">
        <v>70.5</v>
      </c>
      <c r="G236" s="22">
        <f t="shared" si="3"/>
        <v>172</v>
      </c>
    </row>
    <row r="237" spans="1:7">
      <c r="A237" s="20">
        <v>46203</v>
      </c>
      <c r="B237" t="s">
        <v>298</v>
      </c>
      <c r="C237" t="s">
        <v>296</v>
      </c>
      <c r="D237" s="22">
        <v>196</v>
      </c>
      <c r="E237" s="22">
        <v>6</v>
      </c>
      <c r="F237" s="21">
        <v>78</v>
      </c>
      <c r="G237" s="22">
        <f t="shared" si="3"/>
        <v>190</v>
      </c>
    </row>
    <row r="238" spans="1:7">
      <c r="A238" s="20">
        <v>46203</v>
      </c>
      <c r="B238" t="s">
        <v>85</v>
      </c>
      <c r="C238" t="s">
        <v>294</v>
      </c>
      <c r="D238" s="22">
        <v>45</v>
      </c>
      <c r="E238" s="22">
        <v>7</v>
      </c>
      <c r="F238" s="21">
        <v>85.5</v>
      </c>
      <c r="G238" s="22">
        <f t="shared" si="3"/>
        <v>38</v>
      </c>
    </row>
    <row r="239" spans="1:7">
      <c r="A239" s="20">
        <v>46203</v>
      </c>
      <c r="B239" t="s">
        <v>88</v>
      </c>
      <c r="C239" t="s">
        <v>295</v>
      </c>
      <c r="D239" s="22">
        <v>64</v>
      </c>
      <c r="E239" s="22">
        <v>8</v>
      </c>
      <c r="F239" s="21">
        <v>93</v>
      </c>
      <c r="G239" s="22">
        <f t="shared" si="3"/>
        <v>56</v>
      </c>
    </row>
    <row r="240" spans="1:7">
      <c r="A240" s="20">
        <v>46203</v>
      </c>
      <c r="B240" t="s">
        <v>93</v>
      </c>
      <c r="C240" t="s">
        <v>296</v>
      </c>
      <c r="D240" s="22">
        <v>83</v>
      </c>
      <c r="E240" s="22">
        <v>0</v>
      </c>
      <c r="F240" s="21">
        <v>100.5</v>
      </c>
      <c r="G240" s="22">
        <f t="shared" si="3"/>
        <v>83</v>
      </c>
    </row>
    <row r="241" spans="1:7">
      <c r="A241" s="20">
        <v>46203</v>
      </c>
      <c r="B241" t="s">
        <v>172</v>
      </c>
      <c r="C241" t="s">
        <v>294</v>
      </c>
      <c r="D241" s="22">
        <v>102</v>
      </c>
      <c r="E241" s="22">
        <v>1</v>
      </c>
      <c r="F241" s="21">
        <v>108</v>
      </c>
      <c r="G241" s="22">
        <f t="shared" si="3"/>
        <v>101</v>
      </c>
    </row>
    <row r="242" spans="1:7">
      <c r="A242" s="20">
        <v>46203</v>
      </c>
      <c r="B242" t="s">
        <v>101</v>
      </c>
      <c r="C242" t="s">
        <v>295</v>
      </c>
      <c r="D242" s="22">
        <v>121</v>
      </c>
      <c r="E242" s="22">
        <v>2</v>
      </c>
      <c r="F242" s="21">
        <v>115.5</v>
      </c>
      <c r="G242" s="22">
        <f t="shared" si="3"/>
        <v>119</v>
      </c>
    </row>
    <row r="243" spans="1:7">
      <c r="A243" s="20">
        <v>46234</v>
      </c>
      <c r="B243" t="s">
        <v>120</v>
      </c>
      <c r="C243" t="s">
        <v>294</v>
      </c>
      <c r="D243" s="22">
        <v>55</v>
      </c>
      <c r="E243" s="22">
        <v>8</v>
      </c>
      <c r="F243" s="21">
        <v>18</v>
      </c>
      <c r="G243" s="22">
        <f t="shared" si="3"/>
        <v>47</v>
      </c>
    </row>
    <row r="244" spans="1:7">
      <c r="A244" s="20">
        <v>46234</v>
      </c>
      <c r="B244" t="s">
        <v>57</v>
      </c>
      <c r="C244" t="s">
        <v>295</v>
      </c>
      <c r="D244" s="22">
        <v>74</v>
      </c>
      <c r="E244" s="22">
        <v>0</v>
      </c>
      <c r="F244" s="21">
        <v>25.5</v>
      </c>
      <c r="G244" s="22">
        <f t="shared" si="3"/>
        <v>74</v>
      </c>
    </row>
    <row r="245" spans="1:7">
      <c r="A245" s="20">
        <v>46234</v>
      </c>
      <c r="B245" t="s">
        <v>60</v>
      </c>
      <c r="C245" t="s">
        <v>296</v>
      </c>
      <c r="D245" s="22">
        <v>93</v>
      </c>
      <c r="E245" s="22">
        <v>1</v>
      </c>
      <c r="F245" s="21">
        <v>33</v>
      </c>
      <c r="G245" s="22">
        <f t="shared" si="3"/>
        <v>92</v>
      </c>
    </row>
    <row r="246" spans="1:7">
      <c r="A246" s="20">
        <v>46234</v>
      </c>
      <c r="B246" t="s">
        <v>64</v>
      </c>
      <c r="C246" t="s">
        <v>294</v>
      </c>
      <c r="D246" s="22">
        <v>112</v>
      </c>
      <c r="E246" s="22">
        <v>2</v>
      </c>
      <c r="F246" s="21">
        <v>40.5</v>
      </c>
      <c r="G246" s="22">
        <f t="shared" si="3"/>
        <v>110</v>
      </c>
    </row>
    <row r="247" spans="1:7">
      <c r="A247" s="20">
        <v>46234</v>
      </c>
      <c r="B247" t="s">
        <v>297</v>
      </c>
      <c r="C247" t="s">
        <v>295</v>
      </c>
      <c r="D247" s="22">
        <v>131</v>
      </c>
      <c r="E247" s="22">
        <v>3</v>
      </c>
      <c r="F247" s="21">
        <v>48</v>
      </c>
      <c r="G247" s="22">
        <f t="shared" si="3"/>
        <v>128</v>
      </c>
    </row>
    <row r="248" spans="1:7">
      <c r="A248" s="20">
        <v>46234</v>
      </c>
      <c r="B248" t="s">
        <v>71</v>
      </c>
      <c r="C248" t="s">
        <v>296</v>
      </c>
      <c r="D248" s="22">
        <v>150</v>
      </c>
      <c r="E248" s="22">
        <v>4</v>
      </c>
      <c r="F248" s="21">
        <v>55.5</v>
      </c>
      <c r="G248" s="22">
        <f t="shared" si="3"/>
        <v>146</v>
      </c>
    </row>
    <row r="249" spans="1:7">
      <c r="A249" s="20">
        <v>46234</v>
      </c>
      <c r="B249" t="s">
        <v>74</v>
      </c>
      <c r="C249" t="s">
        <v>294</v>
      </c>
      <c r="D249" s="22">
        <v>169</v>
      </c>
      <c r="E249" s="22">
        <v>5</v>
      </c>
      <c r="F249" s="21">
        <v>63</v>
      </c>
      <c r="G249" s="22">
        <f t="shared" si="3"/>
        <v>164</v>
      </c>
    </row>
    <row r="250" spans="1:7">
      <c r="A250" s="20">
        <v>46234</v>
      </c>
      <c r="B250" t="s">
        <v>78</v>
      </c>
      <c r="C250" t="s">
        <v>295</v>
      </c>
      <c r="D250" s="22">
        <v>188</v>
      </c>
      <c r="E250" s="22">
        <v>6</v>
      </c>
      <c r="F250" s="21">
        <v>70.5</v>
      </c>
      <c r="G250" s="22">
        <f t="shared" si="3"/>
        <v>182</v>
      </c>
    </row>
    <row r="251" spans="1:7">
      <c r="A251" s="20">
        <v>46234</v>
      </c>
      <c r="B251" t="s">
        <v>298</v>
      </c>
      <c r="C251" t="s">
        <v>296</v>
      </c>
      <c r="D251" s="22">
        <v>207</v>
      </c>
      <c r="E251" s="22">
        <v>7</v>
      </c>
      <c r="F251" s="21">
        <v>78</v>
      </c>
      <c r="G251" s="22">
        <f t="shared" si="3"/>
        <v>200</v>
      </c>
    </row>
    <row r="252" spans="1:7">
      <c r="A252" s="20">
        <v>46234</v>
      </c>
      <c r="B252" t="s">
        <v>85</v>
      </c>
      <c r="C252" t="s">
        <v>294</v>
      </c>
      <c r="D252" s="22">
        <v>56</v>
      </c>
      <c r="E252" s="22">
        <v>8</v>
      </c>
      <c r="F252" s="21">
        <v>85.5</v>
      </c>
      <c r="G252" s="22">
        <f t="shared" si="3"/>
        <v>48</v>
      </c>
    </row>
    <row r="253" spans="1:7">
      <c r="A253" s="20">
        <v>46234</v>
      </c>
      <c r="B253" t="s">
        <v>88</v>
      </c>
      <c r="C253" t="s">
        <v>295</v>
      </c>
      <c r="D253" s="22">
        <v>75</v>
      </c>
      <c r="E253" s="22">
        <v>0</v>
      </c>
      <c r="F253" s="21">
        <v>93</v>
      </c>
      <c r="G253" s="22">
        <f t="shared" si="3"/>
        <v>75</v>
      </c>
    </row>
    <row r="254" spans="1:7">
      <c r="A254" s="20">
        <v>46234</v>
      </c>
      <c r="B254" t="s">
        <v>93</v>
      </c>
      <c r="C254" t="s">
        <v>296</v>
      </c>
      <c r="D254" s="22">
        <v>94</v>
      </c>
      <c r="E254" s="22">
        <v>1</v>
      </c>
      <c r="F254" s="21">
        <v>100.5</v>
      </c>
      <c r="G254" s="22">
        <f t="shared" si="3"/>
        <v>93</v>
      </c>
    </row>
    <row r="255" spans="1:7">
      <c r="A255" s="20">
        <v>46234</v>
      </c>
      <c r="B255" t="s">
        <v>172</v>
      </c>
      <c r="C255" t="s">
        <v>294</v>
      </c>
      <c r="D255" s="22">
        <v>113</v>
      </c>
      <c r="E255" s="22">
        <v>2</v>
      </c>
      <c r="F255" s="21">
        <v>108</v>
      </c>
      <c r="G255" s="22">
        <f t="shared" si="3"/>
        <v>111</v>
      </c>
    </row>
    <row r="256" spans="1:7">
      <c r="A256" s="20">
        <v>46234</v>
      </c>
      <c r="B256" t="s">
        <v>101</v>
      </c>
      <c r="C256" t="s">
        <v>295</v>
      </c>
      <c r="D256" s="22">
        <v>132</v>
      </c>
      <c r="E256" s="22">
        <v>3</v>
      </c>
      <c r="F256" s="21">
        <v>115.5</v>
      </c>
      <c r="G256" s="22">
        <f t="shared" si="3"/>
        <v>129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4"/>
  <sheetViews>
    <sheetView showGridLines="0" workbookViewId="0"/>
  </sheetViews>
  <sheetFormatPr baseColWidth="10" defaultColWidth="8.83203125" defaultRowHeight="14"/>
  <cols>
    <col min="1" max="1" width="18" customWidth="1"/>
    <col min="2" max="2" width="17" customWidth="1"/>
    <col min="3" max="3" width="16" customWidth="1"/>
    <col min="4" max="4" width="14" customWidth="1"/>
    <col min="5" max="5" width="16" customWidth="1"/>
    <col min="6" max="6" width="13" customWidth="1"/>
    <col min="7" max="9" width="17" customWidth="1"/>
    <col min="10" max="10" width="14" customWidth="1"/>
  </cols>
  <sheetData>
    <row r="1" spans="1:10" ht="30" customHeight="1">
      <c r="A1" s="27" t="s">
        <v>299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26" customHeight="1">
      <c r="A2" s="28" t="s">
        <v>300</v>
      </c>
      <c r="B2" s="28"/>
      <c r="C2" s="28"/>
      <c r="D2" s="28"/>
      <c r="E2" s="28"/>
      <c r="F2" s="28"/>
      <c r="G2" s="28"/>
      <c r="H2" s="28"/>
      <c r="I2" s="28"/>
      <c r="J2" s="28"/>
    </row>
    <row r="5" spans="1:10" ht="32" customHeight="1">
      <c r="A5" s="18" t="s">
        <v>301</v>
      </c>
      <c r="B5" s="18" t="s">
        <v>175</v>
      </c>
      <c r="C5" s="18" t="s">
        <v>302</v>
      </c>
      <c r="D5" s="18" t="s">
        <v>303</v>
      </c>
      <c r="E5" s="18" t="s">
        <v>304</v>
      </c>
      <c r="F5" s="18" t="s">
        <v>182</v>
      </c>
      <c r="G5" s="18" t="s">
        <v>305</v>
      </c>
      <c r="H5" s="18" t="s">
        <v>306</v>
      </c>
      <c r="I5" s="18" t="s">
        <v>307</v>
      </c>
      <c r="J5" s="18" t="s">
        <v>308</v>
      </c>
    </row>
    <row r="6" spans="1:10">
      <c r="A6" t="s">
        <v>309</v>
      </c>
      <c r="B6" t="s">
        <v>50</v>
      </c>
      <c r="C6" t="s">
        <v>310</v>
      </c>
      <c r="D6" t="s">
        <v>121</v>
      </c>
      <c r="E6" s="19">
        <v>3</v>
      </c>
      <c r="F6" t="s">
        <v>123</v>
      </c>
      <c r="G6" s="20">
        <v>46242</v>
      </c>
      <c r="H6" t="s">
        <v>311</v>
      </c>
      <c r="I6" s="19">
        <v>285.2</v>
      </c>
      <c r="J6" t="s">
        <v>55</v>
      </c>
    </row>
    <row r="7" spans="1:10">
      <c r="A7" t="s">
        <v>312</v>
      </c>
      <c r="B7" t="s">
        <v>120</v>
      </c>
      <c r="C7" t="s">
        <v>310</v>
      </c>
      <c r="D7" t="s">
        <v>125</v>
      </c>
      <c r="E7" s="19">
        <v>4</v>
      </c>
      <c r="F7" t="s">
        <v>54</v>
      </c>
      <c r="G7" s="20">
        <v>46245</v>
      </c>
      <c r="H7" t="s">
        <v>313</v>
      </c>
      <c r="I7" s="19">
        <v>294.5</v>
      </c>
      <c r="J7" t="s">
        <v>55</v>
      </c>
    </row>
    <row r="8" spans="1:10">
      <c r="A8" t="s">
        <v>314</v>
      </c>
      <c r="B8" t="s">
        <v>57</v>
      </c>
      <c r="C8" t="s">
        <v>315</v>
      </c>
      <c r="D8" t="s">
        <v>121</v>
      </c>
      <c r="E8" s="19">
        <v>4</v>
      </c>
      <c r="F8" t="s">
        <v>54</v>
      </c>
      <c r="G8" s="20">
        <v>46243</v>
      </c>
      <c r="H8" t="s">
        <v>313</v>
      </c>
      <c r="I8" s="19">
        <v>386.40000000000003</v>
      </c>
      <c r="J8" t="s">
        <v>55</v>
      </c>
    </row>
    <row r="9" spans="1:10">
      <c r="A9" t="s">
        <v>316</v>
      </c>
      <c r="B9" t="s">
        <v>317</v>
      </c>
      <c r="C9" t="s">
        <v>315</v>
      </c>
      <c r="D9" t="s">
        <v>125</v>
      </c>
      <c r="E9" s="19">
        <v>5</v>
      </c>
      <c r="F9" t="s">
        <v>54</v>
      </c>
      <c r="G9" s="20">
        <v>46246</v>
      </c>
      <c r="H9" t="s">
        <v>318</v>
      </c>
      <c r="I9" s="19">
        <v>399</v>
      </c>
      <c r="J9" t="s">
        <v>55</v>
      </c>
    </row>
    <row r="10" spans="1:10">
      <c r="A10" t="s">
        <v>319</v>
      </c>
      <c r="B10" t="s">
        <v>60</v>
      </c>
      <c r="C10" t="s">
        <v>320</v>
      </c>
      <c r="D10" t="s">
        <v>121</v>
      </c>
      <c r="E10" s="19">
        <v>5</v>
      </c>
      <c r="F10" t="s">
        <v>54</v>
      </c>
      <c r="G10" s="20">
        <v>46244</v>
      </c>
      <c r="H10" t="s">
        <v>318</v>
      </c>
      <c r="I10" s="19">
        <v>676.2</v>
      </c>
      <c r="J10" t="s">
        <v>55</v>
      </c>
    </row>
    <row r="11" spans="1:10">
      <c r="A11" t="s">
        <v>321</v>
      </c>
      <c r="B11" t="s">
        <v>322</v>
      </c>
      <c r="C11" t="s">
        <v>320</v>
      </c>
      <c r="D11" t="s">
        <v>125</v>
      </c>
      <c r="E11" s="19">
        <v>6</v>
      </c>
      <c r="F11" t="s">
        <v>123</v>
      </c>
      <c r="G11" s="20">
        <v>46247</v>
      </c>
      <c r="H11" t="s">
        <v>323</v>
      </c>
      <c r="I11" s="19">
        <v>698.25</v>
      </c>
      <c r="J11" t="s">
        <v>55</v>
      </c>
    </row>
    <row r="12" spans="1:10">
      <c r="A12" t="s">
        <v>324</v>
      </c>
      <c r="B12" t="s">
        <v>64</v>
      </c>
      <c r="C12" t="s">
        <v>310</v>
      </c>
      <c r="D12" t="s">
        <v>121</v>
      </c>
      <c r="E12" s="19">
        <v>6</v>
      </c>
      <c r="F12" t="s">
        <v>123</v>
      </c>
      <c r="G12" s="20">
        <v>46245</v>
      </c>
      <c r="H12" t="s">
        <v>323</v>
      </c>
      <c r="I12" s="19">
        <v>285.2</v>
      </c>
      <c r="J12" t="s">
        <v>55</v>
      </c>
    </row>
    <row r="13" spans="1:10">
      <c r="A13" t="s">
        <v>325</v>
      </c>
      <c r="B13" t="s">
        <v>169</v>
      </c>
      <c r="C13" t="s">
        <v>310</v>
      </c>
      <c r="D13" t="s">
        <v>125</v>
      </c>
      <c r="E13" s="19">
        <v>7</v>
      </c>
      <c r="F13" t="s">
        <v>54</v>
      </c>
      <c r="G13" s="20">
        <v>46248</v>
      </c>
      <c r="H13" t="s">
        <v>311</v>
      </c>
      <c r="I13" s="19">
        <v>294.5</v>
      </c>
      <c r="J13" t="s">
        <v>55</v>
      </c>
    </row>
    <row r="14" spans="1:10">
      <c r="A14" t="s">
        <v>326</v>
      </c>
      <c r="B14" t="s">
        <v>67</v>
      </c>
      <c r="C14" t="s">
        <v>315</v>
      </c>
      <c r="D14" t="s">
        <v>121</v>
      </c>
      <c r="E14" s="19">
        <v>7</v>
      </c>
      <c r="F14" t="s">
        <v>54</v>
      </c>
      <c r="G14" s="20">
        <v>46246</v>
      </c>
      <c r="H14" t="s">
        <v>311</v>
      </c>
      <c r="I14" s="19">
        <v>79.12</v>
      </c>
      <c r="J14" t="s">
        <v>55</v>
      </c>
    </row>
    <row r="15" spans="1:10">
      <c r="A15" t="s">
        <v>327</v>
      </c>
      <c r="B15" t="s">
        <v>297</v>
      </c>
      <c r="C15" t="s">
        <v>315</v>
      </c>
      <c r="D15" t="s">
        <v>125</v>
      </c>
      <c r="E15" s="19">
        <v>8</v>
      </c>
      <c r="F15" t="s">
        <v>54</v>
      </c>
      <c r="G15" s="20">
        <v>46249</v>
      </c>
      <c r="H15" t="s">
        <v>313</v>
      </c>
      <c r="I15" s="19">
        <v>81.7</v>
      </c>
      <c r="J15" t="s">
        <v>55</v>
      </c>
    </row>
    <row r="16" spans="1:10">
      <c r="A16" t="s">
        <v>328</v>
      </c>
      <c r="B16" t="s">
        <v>71</v>
      </c>
      <c r="C16" t="s">
        <v>320</v>
      </c>
      <c r="D16" t="s">
        <v>121</v>
      </c>
      <c r="E16" s="19">
        <v>8</v>
      </c>
      <c r="F16" t="s">
        <v>54</v>
      </c>
      <c r="G16" s="20">
        <v>46247</v>
      </c>
      <c r="H16" t="s">
        <v>313</v>
      </c>
      <c r="I16" s="19">
        <v>40.480000000000004</v>
      </c>
      <c r="J16" t="s">
        <v>55</v>
      </c>
    </row>
    <row r="17" spans="1:10">
      <c r="A17" t="s">
        <v>329</v>
      </c>
      <c r="B17" t="s">
        <v>135</v>
      </c>
      <c r="C17" t="s">
        <v>320</v>
      </c>
      <c r="D17" t="s">
        <v>125</v>
      </c>
      <c r="E17" s="19">
        <v>9</v>
      </c>
      <c r="F17" t="s">
        <v>123</v>
      </c>
      <c r="G17" s="20">
        <v>46250</v>
      </c>
      <c r="H17" t="s">
        <v>318</v>
      </c>
      <c r="I17" s="19">
        <v>41.800000000000004</v>
      </c>
      <c r="J17" t="s">
        <v>55</v>
      </c>
    </row>
    <row r="18" spans="1:10">
      <c r="A18" t="s">
        <v>330</v>
      </c>
      <c r="B18" t="s">
        <v>74</v>
      </c>
      <c r="C18" t="s">
        <v>310</v>
      </c>
      <c r="D18" t="s">
        <v>121</v>
      </c>
      <c r="E18" s="19">
        <v>9</v>
      </c>
      <c r="F18" t="s">
        <v>123</v>
      </c>
      <c r="G18" s="20">
        <v>46248</v>
      </c>
      <c r="H18" t="s">
        <v>318</v>
      </c>
      <c r="I18" s="19">
        <v>57.96</v>
      </c>
      <c r="J18" t="s">
        <v>55</v>
      </c>
    </row>
    <row r="19" spans="1:10">
      <c r="A19" t="s">
        <v>331</v>
      </c>
      <c r="B19" t="s">
        <v>170</v>
      </c>
      <c r="C19" t="s">
        <v>310</v>
      </c>
      <c r="D19" t="s">
        <v>125</v>
      </c>
      <c r="E19" s="19">
        <v>10</v>
      </c>
      <c r="F19" t="s">
        <v>54</v>
      </c>
      <c r="G19" s="20">
        <v>46251</v>
      </c>
      <c r="H19" t="s">
        <v>323</v>
      </c>
      <c r="I19" s="19">
        <v>59.85</v>
      </c>
      <c r="J19" t="s">
        <v>55</v>
      </c>
    </row>
    <row r="20" spans="1:10">
      <c r="A20" t="s">
        <v>332</v>
      </c>
      <c r="B20" t="s">
        <v>78</v>
      </c>
      <c r="C20" t="s">
        <v>315</v>
      </c>
      <c r="D20" t="s">
        <v>121</v>
      </c>
      <c r="E20" s="19">
        <v>10</v>
      </c>
      <c r="F20" t="s">
        <v>54</v>
      </c>
      <c r="G20" s="20">
        <v>46249</v>
      </c>
      <c r="H20" t="s">
        <v>323</v>
      </c>
      <c r="I20" s="19">
        <v>28.52</v>
      </c>
      <c r="J20" t="s">
        <v>55</v>
      </c>
    </row>
    <row r="21" spans="1:10">
      <c r="A21" t="s">
        <v>333</v>
      </c>
      <c r="B21" t="s">
        <v>334</v>
      </c>
      <c r="C21" t="s">
        <v>315</v>
      </c>
      <c r="D21" t="s">
        <v>125</v>
      </c>
      <c r="E21" s="19">
        <v>11</v>
      </c>
      <c r="F21" t="s">
        <v>54</v>
      </c>
      <c r="G21" s="20">
        <v>46252</v>
      </c>
      <c r="H21" t="s">
        <v>311</v>
      </c>
      <c r="I21" s="19">
        <v>29.450000000000003</v>
      </c>
      <c r="J21" t="s">
        <v>55</v>
      </c>
    </row>
    <row r="22" spans="1:10">
      <c r="A22" t="s">
        <v>335</v>
      </c>
      <c r="B22" t="s">
        <v>81</v>
      </c>
      <c r="C22" t="s">
        <v>320</v>
      </c>
      <c r="D22" t="s">
        <v>121</v>
      </c>
      <c r="E22" s="19">
        <v>11</v>
      </c>
      <c r="F22" t="s">
        <v>54</v>
      </c>
      <c r="G22" s="20">
        <v>46250</v>
      </c>
      <c r="H22" t="s">
        <v>311</v>
      </c>
      <c r="I22" s="19">
        <v>52.440000000000005</v>
      </c>
      <c r="J22" t="s">
        <v>55</v>
      </c>
    </row>
    <row r="23" spans="1:10">
      <c r="A23" t="s">
        <v>336</v>
      </c>
      <c r="B23" t="s">
        <v>298</v>
      </c>
      <c r="C23" t="s">
        <v>320</v>
      </c>
      <c r="D23" t="s">
        <v>125</v>
      </c>
      <c r="E23" s="19">
        <v>3</v>
      </c>
      <c r="F23" t="s">
        <v>123</v>
      </c>
      <c r="G23" s="20">
        <v>46253</v>
      </c>
      <c r="H23" t="s">
        <v>313</v>
      </c>
      <c r="I23" s="19">
        <v>54.150000000000006</v>
      </c>
      <c r="J23" t="s">
        <v>55</v>
      </c>
    </row>
    <row r="24" spans="1:10">
      <c r="A24" t="s">
        <v>337</v>
      </c>
      <c r="B24" t="s">
        <v>85</v>
      </c>
      <c r="C24" t="s">
        <v>310</v>
      </c>
      <c r="D24" t="s">
        <v>121</v>
      </c>
      <c r="E24" s="19">
        <v>3</v>
      </c>
      <c r="F24" t="s">
        <v>123</v>
      </c>
      <c r="G24" s="20">
        <v>46251</v>
      </c>
      <c r="H24" t="s">
        <v>313</v>
      </c>
      <c r="I24" s="19">
        <v>65.320000000000007</v>
      </c>
      <c r="J24" t="s">
        <v>55</v>
      </c>
    </row>
    <row r="25" spans="1:10">
      <c r="A25" t="s">
        <v>338</v>
      </c>
      <c r="B25" t="s">
        <v>171</v>
      </c>
      <c r="C25" t="s">
        <v>310</v>
      </c>
      <c r="D25" t="s">
        <v>125</v>
      </c>
      <c r="E25" s="19">
        <v>4</v>
      </c>
      <c r="F25" t="s">
        <v>54</v>
      </c>
      <c r="G25" s="20">
        <v>46254</v>
      </c>
      <c r="H25" t="s">
        <v>318</v>
      </c>
      <c r="I25" s="19">
        <v>67.45</v>
      </c>
      <c r="J25" t="s">
        <v>55</v>
      </c>
    </row>
    <row r="26" spans="1:10">
      <c r="A26" t="s">
        <v>339</v>
      </c>
      <c r="B26" t="s">
        <v>88</v>
      </c>
      <c r="C26" t="s">
        <v>315</v>
      </c>
      <c r="D26" t="s">
        <v>121</v>
      </c>
      <c r="E26" s="19">
        <v>4</v>
      </c>
      <c r="F26" t="s">
        <v>54</v>
      </c>
      <c r="G26" s="20">
        <v>46252</v>
      </c>
      <c r="H26" t="s">
        <v>318</v>
      </c>
      <c r="I26" s="19">
        <v>12.88</v>
      </c>
      <c r="J26" t="s">
        <v>92</v>
      </c>
    </row>
    <row r="27" spans="1:10">
      <c r="A27" t="s">
        <v>340</v>
      </c>
      <c r="B27" t="s">
        <v>146</v>
      </c>
      <c r="C27" t="s">
        <v>315</v>
      </c>
      <c r="D27" t="s">
        <v>125</v>
      </c>
      <c r="E27" s="19">
        <v>5</v>
      </c>
      <c r="F27" t="s">
        <v>54</v>
      </c>
      <c r="G27" s="20">
        <v>46255</v>
      </c>
      <c r="H27" t="s">
        <v>323</v>
      </c>
      <c r="I27" s="19">
        <v>13.3</v>
      </c>
      <c r="J27" t="s">
        <v>92</v>
      </c>
    </row>
    <row r="28" spans="1:10">
      <c r="A28" t="s">
        <v>341</v>
      </c>
      <c r="B28" t="s">
        <v>93</v>
      </c>
      <c r="C28" t="s">
        <v>320</v>
      </c>
      <c r="D28" t="s">
        <v>121</v>
      </c>
      <c r="E28" s="19">
        <v>5</v>
      </c>
      <c r="F28" t="s">
        <v>54</v>
      </c>
      <c r="G28" s="20">
        <v>46253</v>
      </c>
      <c r="H28" t="s">
        <v>323</v>
      </c>
      <c r="I28" s="19">
        <v>3.8640000000000003</v>
      </c>
      <c r="J28" t="s">
        <v>92</v>
      </c>
    </row>
    <row r="29" spans="1:10">
      <c r="A29" t="s">
        <v>342</v>
      </c>
      <c r="B29" t="s">
        <v>343</v>
      </c>
      <c r="C29" t="s">
        <v>320</v>
      </c>
      <c r="D29" t="s">
        <v>125</v>
      </c>
      <c r="E29" s="19">
        <v>6</v>
      </c>
      <c r="F29" t="s">
        <v>123</v>
      </c>
      <c r="G29" s="20">
        <v>46256</v>
      </c>
      <c r="H29" t="s">
        <v>311</v>
      </c>
      <c r="I29" s="19">
        <v>3.9900000000000007</v>
      </c>
      <c r="J29" t="s">
        <v>92</v>
      </c>
    </row>
    <row r="30" spans="1:10">
      <c r="A30" t="s">
        <v>344</v>
      </c>
      <c r="B30" t="s">
        <v>96</v>
      </c>
      <c r="C30" t="s">
        <v>310</v>
      </c>
      <c r="D30" t="s">
        <v>121</v>
      </c>
      <c r="E30" s="19">
        <v>6</v>
      </c>
      <c r="F30" t="s">
        <v>123</v>
      </c>
      <c r="G30" s="20">
        <v>46254</v>
      </c>
      <c r="H30" t="s">
        <v>311</v>
      </c>
      <c r="I30" s="19">
        <v>87.4</v>
      </c>
      <c r="J30" t="s">
        <v>100</v>
      </c>
    </row>
    <row r="31" spans="1:10">
      <c r="A31" t="s">
        <v>345</v>
      </c>
      <c r="B31" t="s">
        <v>172</v>
      </c>
      <c r="C31" t="s">
        <v>310</v>
      </c>
      <c r="D31" t="s">
        <v>125</v>
      </c>
      <c r="E31" s="19">
        <v>7</v>
      </c>
      <c r="F31" t="s">
        <v>54</v>
      </c>
      <c r="G31" s="20">
        <v>46257</v>
      </c>
      <c r="H31" t="s">
        <v>313</v>
      </c>
      <c r="I31" s="19">
        <v>90.25</v>
      </c>
      <c r="J31" t="s">
        <v>100</v>
      </c>
    </row>
    <row r="32" spans="1:10">
      <c r="A32" t="s">
        <v>346</v>
      </c>
      <c r="B32" t="s">
        <v>101</v>
      </c>
      <c r="C32" t="s">
        <v>315</v>
      </c>
      <c r="D32" t="s">
        <v>121</v>
      </c>
      <c r="E32" s="19">
        <v>7</v>
      </c>
      <c r="F32" t="s">
        <v>54</v>
      </c>
      <c r="G32" s="20">
        <v>46255</v>
      </c>
      <c r="H32" t="s">
        <v>313</v>
      </c>
      <c r="I32" s="19">
        <v>15180</v>
      </c>
      <c r="J32" t="s">
        <v>104</v>
      </c>
    </row>
    <row r="33" spans="1:10">
      <c r="A33" t="s">
        <v>347</v>
      </c>
      <c r="B33" t="s">
        <v>348</v>
      </c>
      <c r="C33" t="s">
        <v>315</v>
      </c>
      <c r="D33" t="s">
        <v>125</v>
      </c>
      <c r="E33" s="19">
        <v>8</v>
      </c>
      <c r="F33" t="s">
        <v>54</v>
      </c>
      <c r="G33" s="20">
        <v>46258</v>
      </c>
      <c r="H33" t="s">
        <v>318</v>
      </c>
      <c r="I33" s="19">
        <v>15675.000000000002</v>
      </c>
      <c r="J33" t="s">
        <v>104</v>
      </c>
    </row>
    <row r="34" spans="1:10">
      <c r="A34" t="s">
        <v>349</v>
      </c>
      <c r="B34" t="s">
        <v>78</v>
      </c>
      <c r="C34" t="s">
        <v>350</v>
      </c>
      <c r="D34" t="s">
        <v>121</v>
      </c>
      <c r="E34" s="19">
        <v>40</v>
      </c>
      <c r="F34" t="s">
        <v>54</v>
      </c>
      <c r="G34" s="20">
        <v>46252</v>
      </c>
      <c r="H34" t="s">
        <v>311</v>
      </c>
      <c r="I34" s="19">
        <v>27</v>
      </c>
      <c r="J34" t="s">
        <v>351</v>
      </c>
    </row>
  </sheetData>
  <mergeCells count="2">
    <mergeCell ref="A1:J1"/>
    <mergeCell ref="A2:J2"/>
  </mergeCells>
  <conditionalFormatting sqref="H6:H34">
    <cfRule type="containsText" dxfId="8" priority="1" operator="containsText" text="Delayed"/>
    <cfRule type="containsText" dxfId="7" priority="2" operator="containsText" text="Customs"/>
    <cfRule type="containsText" dxfId="6" priority="3" operator="containsText" text="Approved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8"/>
  <sheetViews>
    <sheetView showGridLines="0" workbookViewId="0"/>
  </sheetViews>
  <sheetFormatPr baseColWidth="10" defaultColWidth="8.83203125" defaultRowHeight="14"/>
  <cols>
    <col min="1" max="1" width="15" customWidth="1"/>
    <col min="2" max="4" width="14" customWidth="1"/>
    <col min="5" max="5" width="17" customWidth="1"/>
    <col min="6" max="6" width="12" customWidth="1"/>
    <col min="7" max="7" width="14" customWidth="1"/>
    <col min="8" max="8" width="18" customWidth="1"/>
    <col min="9" max="9" width="16" customWidth="1"/>
    <col min="10" max="10" width="12" customWidth="1"/>
  </cols>
  <sheetData>
    <row r="1" spans="1:10" ht="30" customHeight="1">
      <c r="A1" s="27" t="s">
        <v>352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26" customHeight="1">
      <c r="A2" s="28" t="s">
        <v>353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32" customHeight="1">
      <c r="A4" s="18" t="s">
        <v>354</v>
      </c>
      <c r="B4" s="18" t="s">
        <v>108</v>
      </c>
      <c r="C4" s="18" t="s">
        <v>355</v>
      </c>
      <c r="D4" s="18" t="s">
        <v>356</v>
      </c>
      <c r="E4" s="18" t="s">
        <v>357</v>
      </c>
      <c r="F4" s="18" t="s">
        <v>115</v>
      </c>
      <c r="G4" s="18" t="s">
        <v>358</v>
      </c>
      <c r="H4" s="18" t="s">
        <v>359</v>
      </c>
      <c r="I4" s="18" t="s">
        <v>183</v>
      </c>
      <c r="J4" s="18" t="s">
        <v>242</v>
      </c>
    </row>
    <row r="5" spans="1:10">
      <c r="A5" t="s">
        <v>360</v>
      </c>
      <c r="B5" t="s">
        <v>50</v>
      </c>
      <c r="C5" t="s">
        <v>121</v>
      </c>
      <c r="D5" t="s">
        <v>167</v>
      </c>
      <c r="E5" s="19">
        <v>8</v>
      </c>
      <c r="F5" t="s">
        <v>54</v>
      </c>
      <c r="G5" s="20">
        <v>46239</v>
      </c>
      <c r="H5" t="s">
        <v>361</v>
      </c>
      <c r="I5" s="19">
        <v>310</v>
      </c>
      <c r="J5" t="s">
        <v>55</v>
      </c>
    </row>
    <row r="6" spans="1:10">
      <c r="A6" t="s">
        <v>362</v>
      </c>
      <c r="B6" t="s">
        <v>57</v>
      </c>
      <c r="C6" t="s">
        <v>125</v>
      </c>
      <c r="D6" t="s">
        <v>168</v>
      </c>
      <c r="E6" s="19">
        <v>15</v>
      </c>
      <c r="F6" t="s">
        <v>54</v>
      </c>
      <c r="G6" s="20">
        <v>46240</v>
      </c>
      <c r="H6" t="s">
        <v>318</v>
      </c>
      <c r="I6" s="19">
        <v>420</v>
      </c>
      <c r="J6" t="s">
        <v>55</v>
      </c>
    </row>
    <row r="7" spans="1:10">
      <c r="A7" t="s">
        <v>363</v>
      </c>
      <c r="B7" t="s">
        <v>60</v>
      </c>
      <c r="C7" t="s">
        <v>121</v>
      </c>
      <c r="D7" t="s">
        <v>167</v>
      </c>
      <c r="E7" s="19">
        <v>22</v>
      </c>
      <c r="F7" t="s">
        <v>54</v>
      </c>
      <c r="G7" s="20">
        <v>46241</v>
      </c>
      <c r="H7" t="s">
        <v>318</v>
      </c>
      <c r="I7" s="19">
        <v>735</v>
      </c>
      <c r="J7" t="s">
        <v>55</v>
      </c>
    </row>
    <row r="8" spans="1:10">
      <c r="A8" t="s">
        <v>364</v>
      </c>
      <c r="B8" t="s">
        <v>64</v>
      </c>
      <c r="C8" t="s">
        <v>125</v>
      </c>
      <c r="D8" t="s">
        <v>168</v>
      </c>
      <c r="E8" s="19">
        <v>29</v>
      </c>
      <c r="F8" t="s">
        <v>54</v>
      </c>
      <c r="G8" s="20">
        <v>46242</v>
      </c>
      <c r="H8" t="s">
        <v>318</v>
      </c>
      <c r="I8" s="19">
        <v>310</v>
      </c>
      <c r="J8" t="s">
        <v>55</v>
      </c>
    </row>
    <row r="9" spans="1:10">
      <c r="A9" t="s">
        <v>365</v>
      </c>
      <c r="B9" t="s">
        <v>67</v>
      </c>
      <c r="C9" t="s">
        <v>121</v>
      </c>
      <c r="D9" t="s">
        <v>167</v>
      </c>
      <c r="E9" s="19">
        <v>36</v>
      </c>
      <c r="F9" t="s">
        <v>54</v>
      </c>
      <c r="G9" s="20">
        <v>46243</v>
      </c>
      <c r="H9" t="s">
        <v>318</v>
      </c>
      <c r="I9" s="19">
        <v>86</v>
      </c>
      <c r="J9" t="s">
        <v>55</v>
      </c>
    </row>
    <row r="10" spans="1:10">
      <c r="A10" t="s">
        <v>366</v>
      </c>
      <c r="B10" t="s">
        <v>71</v>
      </c>
      <c r="C10" t="s">
        <v>125</v>
      </c>
      <c r="D10" t="s">
        <v>168</v>
      </c>
      <c r="E10" s="19">
        <v>43</v>
      </c>
      <c r="F10" t="s">
        <v>54</v>
      </c>
      <c r="G10" s="20">
        <v>46244</v>
      </c>
      <c r="H10" t="s">
        <v>367</v>
      </c>
      <c r="I10" s="19">
        <v>44</v>
      </c>
      <c r="J10" t="s">
        <v>55</v>
      </c>
    </row>
    <row r="11" spans="1:10">
      <c r="A11" t="s">
        <v>368</v>
      </c>
      <c r="B11" t="s">
        <v>74</v>
      </c>
      <c r="C11" t="s">
        <v>121</v>
      </c>
      <c r="D11" t="s">
        <v>167</v>
      </c>
      <c r="E11" s="19">
        <v>50</v>
      </c>
      <c r="F11" t="s">
        <v>54</v>
      </c>
      <c r="G11" s="20">
        <v>46245</v>
      </c>
      <c r="H11" t="s">
        <v>318</v>
      </c>
      <c r="I11" s="19">
        <v>63</v>
      </c>
      <c r="J11" t="s">
        <v>55</v>
      </c>
    </row>
    <row r="12" spans="1:10">
      <c r="A12" t="s">
        <v>369</v>
      </c>
      <c r="B12" t="s">
        <v>78</v>
      </c>
      <c r="C12" t="s">
        <v>125</v>
      </c>
      <c r="D12" t="s">
        <v>168</v>
      </c>
      <c r="E12" s="19">
        <v>57</v>
      </c>
      <c r="F12" t="s">
        <v>54</v>
      </c>
      <c r="G12" s="20">
        <v>46246</v>
      </c>
      <c r="H12" t="s">
        <v>361</v>
      </c>
      <c r="I12" s="19">
        <v>31</v>
      </c>
      <c r="J12" t="s">
        <v>55</v>
      </c>
    </row>
    <row r="13" spans="1:10">
      <c r="A13" t="s">
        <v>370</v>
      </c>
      <c r="B13" t="s">
        <v>81</v>
      </c>
      <c r="C13" t="s">
        <v>121</v>
      </c>
      <c r="D13" t="s">
        <v>167</v>
      </c>
      <c r="E13" s="19">
        <v>9</v>
      </c>
      <c r="F13" t="s">
        <v>54</v>
      </c>
      <c r="G13" s="20">
        <v>46247</v>
      </c>
      <c r="H13" t="s">
        <v>318</v>
      </c>
      <c r="I13" s="19">
        <v>57</v>
      </c>
      <c r="J13" t="s">
        <v>55</v>
      </c>
    </row>
    <row r="14" spans="1:10">
      <c r="A14" t="s">
        <v>371</v>
      </c>
      <c r="B14" t="s">
        <v>85</v>
      </c>
      <c r="C14" t="s">
        <v>125</v>
      </c>
      <c r="D14" t="s">
        <v>168</v>
      </c>
      <c r="E14" s="19">
        <v>16</v>
      </c>
      <c r="F14" t="s">
        <v>54</v>
      </c>
      <c r="G14" s="20">
        <v>46248</v>
      </c>
      <c r="H14" t="s">
        <v>318</v>
      </c>
      <c r="I14" s="19">
        <v>71</v>
      </c>
      <c r="J14" t="s">
        <v>55</v>
      </c>
    </row>
    <row r="15" spans="1:10">
      <c r="A15" t="s">
        <v>372</v>
      </c>
      <c r="B15" t="s">
        <v>88</v>
      </c>
      <c r="C15" t="s">
        <v>121</v>
      </c>
      <c r="D15" t="s">
        <v>167</v>
      </c>
      <c r="E15" s="19">
        <v>23</v>
      </c>
      <c r="F15" t="s">
        <v>54</v>
      </c>
      <c r="G15" s="20">
        <v>46249</v>
      </c>
      <c r="H15" t="s">
        <v>367</v>
      </c>
      <c r="I15" s="19">
        <v>14</v>
      </c>
      <c r="J15" t="s">
        <v>92</v>
      </c>
    </row>
    <row r="16" spans="1:10">
      <c r="A16" t="s">
        <v>373</v>
      </c>
      <c r="B16" t="s">
        <v>93</v>
      </c>
      <c r="C16" t="s">
        <v>125</v>
      </c>
      <c r="D16" t="s">
        <v>168</v>
      </c>
      <c r="E16" s="19">
        <v>30</v>
      </c>
      <c r="F16" t="s">
        <v>54</v>
      </c>
      <c r="G16" s="20">
        <v>46250</v>
      </c>
      <c r="H16" t="s">
        <v>318</v>
      </c>
      <c r="I16" s="19">
        <v>4.2</v>
      </c>
      <c r="J16" t="s">
        <v>92</v>
      </c>
    </row>
    <row r="17" spans="1:10">
      <c r="A17" t="s">
        <v>374</v>
      </c>
      <c r="B17" t="s">
        <v>96</v>
      </c>
      <c r="C17" t="s">
        <v>121</v>
      </c>
      <c r="D17" t="s">
        <v>167</v>
      </c>
      <c r="E17" s="19">
        <v>37</v>
      </c>
      <c r="F17" t="s">
        <v>54</v>
      </c>
      <c r="G17" s="20">
        <v>46251</v>
      </c>
      <c r="H17" t="s">
        <v>318</v>
      </c>
      <c r="I17" s="19">
        <v>95</v>
      </c>
      <c r="J17" t="s">
        <v>100</v>
      </c>
    </row>
    <row r="18" spans="1:10">
      <c r="A18" t="s">
        <v>375</v>
      </c>
      <c r="B18" t="s">
        <v>101</v>
      </c>
      <c r="C18" t="s">
        <v>125</v>
      </c>
      <c r="D18" t="s">
        <v>168</v>
      </c>
      <c r="E18" s="19">
        <v>44</v>
      </c>
      <c r="F18" t="s">
        <v>54</v>
      </c>
      <c r="G18" s="20">
        <v>46252</v>
      </c>
      <c r="H18" t="s">
        <v>318</v>
      </c>
      <c r="I18" s="19">
        <v>16500</v>
      </c>
      <c r="J18" t="s">
        <v>104</v>
      </c>
    </row>
  </sheetData>
  <mergeCells count="2">
    <mergeCell ref="A1:J1"/>
    <mergeCell ref="A2:J2"/>
  </mergeCells>
  <conditionalFormatting sqref="H5:H18">
    <cfRule type="containsText" dxfId="5" priority="1" operator="containsText" text="Delayed"/>
    <cfRule type="containsText" dxfId="4" priority="2" operator="containsText" text="Customs"/>
    <cfRule type="containsText" dxfId="3" priority="3" operator="containsText" text="Approved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"/>
  <sheetViews>
    <sheetView showGridLines="0" workbookViewId="0"/>
  </sheetViews>
  <sheetFormatPr baseColWidth="10" defaultColWidth="8.83203125" defaultRowHeight="14"/>
  <cols>
    <col min="1" max="1" width="13" customWidth="1"/>
    <col min="2" max="2" width="25" customWidth="1"/>
    <col min="3" max="3" width="14" customWidth="1"/>
    <col min="4" max="4" width="4" customWidth="1"/>
    <col min="5" max="5" width="18" customWidth="1"/>
    <col min="6" max="7" width="22" customWidth="1"/>
    <col min="8" max="8" width="16" customWidth="1"/>
  </cols>
  <sheetData>
    <row r="1" spans="1:9" ht="30" customHeight="1">
      <c r="A1" s="27" t="s">
        <v>376</v>
      </c>
      <c r="B1" s="27"/>
      <c r="C1" s="27"/>
      <c r="D1" s="27"/>
      <c r="E1" s="27"/>
      <c r="F1" s="27"/>
      <c r="G1" s="27"/>
      <c r="H1" s="27"/>
      <c r="I1" s="27"/>
    </row>
    <row r="2" spans="1:9" ht="26" customHeight="1">
      <c r="A2" s="28" t="s">
        <v>377</v>
      </c>
      <c r="B2" s="28"/>
      <c r="C2" s="28"/>
      <c r="D2" s="28"/>
      <c r="E2" s="28"/>
      <c r="F2" s="28"/>
      <c r="G2" s="28"/>
      <c r="H2" s="28"/>
      <c r="I2" s="28"/>
    </row>
    <row r="4" spans="1:9">
      <c r="A4" t="s">
        <v>165</v>
      </c>
      <c r="B4" t="s">
        <v>378</v>
      </c>
      <c r="C4" t="s">
        <v>379</v>
      </c>
      <c r="E4" t="s">
        <v>380</v>
      </c>
      <c r="F4" t="s">
        <v>381</v>
      </c>
      <c r="G4" t="s">
        <v>382</v>
      </c>
      <c r="H4" t="s">
        <v>383</v>
      </c>
    </row>
    <row r="5" spans="1:9">
      <c r="A5" t="s">
        <v>55</v>
      </c>
      <c r="B5" s="23">
        <v>1</v>
      </c>
      <c r="C5" s="20">
        <v>46235</v>
      </c>
      <c r="E5" t="s">
        <v>52</v>
      </c>
      <c r="F5">
        <v>35</v>
      </c>
      <c r="G5">
        <v>21</v>
      </c>
      <c r="H5" t="s">
        <v>384</v>
      </c>
    </row>
    <row r="6" spans="1:9">
      <c r="A6" t="s">
        <v>92</v>
      </c>
      <c r="B6" s="23">
        <v>1.0900000000000001</v>
      </c>
      <c r="C6" s="20">
        <v>46235</v>
      </c>
      <c r="E6" t="s">
        <v>62</v>
      </c>
      <c r="F6">
        <v>42</v>
      </c>
      <c r="G6">
        <v>21</v>
      </c>
      <c r="H6" t="s">
        <v>384</v>
      </c>
    </row>
    <row r="7" spans="1:9">
      <c r="A7" t="s">
        <v>100</v>
      </c>
      <c r="B7" s="23">
        <v>0.73</v>
      </c>
      <c r="C7" s="20">
        <v>46235</v>
      </c>
      <c r="E7" t="s">
        <v>69</v>
      </c>
      <c r="F7">
        <v>28</v>
      </c>
      <c r="G7">
        <v>14</v>
      </c>
      <c r="H7" t="s">
        <v>385</v>
      </c>
    </row>
    <row r="8" spans="1:9">
      <c r="A8" t="s">
        <v>104</v>
      </c>
      <c r="B8" s="23">
        <v>6.7000000000000002E-3</v>
      </c>
      <c r="C8" s="20">
        <v>46235</v>
      </c>
      <c r="E8" t="s">
        <v>90</v>
      </c>
      <c r="F8">
        <v>24</v>
      </c>
      <c r="G8">
        <v>14</v>
      </c>
      <c r="H8" t="s">
        <v>385</v>
      </c>
    </row>
    <row r="9" spans="1:9">
      <c r="E9" t="s">
        <v>98</v>
      </c>
      <c r="F9">
        <v>31</v>
      </c>
      <c r="G9">
        <v>18</v>
      </c>
      <c r="H9" t="s">
        <v>386</v>
      </c>
    </row>
  </sheetData>
  <mergeCells count="2">
    <mergeCell ref="A1:I1"/>
    <mergeCell ref="A2:I2"/>
  </mergeCells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2"/>
  <sheetViews>
    <sheetView showGridLines="0" workbookViewId="0"/>
  </sheetViews>
  <sheetFormatPr baseColWidth="10" defaultColWidth="8.83203125" defaultRowHeight="14"/>
  <cols>
    <col min="1" max="1" width="24" customWidth="1"/>
    <col min="2" max="2" width="21" customWidth="1"/>
    <col min="3" max="3" width="56" customWidth="1"/>
  </cols>
  <sheetData>
    <row r="1" spans="1:6" ht="30" customHeight="1">
      <c r="A1" s="27" t="s">
        <v>387</v>
      </c>
      <c r="B1" s="27"/>
      <c r="C1" s="27"/>
      <c r="D1" s="27"/>
      <c r="E1" s="27"/>
      <c r="F1" s="27"/>
    </row>
    <row r="2" spans="1:6" ht="26" customHeight="1">
      <c r="A2" s="28" t="s">
        <v>388</v>
      </c>
      <c r="B2" s="28"/>
      <c r="C2" s="28"/>
      <c r="D2" s="28"/>
      <c r="E2" s="28"/>
      <c r="F2" s="28"/>
    </row>
    <row r="4" spans="1:6" ht="15">
      <c r="A4" s="24" t="s">
        <v>389</v>
      </c>
      <c r="B4" s="24" t="s">
        <v>390</v>
      </c>
      <c r="C4" s="24" t="s">
        <v>391</v>
      </c>
    </row>
    <row r="5" spans="1:6" ht="15">
      <c r="A5" s="2" t="s">
        <v>392</v>
      </c>
      <c r="B5" s="25">
        <f>COUNTA('Global Product Register'!A5:A18)</f>
        <v>14</v>
      </c>
      <c r="C5" s="2" t="s">
        <v>393</v>
      </c>
    </row>
    <row r="6" spans="1:6" ht="15">
      <c r="A6" s="2" t="s">
        <v>394</v>
      </c>
      <c r="B6" s="25">
        <f>COUNTA('Monthly Sell Through'!B5:B256)</f>
        <v>252</v>
      </c>
      <c r="C6" s="2" t="s">
        <v>395</v>
      </c>
    </row>
    <row r="7" spans="1:6" ht="15">
      <c r="A7" s="2" t="s">
        <v>396</v>
      </c>
      <c r="B7" s="25">
        <f>COUNTA('SAP Distribution Stock'!A6:A35)</f>
        <v>30</v>
      </c>
      <c r="C7" s="2" t="s">
        <v>397</v>
      </c>
    </row>
    <row r="8" spans="1:6" ht="15">
      <c r="A8" s="2" t="s">
        <v>398</v>
      </c>
      <c r="B8" s="25">
        <f>COUNTA('Oracle Retail Count'!A7:A36)</f>
        <v>30</v>
      </c>
      <c r="C8" s="2" t="s">
        <v>399</v>
      </c>
    </row>
    <row r="9" spans="1:6" ht="15">
      <c r="A9" s="2" t="s">
        <v>400</v>
      </c>
      <c r="B9" s="25">
        <f>COUNTA('3PL External Feed'!A5:A32)</f>
        <v>28</v>
      </c>
      <c r="C9" s="2" t="s">
        <v>401</v>
      </c>
    </row>
    <row r="10" spans="1:6" ht="15">
      <c r="A10" s="2" t="s">
        <v>402</v>
      </c>
      <c r="B10" s="25">
        <f>COUNTA('Open Procurement'!A6:A34)</f>
        <v>29</v>
      </c>
      <c r="C10" s="2" t="s">
        <v>403</v>
      </c>
    </row>
    <row r="11" spans="1:6" ht="15">
      <c r="A11" s="2" t="s">
        <v>404</v>
      </c>
      <c r="B11" s="25">
        <f>COUNTA('Network Transfers'!A5:A18)</f>
        <v>14</v>
      </c>
      <c r="C11" s="2" t="s">
        <v>405</v>
      </c>
    </row>
    <row r="12" spans="1:6">
      <c r="A12" s="2" t="s">
        <v>406</v>
      </c>
      <c r="B12" s="2" t="s">
        <v>407</v>
      </c>
      <c r="C12" s="2" t="s">
        <v>408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1"/>
  <sheetViews>
    <sheetView showGridLines="0" workbookViewId="0"/>
  </sheetViews>
  <sheetFormatPr baseColWidth="10" defaultColWidth="8.83203125" defaultRowHeight="14"/>
  <cols>
    <col min="1" max="1" width="16" customWidth="1"/>
    <col min="2" max="2" width="14" customWidth="1"/>
    <col min="3" max="4" width="17" customWidth="1"/>
    <col min="5" max="5" width="20" customWidth="1"/>
    <col min="6" max="7" width="17" customWidth="1"/>
  </cols>
  <sheetData>
    <row r="1" spans="1:7" ht="30" customHeight="1">
      <c r="A1" s="27" t="s">
        <v>409</v>
      </c>
      <c r="B1" s="27"/>
      <c r="C1" s="27"/>
      <c r="D1" s="27"/>
      <c r="E1" s="27"/>
      <c r="F1" s="27"/>
      <c r="G1" s="27"/>
    </row>
    <row r="2" spans="1:7" ht="26" customHeight="1">
      <c r="A2" s="28" t="s">
        <v>410</v>
      </c>
      <c r="B2" s="28"/>
      <c r="C2" s="28"/>
      <c r="D2" s="28"/>
      <c r="E2" s="28"/>
      <c r="F2" s="28"/>
      <c r="G2" s="28"/>
    </row>
    <row r="4" spans="1:7" ht="32" customHeight="1">
      <c r="A4" s="18" t="s">
        <v>411</v>
      </c>
      <c r="B4" s="18" t="s">
        <v>412</v>
      </c>
      <c r="C4" s="18" t="s">
        <v>413</v>
      </c>
      <c r="D4" s="18" t="s">
        <v>414</v>
      </c>
      <c r="E4" s="18" t="s">
        <v>415</v>
      </c>
      <c r="F4" s="18" t="s">
        <v>416</v>
      </c>
      <c r="G4" s="18" t="s">
        <v>417</v>
      </c>
    </row>
    <row r="5" spans="1:7">
      <c r="A5" s="20">
        <v>45716</v>
      </c>
      <c r="B5" t="s">
        <v>418</v>
      </c>
      <c r="C5" s="21">
        <v>820000</v>
      </c>
      <c r="D5" s="21">
        <v>490000</v>
      </c>
      <c r="E5" s="21">
        <v>165000</v>
      </c>
      <c r="F5" s="21">
        <f t="shared" ref="F5:F31" si="0">C5-D5</f>
        <v>330000</v>
      </c>
      <c r="G5" s="21">
        <f t="shared" ref="G5:G31" si="1">F5-E5</f>
        <v>165000</v>
      </c>
    </row>
    <row r="6" spans="1:7">
      <c r="A6" s="20">
        <v>45716</v>
      </c>
      <c r="B6" t="s">
        <v>419</v>
      </c>
      <c r="C6" s="21">
        <v>672400</v>
      </c>
      <c r="D6" s="21">
        <v>401800</v>
      </c>
      <c r="E6" s="21">
        <v>135300</v>
      </c>
      <c r="F6" s="21">
        <f t="shared" si="0"/>
        <v>270600</v>
      </c>
      <c r="G6" s="21">
        <f t="shared" si="1"/>
        <v>135300</v>
      </c>
    </row>
    <row r="7" spans="1:7">
      <c r="A7" s="20">
        <v>45716</v>
      </c>
      <c r="B7" t="s">
        <v>420</v>
      </c>
      <c r="C7" s="21">
        <v>557600</v>
      </c>
      <c r="D7" s="21">
        <v>333200</v>
      </c>
      <c r="E7" s="21">
        <v>112200.00000000001</v>
      </c>
      <c r="F7" s="21">
        <f t="shared" si="0"/>
        <v>224400</v>
      </c>
      <c r="G7" s="21">
        <f t="shared" si="1"/>
        <v>112199.99999999999</v>
      </c>
    </row>
    <row r="8" spans="1:7">
      <c r="A8" s="20">
        <v>45747</v>
      </c>
      <c r="B8" t="s">
        <v>418</v>
      </c>
      <c r="C8" s="21">
        <v>837000</v>
      </c>
      <c r="D8" s="21">
        <v>499000</v>
      </c>
      <c r="E8" s="21">
        <v>168500</v>
      </c>
      <c r="F8" s="21">
        <f t="shared" si="0"/>
        <v>338000</v>
      </c>
      <c r="G8" s="21">
        <f t="shared" si="1"/>
        <v>169500</v>
      </c>
    </row>
    <row r="9" spans="1:7">
      <c r="A9" s="20">
        <v>45747</v>
      </c>
      <c r="B9" t="s">
        <v>419</v>
      </c>
      <c r="C9" s="21">
        <v>689400</v>
      </c>
      <c r="D9" s="21">
        <v>410800</v>
      </c>
      <c r="E9" s="21">
        <v>138800</v>
      </c>
      <c r="F9" s="21">
        <f t="shared" si="0"/>
        <v>278600</v>
      </c>
      <c r="G9" s="21">
        <f t="shared" si="1"/>
        <v>139800</v>
      </c>
    </row>
    <row r="10" spans="1:7">
      <c r="A10" s="20">
        <v>45747</v>
      </c>
      <c r="B10" t="s">
        <v>420</v>
      </c>
      <c r="C10" s="21">
        <v>574600</v>
      </c>
      <c r="D10" s="21">
        <v>342200</v>
      </c>
      <c r="E10" s="21">
        <v>115700.00000000001</v>
      </c>
      <c r="F10" s="21">
        <f t="shared" si="0"/>
        <v>232400</v>
      </c>
      <c r="G10" s="21">
        <f t="shared" si="1"/>
        <v>116699.99999999999</v>
      </c>
    </row>
    <row r="11" spans="1:7">
      <c r="A11" s="20">
        <v>45777</v>
      </c>
      <c r="B11" t="s">
        <v>418</v>
      </c>
      <c r="C11" s="21">
        <v>854000</v>
      </c>
      <c r="D11" s="21">
        <v>508000</v>
      </c>
      <c r="E11" s="21">
        <v>172000</v>
      </c>
      <c r="F11" s="21">
        <f t="shared" si="0"/>
        <v>346000</v>
      </c>
      <c r="G11" s="21">
        <f t="shared" si="1"/>
        <v>174000</v>
      </c>
    </row>
    <row r="12" spans="1:7">
      <c r="A12" s="20">
        <v>45777</v>
      </c>
      <c r="B12" t="s">
        <v>419</v>
      </c>
      <c r="C12" s="21">
        <v>706400</v>
      </c>
      <c r="D12" s="21">
        <v>419800</v>
      </c>
      <c r="E12" s="21">
        <v>142300</v>
      </c>
      <c r="F12" s="21">
        <f t="shared" si="0"/>
        <v>286600</v>
      </c>
      <c r="G12" s="21">
        <f t="shared" si="1"/>
        <v>144300</v>
      </c>
    </row>
    <row r="13" spans="1:7">
      <c r="A13" s="20">
        <v>45777</v>
      </c>
      <c r="B13" t="s">
        <v>420</v>
      </c>
      <c r="C13" s="21">
        <v>591600</v>
      </c>
      <c r="D13" s="21">
        <v>351200</v>
      </c>
      <c r="E13" s="21">
        <v>119200.00000000001</v>
      </c>
      <c r="F13" s="21">
        <f t="shared" si="0"/>
        <v>240400</v>
      </c>
      <c r="G13" s="21">
        <f t="shared" si="1"/>
        <v>121199.99999999999</v>
      </c>
    </row>
    <row r="14" spans="1:7">
      <c r="A14" s="20">
        <v>45808</v>
      </c>
      <c r="B14" t="s">
        <v>418</v>
      </c>
      <c r="C14" s="21">
        <v>871000</v>
      </c>
      <c r="D14" s="21">
        <v>517000</v>
      </c>
      <c r="E14" s="21">
        <v>175500</v>
      </c>
      <c r="F14" s="21">
        <f t="shared" si="0"/>
        <v>354000</v>
      </c>
      <c r="G14" s="21">
        <f t="shared" si="1"/>
        <v>178500</v>
      </c>
    </row>
    <row r="15" spans="1:7">
      <c r="A15" s="20">
        <v>45808</v>
      </c>
      <c r="B15" t="s">
        <v>419</v>
      </c>
      <c r="C15" s="21">
        <v>723400</v>
      </c>
      <c r="D15" s="21">
        <v>428800</v>
      </c>
      <c r="E15" s="21">
        <v>145800</v>
      </c>
      <c r="F15" s="21">
        <f t="shared" si="0"/>
        <v>294600</v>
      </c>
      <c r="G15" s="21">
        <f t="shared" si="1"/>
        <v>148800</v>
      </c>
    </row>
    <row r="16" spans="1:7">
      <c r="A16" s="20">
        <v>45808</v>
      </c>
      <c r="B16" t="s">
        <v>420</v>
      </c>
      <c r="C16" s="21">
        <v>608600</v>
      </c>
      <c r="D16" s="21">
        <v>360200</v>
      </c>
      <c r="E16" s="21">
        <v>122700.00000000001</v>
      </c>
      <c r="F16" s="21">
        <f t="shared" si="0"/>
        <v>248400</v>
      </c>
      <c r="G16" s="21">
        <f t="shared" si="1"/>
        <v>125699.99999999999</v>
      </c>
    </row>
    <row r="17" spans="1:7">
      <c r="A17" s="20">
        <v>45838</v>
      </c>
      <c r="B17" t="s">
        <v>418</v>
      </c>
      <c r="C17" s="21">
        <v>888000</v>
      </c>
      <c r="D17" s="21">
        <v>526000</v>
      </c>
      <c r="E17" s="21">
        <v>179000</v>
      </c>
      <c r="F17" s="21">
        <f t="shared" si="0"/>
        <v>362000</v>
      </c>
      <c r="G17" s="21">
        <f t="shared" si="1"/>
        <v>183000</v>
      </c>
    </row>
    <row r="18" spans="1:7">
      <c r="A18" s="20">
        <v>45838</v>
      </c>
      <c r="B18" t="s">
        <v>419</v>
      </c>
      <c r="C18" s="21">
        <v>740400</v>
      </c>
      <c r="D18" s="21">
        <v>437800</v>
      </c>
      <c r="E18" s="21">
        <v>149300</v>
      </c>
      <c r="F18" s="21">
        <f t="shared" si="0"/>
        <v>302600</v>
      </c>
      <c r="G18" s="21">
        <f t="shared" si="1"/>
        <v>153300</v>
      </c>
    </row>
    <row r="19" spans="1:7">
      <c r="A19" s="20">
        <v>45838</v>
      </c>
      <c r="B19" t="s">
        <v>420</v>
      </c>
      <c r="C19" s="21">
        <v>625600</v>
      </c>
      <c r="D19" s="21">
        <v>369200</v>
      </c>
      <c r="E19" s="21">
        <v>126200.00000000001</v>
      </c>
      <c r="F19" s="21">
        <f t="shared" si="0"/>
        <v>256400</v>
      </c>
      <c r="G19" s="21">
        <f t="shared" si="1"/>
        <v>130199.99999999999</v>
      </c>
    </row>
    <row r="20" spans="1:7">
      <c r="A20" s="20">
        <v>45869</v>
      </c>
      <c r="B20" t="s">
        <v>418</v>
      </c>
      <c r="C20" s="21">
        <v>905000</v>
      </c>
      <c r="D20" s="21">
        <v>535000</v>
      </c>
      <c r="E20" s="21">
        <v>182500</v>
      </c>
      <c r="F20" s="21">
        <f t="shared" si="0"/>
        <v>370000</v>
      </c>
      <c r="G20" s="21">
        <f t="shared" si="1"/>
        <v>187500</v>
      </c>
    </row>
    <row r="21" spans="1:7">
      <c r="A21" s="20">
        <v>45869</v>
      </c>
      <c r="B21" t="s">
        <v>419</v>
      </c>
      <c r="C21" s="21">
        <v>757400</v>
      </c>
      <c r="D21" s="21">
        <v>446800</v>
      </c>
      <c r="E21" s="21">
        <v>152800</v>
      </c>
      <c r="F21" s="21">
        <f t="shared" si="0"/>
        <v>310600</v>
      </c>
      <c r="G21" s="21">
        <f t="shared" si="1"/>
        <v>157800</v>
      </c>
    </row>
    <row r="22" spans="1:7">
      <c r="A22" s="20">
        <v>45869</v>
      </c>
      <c r="B22" t="s">
        <v>420</v>
      </c>
      <c r="C22" s="21">
        <v>642600</v>
      </c>
      <c r="D22" s="21">
        <v>378200</v>
      </c>
      <c r="E22" s="21">
        <v>129700.00000000001</v>
      </c>
      <c r="F22" s="21">
        <f t="shared" si="0"/>
        <v>264400</v>
      </c>
      <c r="G22" s="21">
        <f t="shared" si="1"/>
        <v>134700</v>
      </c>
    </row>
    <row r="23" spans="1:7">
      <c r="A23" s="20">
        <v>45900</v>
      </c>
      <c r="B23" t="s">
        <v>418</v>
      </c>
      <c r="C23" s="21">
        <v>922000</v>
      </c>
      <c r="D23" s="21">
        <v>544000</v>
      </c>
      <c r="E23" s="21">
        <v>186000</v>
      </c>
      <c r="F23" s="21">
        <f t="shared" si="0"/>
        <v>378000</v>
      </c>
      <c r="G23" s="21">
        <f t="shared" si="1"/>
        <v>192000</v>
      </c>
    </row>
    <row r="24" spans="1:7">
      <c r="A24" s="20">
        <v>45900</v>
      </c>
      <c r="B24" t="s">
        <v>419</v>
      </c>
      <c r="C24" s="21">
        <v>774400</v>
      </c>
      <c r="D24" s="21">
        <v>455800</v>
      </c>
      <c r="E24" s="21">
        <v>156300</v>
      </c>
      <c r="F24" s="21">
        <f t="shared" si="0"/>
        <v>318600</v>
      </c>
      <c r="G24" s="21">
        <f t="shared" si="1"/>
        <v>162300</v>
      </c>
    </row>
    <row r="25" spans="1:7">
      <c r="A25" s="20">
        <v>45900</v>
      </c>
      <c r="B25" t="s">
        <v>420</v>
      </c>
      <c r="C25" s="21">
        <v>659600</v>
      </c>
      <c r="D25" s="21">
        <v>387200</v>
      </c>
      <c r="E25" s="21">
        <v>133200</v>
      </c>
      <c r="F25" s="21">
        <f t="shared" si="0"/>
        <v>272400</v>
      </c>
      <c r="G25" s="21">
        <f t="shared" si="1"/>
        <v>139200</v>
      </c>
    </row>
    <row r="26" spans="1:7">
      <c r="A26" s="20">
        <v>45930</v>
      </c>
      <c r="B26" t="s">
        <v>418</v>
      </c>
      <c r="C26" s="21">
        <v>939000</v>
      </c>
      <c r="D26" s="21">
        <v>553000</v>
      </c>
      <c r="E26" s="21">
        <v>189500</v>
      </c>
      <c r="F26" s="21">
        <f t="shared" si="0"/>
        <v>386000</v>
      </c>
      <c r="G26" s="21">
        <f t="shared" si="1"/>
        <v>196500</v>
      </c>
    </row>
    <row r="27" spans="1:7">
      <c r="A27" s="20">
        <v>45930</v>
      </c>
      <c r="B27" t="s">
        <v>419</v>
      </c>
      <c r="C27" s="21">
        <v>791400</v>
      </c>
      <c r="D27" s="21">
        <v>464800</v>
      </c>
      <c r="E27" s="21">
        <v>159800</v>
      </c>
      <c r="F27" s="21">
        <f t="shared" si="0"/>
        <v>326600</v>
      </c>
      <c r="G27" s="21">
        <f t="shared" si="1"/>
        <v>166800</v>
      </c>
    </row>
    <row r="28" spans="1:7">
      <c r="A28" s="20">
        <v>45930</v>
      </c>
      <c r="B28" t="s">
        <v>420</v>
      </c>
      <c r="C28" s="21">
        <v>676600</v>
      </c>
      <c r="D28" s="21">
        <v>396200</v>
      </c>
      <c r="E28" s="21">
        <v>136700</v>
      </c>
      <c r="F28" s="21">
        <f t="shared" si="0"/>
        <v>280400</v>
      </c>
      <c r="G28" s="21">
        <f t="shared" si="1"/>
        <v>143700</v>
      </c>
    </row>
    <row r="29" spans="1:7">
      <c r="A29" s="20">
        <v>45961</v>
      </c>
      <c r="B29" t="s">
        <v>418</v>
      </c>
      <c r="C29" s="21">
        <v>956000</v>
      </c>
      <c r="D29" s="21">
        <v>562000</v>
      </c>
      <c r="E29" s="21">
        <v>193000</v>
      </c>
      <c r="F29" s="21">
        <f t="shared" si="0"/>
        <v>394000</v>
      </c>
      <c r="G29" s="21">
        <f t="shared" si="1"/>
        <v>201000</v>
      </c>
    </row>
    <row r="30" spans="1:7">
      <c r="A30" s="20">
        <v>45961</v>
      </c>
      <c r="B30" t="s">
        <v>419</v>
      </c>
      <c r="C30" s="21">
        <v>808400</v>
      </c>
      <c r="D30" s="21">
        <v>473800</v>
      </c>
      <c r="E30" s="21">
        <v>163300</v>
      </c>
      <c r="F30" s="21">
        <f t="shared" si="0"/>
        <v>334600</v>
      </c>
      <c r="G30" s="21">
        <f t="shared" si="1"/>
        <v>171300</v>
      </c>
    </row>
    <row r="31" spans="1:7">
      <c r="A31" s="20">
        <v>45961</v>
      </c>
      <c r="B31" t="s">
        <v>420</v>
      </c>
      <c r="C31" s="21">
        <v>693600</v>
      </c>
      <c r="D31" s="21">
        <v>405200</v>
      </c>
      <c r="E31" s="21">
        <v>140200</v>
      </c>
      <c r="F31" s="21">
        <f t="shared" si="0"/>
        <v>288400</v>
      </c>
      <c r="G31" s="21">
        <f t="shared" si="1"/>
        <v>148200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7"/>
  <sheetViews>
    <sheetView showGridLines="0" workbookViewId="0"/>
  </sheetViews>
  <sheetFormatPr baseColWidth="10" defaultColWidth="8.83203125" defaultRowHeight="14"/>
  <cols>
    <col min="1" max="1" width="16" customWidth="1"/>
    <col min="2" max="5" width="18" customWidth="1"/>
    <col min="6" max="6" width="15" customWidth="1"/>
  </cols>
  <sheetData>
    <row r="1" spans="1:6" ht="30" customHeight="1">
      <c r="A1" s="27" t="s">
        <v>421</v>
      </c>
      <c r="B1" s="27"/>
      <c r="C1" s="27"/>
      <c r="D1" s="27"/>
      <c r="E1" s="27"/>
      <c r="F1" s="27"/>
    </row>
    <row r="2" spans="1:6" ht="26" customHeight="1">
      <c r="A2" s="28" t="s">
        <v>422</v>
      </c>
      <c r="B2" s="28"/>
      <c r="C2" s="28"/>
      <c r="D2" s="28"/>
      <c r="E2" s="28"/>
      <c r="F2" s="28"/>
    </row>
    <row r="5" spans="1:6" ht="32" customHeight="1">
      <c r="A5" s="18" t="s">
        <v>423</v>
      </c>
      <c r="B5" s="18" t="s">
        <v>424</v>
      </c>
      <c r="C5" s="18" t="s">
        <v>425</v>
      </c>
      <c r="D5" s="18" t="s">
        <v>426</v>
      </c>
      <c r="E5" s="18" t="s">
        <v>427</v>
      </c>
      <c r="F5" s="18" t="s">
        <v>383</v>
      </c>
    </row>
    <row r="6" spans="1:6">
      <c r="A6" s="20">
        <v>46237</v>
      </c>
      <c r="B6" s="21">
        <v>125000</v>
      </c>
      <c r="C6" s="21">
        <v>98000</v>
      </c>
      <c r="D6" s="21">
        <f t="shared" ref="D6:D17" si="0">B6+C6</f>
        <v>223000</v>
      </c>
      <c r="E6" s="21">
        <v>90000</v>
      </c>
      <c r="F6" t="s">
        <v>428</v>
      </c>
    </row>
    <row r="7" spans="1:6">
      <c r="A7" s="20">
        <v>46244</v>
      </c>
      <c r="B7" s="21">
        <v>126500</v>
      </c>
      <c r="C7" s="21">
        <v>107700</v>
      </c>
      <c r="D7" s="21">
        <f t="shared" si="0"/>
        <v>234200</v>
      </c>
      <c r="E7" s="21">
        <v>90000</v>
      </c>
      <c r="F7" t="s">
        <v>428</v>
      </c>
    </row>
    <row r="8" spans="1:6">
      <c r="A8" s="20">
        <v>46251</v>
      </c>
      <c r="B8" s="21">
        <v>128000</v>
      </c>
      <c r="C8" s="21">
        <v>117400</v>
      </c>
      <c r="D8" s="21">
        <f t="shared" si="0"/>
        <v>245400</v>
      </c>
      <c r="E8" s="21">
        <v>90000</v>
      </c>
      <c r="F8" t="s">
        <v>428</v>
      </c>
    </row>
    <row r="9" spans="1:6">
      <c r="A9" s="20">
        <v>46258</v>
      </c>
      <c r="B9" s="21">
        <v>129500</v>
      </c>
      <c r="C9" s="21">
        <v>127100</v>
      </c>
      <c r="D9" s="21">
        <f t="shared" si="0"/>
        <v>256600</v>
      </c>
      <c r="E9" s="21">
        <v>90000</v>
      </c>
      <c r="F9" t="s">
        <v>428</v>
      </c>
    </row>
    <row r="10" spans="1:6">
      <c r="A10" s="20">
        <v>46265</v>
      </c>
      <c r="B10" s="21">
        <v>131000</v>
      </c>
      <c r="C10" s="21">
        <v>136800</v>
      </c>
      <c r="D10" s="21">
        <f t="shared" si="0"/>
        <v>267800</v>
      </c>
      <c r="E10" s="21">
        <v>90000</v>
      </c>
      <c r="F10" t="s">
        <v>428</v>
      </c>
    </row>
    <row r="11" spans="1:6">
      <c r="A11" s="20">
        <v>46272</v>
      </c>
      <c r="B11" s="21">
        <v>132500</v>
      </c>
      <c r="C11" s="21">
        <v>104500</v>
      </c>
      <c r="D11" s="21">
        <f t="shared" si="0"/>
        <v>237000</v>
      </c>
      <c r="E11" s="21">
        <v>90000</v>
      </c>
      <c r="F11" t="s">
        <v>428</v>
      </c>
    </row>
    <row r="12" spans="1:6">
      <c r="A12" s="20">
        <v>46279</v>
      </c>
      <c r="B12" s="21">
        <v>134000</v>
      </c>
      <c r="C12" s="21">
        <v>114200</v>
      </c>
      <c r="D12" s="21">
        <f t="shared" si="0"/>
        <v>248200</v>
      </c>
      <c r="E12" s="21">
        <v>90000</v>
      </c>
      <c r="F12" t="s">
        <v>428</v>
      </c>
    </row>
    <row r="13" spans="1:6">
      <c r="A13" s="20">
        <v>46286</v>
      </c>
      <c r="B13" s="21">
        <v>135500</v>
      </c>
      <c r="C13" s="21">
        <v>123900</v>
      </c>
      <c r="D13" s="21">
        <f t="shared" si="0"/>
        <v>259400</v>
      </c>
      <c r="E13" s="21">
        <v>90000</v>
      </c>
      <c r="F13" t="s">
        <v>428</v>
      </c>
    </row>
    <row r="14" spans="1:6">
      <c r="A14" s="20">
        <v>46293</v>
      </c>
      <c r="B14" s="21">
        <v>137000</v>
      </c>
      <c r="C14" s="21">
        <v>133600</v>
      </c>
      <c r="D14" s="21">
        <f t="shared" si="0"/>
        <v>270600</v>
      </c>
      <c r="E14" s="21">
        <v>90000</v>
      </c>
      <c r="F14" t="s">
        <v>428</v>
      </c>
    </row>
    <row r="15" spans="1:6">
      <c r="A15" s="20">
        <v>46300</v>
      </c>
      <c r="B15" s="21">
        <v>138500</v>
      </c>
      <c r="C15" s="21">
        <v>101300</v>
      </c>
      <c r="D15" s="21">
        <f t="shared" si="0"/>
        <v>239800</v>
      </c>
      <c r="E15" s="21">
        <v>90000</v>
      </c>
      <c r="F15" t="s">
        <v>428</v>
      </c>
    </row>
    <row r="16" spans="1:6">
      <c r="A16" s="20">
        <v>46307</v>
      </c>
      <c r="B16" s="21">
        <v>140000</v>
      </c>
      <c r="C16" s="21">
        <v>111000</v>
      </c>
      <c r="D16" s="21">
        <f t="shared" si="0"/>
        <v>251000</v>
      </c>
      <c r="E16" s="21">
        <v>90000</v>
      </c>
      <c r="F16" t="s">
        <v>428</v>
      </c>
    </row>
    <row r="17" spans="1:6">
      <c r="A17" s="20">
        <v>46314</v>
      </c>
      <c r="B17" s="21">
        <v>141500</v>
      </c>
      <c r="C17" s="21">
        <v>120700</v>
      </c>
      <c r="D17" s="21">
        <f t="shared" si="0"/>
        <v>262200</v>
      </c>
      <c r="E17" s="21">
        <v>90000</v>
      </c>
      <c r="F17" t="s">
        <v>428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4"/>
  <sheetViews>
    <sheetView showGridLines="0" workbookViewId="0"/>
  </sheetViews>
  <sheetFormatPr baseColWidth="10" defaultColWidth="8.83203125" defaultRowHeight="14"/>
  <cols>
    <col min="1" max="2" width="15" customWidth="1"/>
    <col min="3" max="3" width="13" customWidth="1"/>
    <col min="4" max="4" width="24" customWidth="1"/>
    <col min="5" max="6" width="16" customWidth="1"/>
    <col min="7" max="8" width="17" customWidth="1"/>
  </cols>
  <sheetData>
    <row r="1" spans="1:8" ht="30" customHeight="1">
      <c r="A1" s="27" t="s">
        <v>429</v>
      </c>
      <c r="B1" s="27"/>
      <c r="C1" s="27"/>
      <c r="D1" s="27"/>
      <c r="E1" s="27"/>
      <c r="F1" s="27"/>
      <c r="G1" s="27"/>
      <c r="H1" s="27"/>
    </row>
    <row r="2" spans="1:8" ht="26" customHeight="1">
      <c r="A2" s="28" t="s">
        <v>430</v>
      </c>
      <c r="B2" s="28"/>
      <c r="C2" s="28"/>
      <c r="D2" s="28"/>
      <c r="E2" s="28"/>
      <c r="F2" s="28"/>
      <c r="G2" s="28"/>
      <c r="H2" s="28"/>
    </row>
    <row r="4" spans="1:8" ht="32" customHeight="1">
      <c r="A4" s="18" t="s">
        <v>431</v>
      </c>
      <c r="B4" s="18" t="s">
        <v>432</v>
      </c>
      <c r="C4" s="18" t="s">
        <v>433</v>
      </c>
      <c r="D4" s="18" t="s">
        <v>434</v>
      </c>
      <c r="E4" s="18" t="s">
        <v>435</v>
      </c>
      <c r="F4" s="18" t="s">
        <v>436</v>
      </c>
      <c r="G4" s="18" t="s">
        <v>437</v>
      </c>
      <c r="H4" s="18" t="s">
        <v>438</v>
      </c>
    </row>
    <row r="5" spans="1:8">
      <c r="A5" t="s">
        <v>439</v>
      </c>
      <c r="B5" s="20">
        <v>46204</v>
      </c>
      <c r="C5" t="s">
        <v>440</v>
      </c>
      <c r="D5" t="s">
        <v>441</v>
      </c>
      <c r="E5" s="21">
        <v>1000</v>
      </c>
      <c r="F5" s="21">
        <v>0</v>
      </c>
      <c r="G5" t="s">
        <v>55</v>
      </c>
      <c r="H5" t="s">
        <v>442</v>
      </c>
    </row>
    <row r="6" spans="1:8">
      <c r="A6" t="s">
        <v>443</v>
      </c>
      <c r="B6" s="20">
        <v>46205</v>
      </c>
      <c r="C6" t="s">
        <v>444</v>
      </c>
      <c r="D6" t="s">
        <v>445</v>
      </c>
      <c r="E6" s="21">
        <v>0</v>
      </c>
      <c r="F6" s="21">
        <v>1293</v>
      </c>
      <c r="G6" t="s">
        <v>55</v>
      </c>
      <c r="H6" t="s">
        <v>313</v>
      </c>
    </row>
    <row r="7" spans="1:8">
      <c r="A7" t="s">
        <v>446</v>
      </c>
      <c r="B7" s="20">
        <v>46206</v>
      </c>
      <c r="C7" t="s">
        <v>447</v>
      </c>
      <c r="D7" t="s">
        <v>448</v>
      </c>
      <c r="E7" s="21">
        <v>1634</v>
      </c>
      <c r="F7" s="21">
        <v>0</v>
      </c>
      <c r="G7" t="s">
        <v>55</v>
      </c>
      <c r="H7" t="s">
        <v>313</v>
      </c>
    </row>
    <row r="8" spans="1:8">
      <c r="A8" t="s">
        <v>449</v>
      </c>
      <c r="B8" s="20">
        <v>46207</v>
      </c>
      <c r="C8" t="s">
        <v>450</v>
      </c>
      <c r="D8" t="s">
        <v>451</v>
      </c>
      <c r="E8" s="21">
        <v>0</v>
      </c>
      <c r="F8" s="21">
        <v>1879</v>
      </c>
      <c r="G8" t="s">
        <v>55</v>
      </c>
      <c r="H8" t="s">
        <v>313</v>
      </c>
    </row>
    <row r="9" spans="1:8">
      <c r="A9" t="s">
        <v>452</v>
      </c>
      <c r="B9" s="20">
        <v>46208</v>
      </c>
      <c r="C9" t="s">
        <v>453</v>
      </c>
      <c r="D9" t="s">
        <v>454</v>
      </c>
      <c r="E9" s="21">
        <v>2268</v>
      </c>
      <c r="F9" s="21">
        <v>0</v>
      </c>
      <c r="G9" t="s">
        <v>55</v>
      </c>
      <c r="H9" t="s">
        <v>442</v>
      </c>
    </row>
    <row r="10" spans="1:8">
      <c r="A10" t="s">
        <v>455</v>
      </c>
      <c r="B10" s="20">
        <v>46209</v>
      </c>
      <c r="C10" t="s">
        <v>440</v>
      </c>
      <c r="D10" t="s">
        <v>441</v>
      </c>
      <c r="E10" s="21">
        <v>0</v>
      </c>
      <c r="F10" s="21">
        <v>2465</v>
      </c>
      <c r="G10" t="s">
        <v>55</v>
      </c>
      <c r="H10" t="s">
        <v>313</v>
      </c>
    </row>
    <row r="11" spans="1:8">
      <c r="A11" t="s">
        <v>456</v>
      </c>
      <c r="B11" s="20">
        <v>46210</v>
      </c>
      <c r="C11" t="s">
        <v>444</v>
      </c>
      <c r="D11" t="s">
        <v>445</v>
      </c>
      <c r="E11" s="21">
        <v>2902</v>
      </c>
      <c r="F11" s="21">
        <v>0</v>
      </c>
      <c r="G11" t="s">
        <v>55</v>
      </c>
      <c r="H11" t="s">
        <v>313</v>
      </c>
    </row>
    <row r="12" spans="1:8">
      <c r="A12" t="s">
        <v>457</v>
      </c>
      <c r="B12" s="20">
        <v>46211</v>
      </c>
      <c r="C12" t="s">
        <v>447</v>
      </c>
      <c r="D12" t="s">
        <v>448</v>
      </c>
      <c r="E12" s="21">
        <v>0</v>
      </c>
      <c r="F12" s="21">
        <v>3051</v>
      </c>
      <c r="G12" t="s">
        <v>55</v>
      </c>
      <c r="H12" t="s">
        <v>313</v>
      </c>
    </row>
    <row r="13" spans="1:8">
      <c r="A13" t="s">
        <v>458</v>
      </c>
      <c r="B13" s="20">
        <v>46212</v>
      </c>
      <c r="C13" t="s">
        <v>450</v>
      </c>
      <c r="D13" t="s">
        <v>451</v>
      </c>
      <c r="E13" s="21">
        <v>3536</v>
      </c>
      <c r="F13" s="21">
        <v>0</v>
      </c>
      <c r="G13" t="s">
        <v>55</v>
      </c>
      <c r="H13" t="s">
        <v>442</v>
      </c>
    </row>
    <row r="14" spans="1:8">
      <c r="A14" t="s">
        <v>459</v>
      </c>
      <c r="B14" s="20">
        <v>46213</v>
      </c>
      <c r="C14" t="s">
        <v>453</v>
      </c>
      <c r="D14" t="s">
        <v>454</v>
      </c>
      <c r="E14" s="21">
        <v>0</v>
      </c>
      <c r="F14" s="21">
        <v>3637</v>
      </c>
      <c r="G14" t="s">
        <v>55</v>
      </c>
      <c r="H14" t="s">
        <v>313</v>
      </c>
    </row>
    <row r="15" spans="1:8">
      <c r="A15" t="s">
        <v>460</v>
      </c>
      <c r="B15" s="20">
        <v>46214</v>
      </c>
      <c r="C15" t="s">
        <v>440</v>
      </c>
      <c r="D15" t="s">
        <v>441</v>
      </c>
      <c r="E15" s="21">
        <v>4170</v>
      </c>
      <c r="F15" s="21">
        <v>0</v>
      </c>
      <c r="G15" t="s">
        <v>55</v>
      </c>
      <c r="H15" t="s">
        <v>313</v>
      </c>
    </row>
    <row r="16" spans="1:8">
      <c r="A16" t="s">
        <v>461</v>
      </c>
      <c r="B16" s="20">
        <v>46215</v>
      </c>
      <c r="C16" t="s">
        <v>444</v>
      </c>
      <c r="D16" t="s">
        <v>445</v>
      </c>
      <c r="E16" s="21">
        <v>0</v>
      </c>
      <c r="F16" s="21">
        <v>4223</v>
      </c>
      <c r="G16" t="s">
        <v>55</v>
      </c>
      <c r="H16" t="s">
        <v>313</v>
      </c>
    </row>
    <row r="17" spans="1:8">
      <c r="A17" t="s">
        <v>462</v>
      </c>
      <c r="B17" s="20">
        <v>46216</v>
      </c>
      <c r="C17" t="s">
        <v>447</v>
      </c>
      <c r="D17" t="s">
        <v>448</v>
      </c>
      <c r="E17" s="21">
        <v>4804</v>
      </c>
      <c r="F17" s="21">
        <v>0</v>
      </c>
      <c r="G17" t="s">
        <v>55</v>
      </c>
      <c r="H17" t="s">
        <v>442</v>
      </c>
    </row>
    <row r="18" spans="1:8">
      <c r="A18" t="s">
        <v>463</v>
      </c>
      <c r="B18" s="20">
        <v>46217</v>
      </c>
      <c r="C18" t="s">
        <v>450</v>
      </c>
      <c r="D18" t="s">
        <v>451</v>
      </c>
      <c r="E18" s="21">
        <v>0</v>
      </c>
      <c r="F18" s="21">
        <v>4809</v>
      </c>
      <c r="G18" t="s">
        <v>55</v>
      </c>
      <c r="H18" t="s">
        <v>313</v>
      </c>
    </row>
    <row r="19" spans="1:8">
      <c r="A19" t="s">
        <v>464</v>
      </c>
      <c r="B19" s="20">
        <v>46218</v>
      </c>
      <c r="C19" t="s">
        <v>453</v>
      </c>
      <c r="D19" t="s">
        <v>454</v>
      </c>
      <c r="E19" s="21">
        <v>5438</v>
      </c>
      <c r="F19" s="21">
        <v>0</v>
      </c>
      <c r="G19" t="s">
        <v>55</v>
      </c>
      <c r="H19" t="s">
        <v>313</v>
      </c>
    </row>
    <row r="20" spans="1:8">
      <c r="A20" t="s">
        <v>465</v>
      </c>
      <c r="B20" s="20">
        <v>46219</v>
      </c>
      <c r="C20" t="s">
        <v>440</v>
      </c>
      <c r="D20" t="s">
        <v>441</v>
      </c>
      <c r="E20" s="21">
        <v>0</v>
      </c>
      <c r="F20" s="21">
        <v>5395</v>
      </c>
      <c r="G20" t="s">
        <v>55</v>
      </c>
      <c r="H20" t="s">
        <v>313</v>
      </c>
    </row>
    <row r="21" spans="1:8">
      <c r="A21" t="s">
        <v>466</v>
      </c>
      <c r="B21" s="20">
        <v>46220</v>
      </c>
      <c r="C21" t="s">
        <v>444</v>
      </c>
      <c r="D21" t="s">
        <v>445</v>
      </c>
      <c r="E21" s="21">
        <v>6072</v>
      </c>
      <c r="F21" s="21">
        <v>0</v>
      </c>
      <c r="G21" t="s">
        <v>55</v>
      </c>
      <c r="H21" t="s">
        <v>442</v>
      </c>
    </row>
    <row r="22" spans="1:8">
      <c r="A22" t="s">
        <v>467</v>
      </c>
      <c r="B22" s="20">
        <v>46221</v>
      </c>
      <c r="C22" t="s">
        <v>447</v>
      </c>
      <c r="D22" t="s">
        <v>448</v>
      </c>
      <c r="E22" s="21">
        <v>0</v>
      </c>
      <c r="F22" s="21">
        <v>5981</v>
      </c>
      <c r="G22" t="s">
        <v>55</v>
      </c>
      <c r="H22" t="s">
        <v>313</v>
      </c>
    </row>
    <row r="23" spans="1:8">
      <c r="A23" t="s">
        <v>468</v>
      </c>
      <c r="B23" s="20">
        <v>46222</v>
      </c>
      <c r="C23" t="s">
        <v>450</v>
      </c>
      <c r="D23" t="s">
        <v>451</v>
      </c>
      <c r="E23" s="21">
        <v>6706</v>
      </c>
      <c r="F23" s="21">
        <v>0</v>
      </c>
      <c r="G23" t="s">
        <v>55</v>
      </c>
      <c r="H23" t="s">
        <v>313</v>
      </c>
    </row>
    <row r="24" spans="1:8">
      <c r="A24" t="s">
        <v>469</v>
      </c>
      <c r="B24" s="20">
        <v>46223</v>
      </c>
      <c r="C24" t="s">
        <v>453</v>
      </c>
      <c r="D24" t="s">
        <v>454</v>
      </c>
      <c r="E24" s="21">
        <v>0</v>
      </c>
      <c r="F24" s="21">
        <v>6567</v>
      </c>
      <c r="G24" t="s">
        <v>55</v>
      </c>
      <c r="H24" t="s">
        <v>313</v>
      </c>
    </row>
    <row r="25" spans="1:8">
      <c r="A25" t="s">
        <v>470</v>
      </c>
      <c r="B25" s="20">
        <v>46224</v>
      </c>
      <c r="C25" t="s">
        <v>440</v>
      </c>
      <c r="D25" t="s">
        <v>441</v>
      </c>
      <c r="E25" s="21">
        <v>7340</v>
      </c>
      <c r="F25" s="21">
        <v>0</v>
      </c>
      <c r="G25" t="s">
        <v>55</v>
      </c>
      <c r="H25" t="s">
        <v>442</v>
      </c>
    </row>
    <row r="26" spans="1:8">
      <c r="A26" t="s">
        <v>471</v>
      </c>
      <c r="B26" s="20">
        <v>46225</v>
      </c>
      <c r="C26" t="s">
        <v>444</v>
      </c>
      <c r="D26" t="s">
        <v>445</v>
      </c>
      <c r="E26" s="21">
        <v>0</v>
      </c>
      <c r="F26" s="21">
        <v>7153</v>
      </c>
      <c r="G26" t="s">
        <v>55</v>
      </c>
      <c r="H26" t="s">
        <v>313</v>
      </c>
    </row>
    <row r="27" spans="1:8">
      <c r="A27" t="s">
        <v>472</v>
      </c>
      <c r="B27" s="20">
        <v>46226</v>
      </c>
      <c r="C27" t="s">
        <v>447</v>
      </c>
      <c r="D27" t="s">
        <v>448</v>
      </c>
      <c r="E27" s="21">
        <v>7974</v>
      </c>
      <c r="F27" s="21">
        <v>0</v>
      </c>
      <c r="G27" t="s">
        <v>55</v>
      </c>
      <c r="H27" t="s">
        <v>313</v>
      </c>
    </row>
    <row r="28" spans="1:8">
      <c r="A28" t="s">
        <v>473</v>
      </c>
      <c r="B28" s="20">
        <v>46227</v>
      </c>
      <c r="C28" t="s">
        <v>450</v>
      </c>
      <c r="D28" t="s">
        <v>451</v>
      </c>
      <c r="E28" s="21">
        <v>0</v>
      </c>
      <c r="F28" s="21">
        <v>7739</v>
      </c>
      <c r="G28" t="s">
        <v>55</v>
      </c>
      <c r="H28" t="s">
        <v>313</v>
      </c>
    </row>
    <row r="29" spans="1:8">
      <c r="A29" t="s">
        <v>474</v>
      </c>
      <c r="B29" s="20">
        <v>46228</v>
      </c>
      <c r="C29" t="s">
        <v>453</v>
      </c>
      <c r="D29" t="s">
        <v>454</v>
      </c>
      <c r="E29" s="21">
        <v>8608</v>
      </c>
      <c r="F29" s="21">
        <v>0</v>
      </c>
      <c r="G29" t="s">
        <v>55</v>
      </c>
      <c r="H29" t="s">
        <v>442</v>
      </c>
    </row>
    <row r="30" spans="1:8">
      <c r="A30" t="s">
        <v>475</v>
      </c>
      <c r="B30" s="20">
        <v>46229</v>
      </c>
      <c r="C30" t="s">
        <v>440</v>
      </c>
      <c r="D30" t="s">
        <v>441</v>
      </c>
      <c r="E30" s="21">
        <v>0</v>
      </c>
      <c r="F30" s="21">
        <v>8325</v>
      </c>
      <c r="G30" t="s">
        <v>55</v>
      </c>
      <c r="H30" t="s">
        <v>313</v>
      </c>
    </row>
    <row r="31" spans="1:8">
      <c r="A31" t="s">
        <v>476</v>
      </c>
      <c r="B31" s="20">
        <v>46230</v>
      </c>
      <c r="C31" t="s">
        <v>444</v>
      </c>
      <c r="D31" t="s">
        <v>445</v>
      </c>
      <c r="E31" s="21">
        <v>9242</v>
      </c>
      <c r="F31" s="21">
        <v>0</v>
      </c>
      <c r="G31" t="s">
        <v>55</v>
      </c>
      <c r="H31" t="s">
        <v>313</v>
      </c>
    </row>
    <row r="32" spans="1:8">
      <c r="A32" t="s">
        <v>477</v>
      </c>
      <c r="B32" s="20">
        <v>46231</v>
      </c>
      <c r="C32" t="s">
        <v>447</v>
      </c>
      <c r="D32" t="s">
        <v>448</v>
      </c>
      <c r="E32" s="21">
        <v>0</v>
      </c>
      <c r="F32" s="21">
        <v>8911</v>
      </c>
      <c r="G32" t="s">
        <v>55</v>
      </c>
      <c r="H32" t="s">
        <v>313</v>
      </c>
    </row>
    <row r="33" spans="1:8">
      <c r="A33" t="s">
        <v>478</v>
      </c>
      <c r="B33" s="20">
        <v>46204</v>
      </c>
      <c r="C33" t="s">
        <v>450</v>
      </c>
      <c r="D33" t="s">
        <v>451</v>
      </c>
      <c r="E33" s="21">
        <v>9876</v>
      </c>
      <c r="F33" s="21">
        <v>0</v>
      </c>
      <c r="G33" t="s">
        <v>55</v>
      </c>
      <c r="H33" t="s">
        <v>442</v>
      </c>
    </row>
    <row r="34" spans="1:8">
      <c r="A34" t="s">
        <v>479</v>
      </c>
      <c r="B34" s="20">
        <v>46205</v>
      </c>
      <c r="C34" t="s">
        <v>453</v>
      </c>
      <c r="D34" t="s">
        <v>454</v>
      </c>
      <c r="E34" s="21">
        <v>0</v>
      </c>
      <c r="F34" s="21">
        <v>9497</v>
      </c>
      <c r="G34" t="s">
        <v>55</v>
      </c>
      <c r="H34" t="s">
        <v>313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6"/>
  <sheetViews>
    <sheetView showGridLines="0" workbookViewId="0">
      <selection sqref="A1:G1"/>
    </sheetView>
  </sheetViews>
  <sheetFormatPr baseColWidth="10" defaultColWidth="8.83203125" defaultRowHeight="14"/>
  <cols>
    <col min="1" max="1" width="15" customWidth="1"/>
    <col min="2" max="2" width="18" customWidth="1"/>
    <col min="3" max="3" width="13" customWidth="1"/>
    <col min="4" max="4" width="19" customWidth="1"/>
    <col min="5" max="5" width="20" customWidth="1"/>
    <col min="6" max="6" width="15" customWidth="1"/>
    <col min="7" max="7" width="14" customWidth="1"/>
  </cols>
  <sheetData>
    <row r="1" spans="1:7" ht="30" customHeight="1">
      <c r="A1" s="27" t="s">
        <v>480</v>
      </c>
      <c r="B1" s="27"/>
      <c r="C1" s="27"/>
      <c r="D1" s="27"/>
      <c r="E1" s="27"/>
      <c r="F1" s="27"/>
      <c r="G1" s="27"/>
    </row>
    <row r="2" spans="1:7" ht="26" customHeight="1">
      <c r="A2" s="28" t="s">
        <v>481</v>
      </c>
      <c r="B2" s="28"/>
      <c r="C2" s="28"/>
      <c r="D2" s="28"/>
      <c r="E2" s="28"/>
      <c r="F2" s="28"/>
      <c r="G2" s="28"/>
    </row>
    <row r="6" spans="1:7" ht="32" customHeight="1">
      <c r="A6" s="18" t="s">
        <v>482</v>
      </c>
      <c r="B6" s="18" t="s">
        <v>483</v>
      </c>
      <c r="C6" s="18" t="s">
        <v>412</v>
      </c>
      <c r="D6" s="18" t="s">
        <v>484</v>
      </c>
      <c r="E6" s="18" t="s">
        <v>485</v>
      </c>
      <c r="F6" s="18" t="s">
        <v>486</v>
      </c>
      <c r="G6" s="18" t="s">
        <v>487</v>
      </c>
    </row>
    <row r="7" spans="1:7">
      <c r="A7" t="s">
        <v>488</v>
      </c>
      <c r="B7" t="s">
        <v>489</v>
      </c>
      <c r="C7" t="s">
        <v>418</v>
      </c>
      <c r="D7" s="21">
        <v>12000</v>
      </c>
      <c r="E7" s="26">
        <v>0.72</v>
      </c>
      <c r="F7" s="20">
        <v>46235</v>
      </c>
      <c r="G7" t="s">
        <v>490</v>
      </c>
    </row>
    <row r="8" spans="1:7">
      <c r="A8" t="s">
        <v>491</v>
      </c>
      <c r="B8" t="s">
        <v>492</v>
      </c>
      <c r="C8" t="s">
        <v>419</v>
      </c>
      <c r="D8" s="21">
        <v>13700</v>
      </c>
      <c r="E8" s="26">
        <v>0.755</v>
      </c>
      <c r="F8" s="20">
        <v>46236</v>
      </c>
      <c r="G8" t="s">
        <v>313</v>
      </c>
    </row>
    <row r="9" spans="1:7">
      <c r="A9" t="s">
        <v>493</v>
      </c>
      <c r="B9" t="s">
        <v>494</v>
      </c>
      <c r="C9" t="s">
        <v>420</v>
      </c>
      <c r="D9" s="21">
        <v>15400</v>
      </c>
      <c r="E9" s="26">
        <v>0.79</v>
      </c>
      <c r="F9" s="20">
        <v>46237</v>
      </c>
      <c r="G9" t="s">
        <v>313</v>
      </c>
    </row>
    <row r="10" spans="1:7">
      <c r="A10" t="s">
        <v>495</v>
      </c>
      <c r="B10" t="s">
        <v>496</v>
      </c>
      <c r="C10" t="s">
        <v>418</v>
      </c>
      <c r="D10" s="21">
        <v>17100</v>
      </c>
      <c r="E10" s="26">
        <v>0.82499999999999996</v>
      </c>
      <c r="F10" s="20">
        <v>46238</v>
      </c>
      <c r="G10" t="s">
        <v>313</v>
      </c>
    </row>
    <row r="11" spans="1:7">
      <c r="A11" t="s">
        <v>497</v>
      </c>
      <c r="B11" t="s">
        <v>489</v>
      </c>
      <c r="C11" t="s">
        <v>419</v>
      </c>
      <c r="D11" s="21">
        <v>18800</v>
      </c>
      <c r="E11" s="26">
        <v>0.86</v>
      </c>
      <c r="F11" s="20">
        <v>46239</v>
      </c>
      <c r="G11" t="s">
        <v>313</v>
      </c>
    </row>
    <row r="12" spans="1:7">
      <c r="A12" t="s">
        <v>498</v>
      </c>
      <c r="B12" t="s">
        <v>492</v>
      </c>
      <c r="C12" t="s">
        <v>420</v>
      </c>
      <c r="D12" s="21">
        <v>20500</v>
      </c>
      <c r="E12" s="26">
        <v>0.89500000000000002</v>
      </c>
      <c r="F12" s="20">
        <v>46240</v>
      </c>
      <c r="G12" t="s">
        <v>490</v>
      </c>
    </row>
    <row r="13" spans="1:7">
      <c r="A13" t="s">
        <v>499</v>
      </c>
      <c r="B13" t="s">
        <v>494</v>
      </c>
      <c r="C13" t="s">
        <v>418</v>
      </c>
      <c r="D13" s="21">
        <v>22200</v>
      </c>
      <c r="E13" s="26">
        <v>0.92999999999999994</v>
      </c>
      <c r="F13" s="20">
        <v>46241</v>
      </c>
      <c r="G13" t="s">
        <v>313</v>
      </c>
    </row>
    <row r="14" spans="1:7">
      <c r="A14" t="s">
        <v>500</v>
      </c>
      <c r="B14" t="s">
        <v>496</v>
      </c>
      <c r="C14" t="s">
        <v>419</v>
      </c>
      <c r="D14" s="21">
        <v>23900</v>
      </c>
      <c r="E14" s="26">
        <v>0.96499999999999997</v>
      </c>
      <c r="F14" s="20">
        <v>46242</v>
      </c>
      <c r="G14" t="s">
        <v>313</v>
      </c>
    </row>
    <row r="15" spans="1:7">
      <c r="A15" t="s">
        <v>501</v>
      </c>
      <c r="B15" t="s">
        <v>489</v>
      </c>
      <c r="C15" t="s">
        <v>420</v>
      </c>
      <c r="D15" s="21">
        <v>25600</v>
      </c>
      <c r="E15" s="26">
        <v>1</v>
      </c>
      <c r="F15" s="20">
        <v>46243</v>
      </c>
      <c r="G15" t="s">
        <v>313</v>
      </c>
    </row>
    <row r="16" spans="1:7">
      <c r="A16" t="s">
        <v>502</v>
      </c>
      <c r="B16" t="s">
        <v>492</v>
      </c>
      <c r="C16" t="s">
        <v>418</v>
      </c>
      <c r="D16" s="21">
        <v>27300</v>
      </c>
      <c r="E16" s="26">
        <v>1.0350000000000001</v>
      </c>
      <c r="F16" s="20">
        <v>46244</v>
      </c>
      <c r="G16" t="s">
        <v>313</v>
      </c>
    </row>
    <row r="17" spans="1:7">
      <c r="A17" t="s">
        <v>503</v>
      </c>
      <c r="B17" t="s">
        <v>494</v>
      </c>
      <c r="C17" t="s">
        <v>419</v>
      </c>
      <c r="D17" s="21">
        <v>29000</v>
      </c>
      <c r="E17" s="26">
        <v>0.72</v>
      </c>
      <c r="F17" s="20">
        <v>46245</v>
      </c>
      <c r="G17" t="s">
        <v>490</v>
      </c>
    </row>
    <row r="18" spans="1:7">
      <c r="A18" t="s">
        <v>504</v>
      </c>
      <c r="B18" t="s">
        <v>496</v>
      </c>
      <c r="C18" t="s">
        <v>420</v>
      </c>
      <c r="D18" s="21">
        <v>30700</v>
      </c>
      <c r="E18" s="26">
        <v>0.755</v>
      </c>
      <c r="F18" s="20">
        <v>46246</v>
      </c>
      <c r="G18" t="s">
        <v>313</v>
      </c>
    </row>
    <row r="19" spans="1:7">
      <c r="A19" t="s">
        <v>505</v>
      </c>
      <c r="B19" t="s">
        <v>489</v>
      </c>
      <c r="C19" t="s">
        <v>418</v>
      </c>
      <c r="D19" s="21">
        <v>32400</v>
      </c>
      <c r="E19" s="26">
        <v>0.79</v>
      </c>
      <c r="F19" s="20">
        <v>46247</v>
      </c>
      <c r="G19" t="s">
        <v>313</v>
      </c>
    </row>
    <row r="20" spans="1:7">
      <c r="A20" t="s">
        <v>506</v>
      </c>
      <c r="B20" t="s">
        <v>492</v>
      </c>
      <c r="C20" t="s">
        <v>419</v>
      </c>
      <c r="D20" s="21">
        <v>34100</v>
      </c>
      <c r="E20" s="26">
        <v>0.82499999999999996</v>
      </c>
      <c r="F20" s="20">
        <v>46248</v>
      </c>
      <c r="G20" t="s">
        <v>313</v>
      </c>
    </row>
    <row r="21" spans="1:7">
      <c r="A21" t="s">
        <v>507</v>
      </c>
      <c r="B21" t="s">
        <v>494</v>
      </c>
      <c r="C21" t="s">
        <v>420</v>
      </c>
      <c r="D21" s="21">
        <v>35800</v>
      </c>
      <c r="E21" s="26">
        <v>0.86</v>
      </c>
      <c r="F21" s="20">
        <v>46249</v>
      </c>
      <c r="G21" t="s">
        <v>313</v>
      </c>
    </row>
    <row r="22" spans="1:7">
      <c r="A22" t="s">
        <v>508</v>
      </c>
      <c r="B22" t="s">
        <v>496</v>
      </c>
      <c r="C22" t="s">
        <v>418</v>
      </c>
      <c r="D22" s="21">
        <v>37500</v>
      </c>
      <c r="E22" s="26">
        <v>0.89500000000000002</v>
      </c>
      <c r="F22" s="20">
        <v>46250</v>
      </c>
      <c r="G22" t="s">
        <v>490</v>
      </c>
    </row>
    <row r="23" spans="1:7">
      <c r="A23" t="s">
        <v>509</v>
      </c>
      <c r="B23" t="s">
        <v>489</v>
      </c>
      <c r="C23" t="s">
        <v>419</v>
      </c>
      <c r="D23" s="21">
        <v>39200</v>
      </c>
      <c r="E23" s="26">
        <v>0.92999999999999994</v>
      </c>
      <c r="F23" s="20">
        <v>46251</v>
      </c>
      <c r="G23" t="s">
        <v>313</v>
      </c>
    </row>
    <row r="24" spans="1:7">
      <c r="A24" t="s">
        <v>510</v>
      </c>
      <c r="B24" t="s">
        <v>492</v>
      </c>
      <c r="C24" t="s">
        <v>420</v>
      </c>
      <c r="D24" s="21">
        <v>12900</v>
      </c>
      <c r="E24" s="26">
        <v>0.96499999999999997</v>
      </c>
      <c r="F24" s="20">
        <v>46252</v>
      </c>
      <c r="G24" t="s">
        <v>313</v>
      </c>
    </row>
    <row r="25" spans="1:7">
      <c r="A25" t="s">
        <v>511</v>
      </c>
      <c r="B25" t="s">
        <v>494</v>
      </c>
      <c r="C25" t="s">
        <v>418</v>
      </c>
      <c r="D25" s="21">
        <v>14600</v>
      </c>
      <c r="E25" s="26">
        <v>1</v>
      </c>
      <c r="F25" s="20">
        <v>46253</v>
      </c>
      <c r="G25" t="s">
        <v>313</v>
      </c>
    </row>
    <row r="26" spans="1:7">
      <c r="A26" t="s">
        <v>512</v>
      </c>
      <c r="B26" t="s">
        <v>496</v>
      </c>
      <c r="C26" t="s">
        <v>419</v>
      </c>
      <c r="D26" s="21">
        <v>16300</v>
      </c>
      <c r="E26" s="26">
        <v>1.0350000000000001</v>
      </c>
      <c r="F26" s="20">
        <v>46254</v>
      </c>
      <c r="G26" t="s">
        <v>313</v>
      </c>
    </row>
  </sheetData>
  <mergeCells count="2">
    <mergeCell ref="A1:G1"/>
    <mergeCell ref="A2:G2"/>
  </mergeCells>
  <conditionalFormatting sqref="G7:G46">
    <cfRule type="containsText" dxfId="2" priority="1" operator="containsText" text="Delayed"/>
    <cfRule type="containsText" dxfId="1" priority="2" operator="containsText" text="Customs"/>
    <cfRule type="containsText" dxfId="0" priority="3" operator="containsText" text="Approved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 Me First</vt:lpstr>
      <vt:lpstr>Global Product Register</vt:lpstr>
      <vt:lpstr>SAP Distribution Stock</vt:lpstr>
      <vt:lpstr>Oracle Retail Count</vt:lpstr>
      <vt:lpstr>3PL External Feed</vt:lpstr>
      <vt:lpstr>Cycle Count Detail</vt:lpstr>
      <vt:lpstr>Wholesale Consignment</vt:lpstr>
      <vt:lpstr>Monthly Sell Through</vt:lpstr>
      <vt:lpstr>Open Procurement</vt:lpstr>
      <vt:lpstr>Network Transfers</vt:lpstr>
      <vt:lpstr>Reference Tables</vt:lpstr>
      <vt:lpstr>Test Controls</vt:lpstr>
      <vt:lpstr>Regional P and L</vt:lpstr>
      <vt:lpstr>Treasury Cash Forecast</vt:lpstr>
      <vt:lpstr>Journal Export</vt:lpstr>
      <vt:lpstr>Marketing Commitments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Soni_Enric (ATCS-2027)</cp:lastModifiedBy>
  <dcterms:created xsi:type="dcterms:W3CDTF">2026-08-07T20:33:49Z</dcterms:created>
  <dcterms:modified xsi:type="dcterms:W3CDTF">2026-08-07T20:33:49Z</dcterms:modified>
</cp:coreProperties>
</file>